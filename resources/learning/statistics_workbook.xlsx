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04ffe26fa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說明" sheetId="1" r:id="Re77efddb624c4855"/>
    <x:sheet xmlns:r="http://schemas.openxmlformats.org/officeDocument/2006/relationships" name="01_資料概念" sheetId="2" r:id="R97455ca7dc854467"/>
    <x:sheet xmlns:r="http://schemas.openxmlformats.org/officeDocument/2006/relationships" name="02_百分比比例" sheetId="3" r:id="R8f00a432f5574543"/>
    <x:sheet xmlns:r="http://schemas.openxmlformats.org/officeDocument/2006/relationships" name="03_平均中位眾數" sheetId="4" r:id="R2f0676badcaf4439"/>
    <x:sheet xmlns:r="http://schemas.openxmlformats.org/officeDocument/2006/relationships" name="04_圖表判讀" sheetId="5" r:id="Rab42e455c6e5478e"/>
    <x:sheet xmlns:r="http://schemas.openxmlformats.org/officeDocument/2006/relationships" name="05_工廠案例" sheetId="6" r:id="R1ddad6cd38084051"/>
    <x:sheet xmlns:r="http://schemas.openxmlformats.org/officeDocument/2006/relationships" name="06_測驗" sheetId="7" r:id="Rfb01fff8e476406e"/>
    <x:sheet xmlns:r="http://schemas.openxmlformats.org/officeDocument/2006/relationships" name="07_答案" sheetId="8" r:id="Rbb1b71ad07d0465b"/>
    <x:sheet xmlns:r="http://schemas.openxmlformats.org/officeDocument/2006/relationships" name="08_名詞表" sheetId="9" r:id="R7ef67e44fb884c9b"/>
    <x:sheet xmlns:r="http://schemas.openxmlformats.org/officeDocument/2006/relationships" name="09_參考資源" sheetId="10" r:id="R54720e236279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%"/>
    <x:numFmt numFmtId="202" formatCode="$#,##0"/>
    <x:numFmt numFmtId="203" formatCode="0.0"/>
    <x:numFmt numFmtId="204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E6F9E"/>
      </x:patternFill>
    </x:fill>
    <x:fill>
      <x:patternFill patternType="solid">
        <x:fgColor rgb="FFFFF5DB"/>
      </x:patternFill>
    </x:fill>
    <x:fill>
      <x:patternFill patternType="solid">
        <x:fgColor rgb="FF2F8F83"/>
      </x:patternFill>
    </x:fill>
    <x:fill>
      <x:patternFill patternType="solid">
        <x:fgColor rgb="FFEAF6F4"/>
      </x:patternFill>
    </x:fill>
    <x:fill>
      <x:patternFill patternType="solid">
        <x:fgColor rgb="FFFCECEC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/>
    <x:xf numFmtId="203" fontId="4" fillId="0" borderId="1" xfId="0" applyNumberFormat="1" applyFont="1" applyFill="1" applyBorder="1"/>
    <x:xf numFmtId="201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3E8E5B"/>
      </x:font>
      <x:fill>
        <x:patternFill patternType="solid">
          <x:bgColor rgb="FFEAF6EE"/>
        </x:patternFill>
      </x:fill>
    </x:dxf>
    <x:dxf>
      <x:font>
        <x:b/>
        <x:color rgb="FF8A5A00"/>
      </x:font>
      <x:fill>
        <x:patternFill patternType="solid">
          <x:bgColor rgb="FFFFF5DB"/>
        </x:patternFill>
      </x:fill>
    </x:dxf>
    <x:dxf>
      <x:fill>
        <x:patternFill patternType="solid">
          <x:bgColor rgb="FFFFF5DB"/>
        </x:patternFill>
      </x:fill>
    </x:dxf>
    <x:dxf>
      <x:font>
        <x:b/>
        <x:color rgb="FFC94C4C"/>
      </x:font>
      <x:fill>
        <x:patternFill patternType="solid">
          <x:bgColor rgb="FFFCECEC"/>
        </x:patternFill>
      </x:fill>
    </x:dxf>
    <x:dxf>
      <x:font>
        <x:b/>
        <x:color rgb="FF3E8E5B"/>
      </x:font>
      <x:fill>
        <x:patternFill patternType="solid">
          <x:bgColor rgb="FFEAF6EE"/>
        </x:patternFill>
      </x:fill>
    </x:dxf>
    <x:dxf>
      <x:font>
        <x:b/>
        <x:color rgb="FFC94C4C"/>
      </x:font>
      <x:fill>
        <x:patternFill patternType="solid">
          <x:bgColor rgb="FFFCECEC"/>
        </x:patternFill>
      </x:fill>
    </x:dxf>
    <x:dxf>
      <x:font>
        <x:b/>
        <x:color rgb="FF8A5A00"/>
      </x:font>
      <x:fill>
        <x:patternFill patternType="solid">
          <x:bgColor rgb="FFFFF5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1387ee383499a" /><Relationship Type="http://schemas.openxmlformats.org/officeDocument/2006/relationships/theme" Target="/xl/theme/theme1.xml" Id="R7a3899c221904052" /><Relationship Type="http://schemas.openxmlformats.org/officeDocument/2006/relationships/sharedStrings" Target="/xl/sharedStrings.xml" Id="R61432f1c32ca4efd" /><Relationship Type="http://schemas.openxmlformats.org/officeDocument/2006/relationships/worksheet" Target="/xl/worksheets/sheet1.xml" Id="Re77efddb624c4855" /><Relationship Type="http://schemas.openxmlformats.org/officeDocument/2006/relationships/worksheet" Target="/xl/worksheets/sheet2.xml" Id="R97455ca7dc854467" /><Relationship Type="http://schemas.openxmlformats.org/officeDocument/2006/relationships/worksheet" Target="/xl/worksheets/sheet3.xml" Id="R8f00a432f5574543" /><Relationship Type="http://schemas.openxmlformats.org/officeDocument/2006/relationships/worksheet" Target="/xl/worksheets/sheet4.xml" Id="R2f0676badcaf4439" /><Relationship Type="http://schemas.openxmlformats.org/officeDocument/2006/relationships/worksheet" Target="/xl/worksheets/sheet5.xml" Id="Rab42e455c6e5478e" /><Relationship Type="http://schemas.openxmlformats.org/officeDocument/2006/relationships/worksheet" Target="/xl/worksheets/sheet6.xml" Id="R1ddad6cd38084051" /><Relationship Type="http://schemas.openxmlformats.org/officeDocument/2006/relationships/worksheet" Target="/xl/worksheets/sheet7.xml" Id="Rfb01fff8e476406e" /><Relationship Type="http://schemas.openxmlformats.org/officeDocument/2006/relationships/worksheet" Target="/xl/worksheets/sheet8.xml" Id="Rbb1b71ad07d0465b" /><Relationship Type="http://schemas.openxmlformats.org/officeDocument/2006/relationships/worksheet" Target="/xl/worksheets/sheet9.xml" Id="R7ef67e44fb884c9b" /><Relationship Type="http://schemas.openxmlformats.org/officeDocument/2006/relationships/worksheet" Target="/xl/worksheets/sheet10.xml" Id="R54720e23627943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4b09700688413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87766a49344434a" /><Relationship Type="http://schemas.openxmlformats.org/officeDocument/2006/relationships/chart" Target="/xl/drawings/charts/chart3.xml" Id="R2e3d0d223f854ff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05fd91fb2cd41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組A與組B每日產量（平均相近，穩定度不同）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組A產量</c:v>
          </c:tx>
          <c:cat>
            <c:strRef>
              <c:f>'03_平均中位眾數'!$A$16:$A$20</c:f>
              <c:strCache>
                <c:ptCount val="0"/>
              </c:strCache>
            </c:strRef>
          </c:cat>
          <c:val>
            <c:numRef>
              <c:f>'03_平均中位眾數'!$B$16:$B$20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組B產量</c:v>
          </c:tx>
          <c:cat>
            <c:strRef>
              <c:f>'03_平均中位眾數'!$A$16:$A$20</c:f>
              <c:strCache>
                <c:ptCount val="0"/>
              </c:strCache>
            </c:strRef>
          </c:cat>
          <c:val>
            <c:numRef>
              <c:f>'03_平均中位眾數'!$C$16:$C$20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月產量：實際與目標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實際產量</c:v>
          </c:tx>
          <c:cat>
            <c:strRef>
              <c:f>'04_圖表判讀'!$A$15:$A$20</c:f>
              <c:strCache>
                <c:ptCount val="0"/>
              </c:strCache>
            </c:strRef>
          </c:cat>
          <c:val>
            <c:numRef>
              <c:f>'04_圖表判讀'!$B$15:$B$20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目標產量</c:v>
          </c:tx>
          <c:cat>
            <c:strRef>
              <c:f>'04_圖表判讀'!$A$15:$A$20</c:f>
              <c:strCache>
                <c:ptCount val="0"/>
              </c:strCache>
            </c:strRef>
          </c:cat>
          <c:val>
            <c:numRef>
              <c:f>'04_圖表判讀'!$C$15:$C$20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不良類別比較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件數</c:v>
          </c:tx>
          <c:cat>
            <c:strRef>
              <c:f>'04_圖表判讀'!$A$24:$A$28</c:f>
              <c:strCache>
                <c:ptCount val="0"/>
              </c:strCache>
            </c:strRef>
          </c:cat>
          <c:val>
            <c:numRef>
              <c:f>'04_圖表判讀'!$B$24:$B$28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實際產量</c:v>
          </c:tx>
          <c:cat>
            <c:strRef>
              <c:f>='05_工廠案例'!$A$4:$A$11</c:f>
              <c:strCache>
                <c:ptCount val="0"/>
              </c:strCache>
            </c:strRef>
          </c:cat>
          <c:val>
            <c:numRef>
              <c:f>='05_工廠案例'!$C$4:$C$11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目標產量</c:v>
          </c:tx>
          <c:cat>
            <c:strRef>
              <c:f>='05_工廠案例'!$A$4:$A$11</c:f>
              <c:strCache>
                <c:ptCount val="0"/>
              </c:strCache>
            </c:strRef>
          </c:cat>
          <c:val>
            <c:numRef>
              <c:f>='05_工廠案例'!$D$4:$D$11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b09700688413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7766a49344434a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3d0d223f854ff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fd91fb2cd41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a7469b303e3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0faf44086f346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556118cde0ab493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24" hidden="0" customWidth="1"/>
  </x:cols>
  <x:sheetData>
    <x:row r="1" ht="20" customHeight="1">
      <x:c r="A1" s="6" t="str">
        <x:v>從零開始學統計｜第一冊 Excel 練習簿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生活與成衣廠案例：資料、百分比、平均數與圖表判讀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章節</x:v>
      </x:c>
      <x:c r="B3" s="24" t="str">
        <x:v>核心問題</x:v>
      </x:c>
      <x:c r="C3" s="24" t="str">
        <x:v>你會學到</x:v>
      </x:c>
      <x:c r="D3" s="24" t="str">
        <x:v>建議時間</x:v>
      </x:c>
      <x:c r="E3" s="24" t="str">
        <x:v>完成</x:v>
      </x:c>
      <x:c r="F3" s="24" t="str">
        <x:v>自評1-5</x:v>
      </x:c>
      <x:c r="G3" s="24" t="str">
        <x:v>主要工作表</x:v>
      </x:c>
      <x:c r="H3" s="24" t="str">
        <x:v>備註</x:v>
      </x:c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第1章</x:v>
      </x:c>
      <x:c r="B4" s="32" t="str">
        <x:v>資料到底是什麼？</x:v>
      </x:c>
      <x:c r="C4" s="32" t="str">
        <x:v>分辨分類資料、數值資料、母體、樣本</x:v>
      </x:c>
      <x:c r="D4" s="32" t="str">
        <x:v>30分鐘</x:v>
      </x:c>
      <x:c r="E4" s="32" t="str">
        <x:v>未完成</x:v>
      </x:c>
      <x:c r="F4" s="32" t="str"/>
      <x:c r="G4" s="32" t="str">
        <x:v>01_資料概念</x:v>
      </x:c>
      <x:c r="H4" s="32" t="str">
        <x:v>先理解，不急著背名詞</x:v>
      </x:c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第2章</x:v>
      </x:c>
      <x:c r="B5" s="32" t="str">
        <x:v>百分比為何常算錯？</x:v>
      </x:c>
      <x:c r="C5" s="32" t="str">
        <x:v>找對分子、分母，計算率與達成率</x:v>
      </x:c>
      <x:c r="D5" s="32" t="str">
        <x:v>45分鐘</x:v>
      </x:c>
      <x:c r="E5" s="32" t="str">
        <x:v>未完成</x:v>
      </x:c>
      <x:c r="F5" s="32" t="str"/>
      <x:c r="G5" s="32" t="str">
        <x:v>02_百分比比例</x:v>
      </x:c>
      <x:c r="H5" s="32" t="str">
        <x:v>先寫中文意義，再寫公式</x:v>
      </x:c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第3章</x:v>
      </x:c>
      <x:c r="B6" s="32" t="str">
        <x:v>平均數能代表大家嗎？</x:v>
      </x:c>
      <x:c r="C6" s="32" t="str">
        <x:v>平均數、中位數、眾數與極端值</x:v>
      </x:c>
      <x:c r="D6" s="32" t="str">
        <x:v>60分鐘</x:v>
      </x:c>
      <x:c r="E6" s="32" t="str">
        <x:v>未完成</x:v>
      </x:c>
      <x:c r="F6" s="32" t="str"/>
      <x:c r="G6" s="32" t="str">
        <x:v>03_平均中位眾數</x:v>
      </x:c>
      <x:c r="H6" s="32" t="str">
        <x:v>觀察高薪或異常產量的影響</x:v>
      </x:c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第4章</x:v>
      </x:c>
      <x:c r="B7" s="32" t="str">
        <x:v>該用哪一種圖？</x:v>
      </x:c>
      <x:c r="C7" s="32" t="str">
        <x:v>長條圖、折線圖、圓餅圖與錯誤圖表</x:v>
      </x:c>
      <x:c r="D7" s="32" t="str">
        <x:v>45分鐘</x:v>
      </x:c>
      <x:c r="E7" s="32" t="str">
        <x:v>未完成</x:v>
      </x:c>
      <x:c r="F7" s="32" t="str"/>
      <x:c r="G7" s="32" t="str">
        <x:v>04_圖表判讀</x:v>
      </x:c>
      <x:c r="H7" s="32" t="str">
        <x:v>先問：比較、趨勢、占比？</x:v>
      </x:c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綜合案例</x:v>
      </x:c>
      <x:c r="B8" s="32" t="str">
        <x:v>車縫組數據如何判讀？</x:v>
      </x:c>
      <x:c r="C8" s="32" t="str">
        <x:v>產量、達成率、人均產出、不良率</x:v>
      </x:c>
      <x:c r="D8" s="32" t="str">
        <x:v>60分鐘</x:v>
      </x:c>
      <x:c r="E8" s="32" t="str">
        <x:v>未完成</x:v>
      </x:c>
      <x:c r="F8" s="32" t="str"/>
      <x:c r="G8" s="32" t="str">
        <x:v>05_工廠案例</x:v>
      </x:c>
      <x:c r="H8" s="32" t="str">
        <x:v>不要只看總產量</x:v>
      </x:c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32" t="str">
        <x:v>測驗</x:v>
      </x:c>
      <x:c r="B9" s="32" t="str">
        <x:v>我真的會了嗎？</x:v>
      </x:c>
      <x:c r="C9" s="32" t="str">
        <x:v>完成15題並核對答案</x:v>
      </x:c>
      <x:c r="D9" s="32" t="str">
        <x:v>30分鐘</x:v>
      </x:c>
      <x:c r="E9" s="32" t="str">
        <x:v>未完成</x:v>
      </x:c>
      <x:c r="F9" s="32" t="str"/>
      <x:c r="G9" s="32" t="str">
        <x:v>06_測驗</x:v>
      </x:c>
      <x:c r="H9" s="32" t="str">
        <x:v>錯題回到對應章節</x:v>
      </x:c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104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39" t="str">
        <x:v>學習方法：①先看例子　②口頭說出分子／分母或代表值的意義　③再看公式　④更改黃色輸入格　⑤用自己的話解釋結果。統計不是算完數字，而是判斷這個數字能不能支持決策。</x:v>
      </x:c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48" t="str">
        <x:v>學習完成度</x:v>
      </x:c>
      <x:c r="B15" s="48" t="str">
        <x:v>已完成章節</x:v>
      </x:c>
      <x:c r="C15" s="48" t="str">
        <x:v>總章節</x:v>
      </x:c>
      <x:c r="D15" s="48" t="str">
        <x:v>完成率</x:v>
      </x:c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自動計算</x:v>
      </x:c>
      <x:c r="B16" s="32" t="n">
        <x:f>COUNTIF(E4:E9,"已完成")</x:f>
        <x:v>0</x:v>
      </x:c>
      <x:c r="C16" s="32" t="n">
        <x:v>6</x:v>
      </x:c>
      <x:c r="D16" s="58" t="n">
        <x:f>B16/C16</x:f>
        <x:v>0</x:v>
      </x:c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H1"/>
    <x:mergeCell ref="A2:H2"/>
    <x:mergeCell ref="A11:H13"/>
  </x:mergeCells>
  <x:conditionalFormatting sqref="E4:E9">
    <x:cfRule type="expression" dxfId="0" priority="1">
      <x:formula>E4="已完成"</x:formula>
    </x:cfRule>
    <x:cfRule type="expression" dxfId="1" priority="2">
      <x:formula>E4="進行中"</x:formula>
    </x:cfRule>
  </x:conditionalFormatting>
  <x:dataValidations count="2">
    <x:dataValidation type="list" sqref="E4:E9">
      <x:formula1>"未完成,進行中,已完成"</x:formula1>
    </x:dataValidation>
    <x:dataValidation type="list" sqref="F4:F9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8" hidden="0" customWidth="1"/>
    <x:col min="5" max="5" width="14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20" customHeight="1">
      <x:c r="A1" s="6" t="str">
        <x:v>第1章｜資料概念 Data Basics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先搞懂資料的角色，再開始計算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例子</x:v>
      </x:c>
      <x:c r="B3" s="24" t="str">
        <x:v>原始資料</x:v>
      </x:c>
      <x:c r="C3" s="24" t="str">
        <x:v>資料類型</x:v>
      </x:c>
      <x:c r="D3" s="24" t="str">
        <x:v>英文</x:v>
      </x:c>
      <x:c r="E3" s="24" t="str">
        <x:v>可否計算平均</x:v>
      </x:c>
      <x:c r="F3" s="24" t="str">
        <x:v>較適合的整理方式</x:v>
      </x:c>
      <x:c r="G3" s="24" t="str">
        <x:v>常見錯誤</x:v>
      </x:c>
      <x:c r="H3" s="24" t="str">
        <x:v>一句話解釋</x:v>
      </x:c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車縫組別</x:v>
      </x:c>
      <x:c r="B4" s="32" t="str">
        <x:v>1組、2組、3組</x:v>
      </x:c>
      <x:c r="C4" s="32" t="str">
        <x:v>類別資料</x:v>
      </x:c>
      <x:c r="D4" s="32" t="str">
        <x:v>Categorical data</x:v>
      </x:c>
      <x:c r="E4" s="32" t="str">
        <x:v>否</x:v>
      </x:c>
      <x:c r="F4" s="32" t="str">
        <x:v>次數表、長條圖</x:v>
      </x:c>
      <x:c r="G4" s="32" t="str">
        <x:v>把組號當作數字運算</x:v>
      </x:c>
      <x:c r="H4" s="32" t="str">
        <x:v>數字只是名稱，不代表大小</x:v>
      </x:c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每日產量</x:v>
      </x:c>
      <x:c r="B5" s="32" t="str">
        <x:v>820、900、875件</x:v>
      </x:c>
      <x:c r="C5" s="32" t="str">
        <x:v>數值資料</x:v>
      </x:c>
      <x:c r="D5" s="32" t="str">
        <x:v>Numerical data</x:v>
      </x:c>
      <x:c r="E5" s="32" t="str">
        <x:v>是</x:v>
      </x:c>
      <x:c r="F5" s="32" t="str">
        <x:v>平均數、折線圖</x:v>
      </x:c>
      <x:c r="G5" s="32" t="str">
        <x:v>忽略停工或加班條件</x:v>
      </x:c>
      <x:c r="H5" s="32" t="str">
        <x:v>數量可以做加減乘除</x:v>
      </x:c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品質等級</x:v>
      </x:c>
      <x:c r="B6" s="32" t="str">
        <x:v>A、B、C</x:v>
      </x:c>
      <x:c r="C6" s="32" t="str">
        <x:v>有順序類別</x:v>
      </x:c>
      <x:c r="D6" s="32" t="str">
        <x:v>Ordinal data</x:v>
      </x:c>
      <x:c r="E6" s="32" t="str">
        <x:v>通常不直接平均</x:v>
      </x:c>
      <x:c r="F6" s="32" t="str">
        <x:v>次數表、長條圖</x:v>
      </x:c>
      <x:c r="G6" s="32" t="str">
        <x:v>硬把A=3、B=2後平均</x:v>
      </x:c>
      <x:c r="H6" s="32" t="str">
        <x:v>有順序，但間距不一定相等</x:v>
      </x:c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產品重量</x:v>
      </x:c>
      <x:c r="B7" s="32" t="str">
        <x:v>198、201、203克</x:v>
      </x:c>
      <x:c r="C7" s="32" t="str">
        <x:v>連續數值</x:v>
      </x:c>
      <x:c r="D7" s="32" t="str">
        <x:v>Continuous data</x:v>
      </x:c>
      <x:c r="E7" s="32" t="str">
        <x:v>是</x:v>
      </x:c>
      <x:c r="F7" s="32" t="str">
        <x:v>平均、範圍、直方圖</x:v>
      </x:c>
      <x:c r="G7" s="32" t="str">
        <x:v>四捨五入太早</x:v>
      </x:c>
      <x:c r="H7" s="32" t="str">
        <x:v>可在區間內取很多數值</x:v>
      </x:c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不良件數</x:v>
      </x:c>
      <x:c r="B8" s="32" t="str">
        <x:v>0、1、2、3件</x:v>
      </x:c>
      <x:c r="C8" s="32" t="str">
        <x:v>離散數值</x:v>
      </x:c>
      <x:c r="D8" s="32" t="str">
        <x:v>Discrete data</x:v>
      </x:c>
      <x:c r="E8" s="32" t="str">
        <x:v>是</x:v>
      </x:c>
      <x:c r="F8" s="32" t="str">
        <x:v>次數表、平均</x:v>
      </x:c>
      <x:c r="G8" s="32" t="str">
        <x:v>把件數和不良率混用</x:v>
      </x:c>
      <x:c r="H8" s="32" t="str">
        <x:v>只能一件一件計數</x:v>
      </x:c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65" t="str">
        <x:v>母體 Population：你真正想了解的全部對象，例如本月生產的全部50,000件。樣本 Sample：從母體中抽出來檢查的一部分，例如抽查500件。樣本要能代表母體，否則算得再精準也可能得到錯誤結論。</x:v>
      </x:c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48" t="str">
        <x:v>情境</x:v>
      </x:c>
      <x:c r="B14" s="48" t="str">
        <x:v>你真正想知道的母體</x:v>
      </x:c>
      <x:c r="C14" s="48" t="str">
        <x:v>實際取得的樣本</x:v>
      </x:c>
      <x:c r="D14" s="48" t="str">
        <x:v>樣本是否可能偏差</x:v>
      </x:c>
      <x:c r="E14" s="48" t="str">
        <x:v>原因</x:v>
      </x:c>
      <x:c r="F14" s="48" t="str">
        <x:v>你的判斷</x:v>
      </x:c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str">
        <x:v>了解全廠員工滿意度</x:v>
      </x:c>
      <x:c r="B15" s="32" t="str">
        <x:v>全廠所有員工</x:v>
      </x:c>
      <x:c r="C15" s="32" t="str">
        <x:v>只訪問辦公室10人</x:v>
      </x:c>
      <x:c r="D15" s="32" t="str">
        <x:v>是</x:v>
      </x:c>
      <x:c r="E15" s="32" t="str">
        <x:v>未涵蓋大量產線工人</x:v>
      </x:c>
      <x:c r="F15" s="39" t="str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檢查整批成衣不良率</x:v>
      </x:c>
      <x:c r="B16" s="32" t="str">
        <x:v>整批10,000件</x:v>
      </x:c>
      <x:c r="C16" s="32" t="str">
        <x:v>從每箱隨機抽取，共300件</x:v>
      </x:c>
      <x:c r="D16" s="32" t="str">
        <x:v>較低</x:v>
      </x:c>
      <x:c r="E16" s="32" t="str">
        <x:v>不同箱與位置都有機會被抽到</x:v>
      </x:c>
      <x:c r="F16" s="39" t="str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str">
        <x:v>估計食堂口味滿意度</x:v>
      </x:c>
      <x:c r="B17" s="32" t="str">
        <x:v>所有用餐員工</x:v>
      </x:c>
      <x:c r="C17" s="32" t="str">
        <x:v>只問排隊最前面20人</x:v>
      </x:c>
      <x:c r="D17" s="32" t="str">
        <x:v>可能</x:v>
      </x:c>
      <x:c r="E17" s="32" t="str">
        <x:v>時間與人群可能集中</x:v>
      </x:c>
      <x:c r="F17" s="39" t="str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H1"/>
    <x:mergeCell ref="A2:H2"/>
    <x:mergeCell ref="A10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28" hidden="0" customWidth="1"/>
    <x:col min="7" max="7" width="14" hidden="0" customWidth="1"/>
    <x:col min="8" max="8" width="24" hidden="0" customWidth="1"/>
    <x:col min="9" max="9" width="18" hidden="0" customWidth="1"/>
  </x:cols>
  <x:sheetData>
    <x:row r="1" ht="20" customHeight="1">
      <x:c r="A1" s="6" t="str">
        <x:v>第2章｜百分比、比例與率 Percentages &amp; Rates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最重要的不是按計算機，而是先找對分子與分母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情境</x:v>
      </x:c>
      <x:c r="B3" s="24" t="str">
        <x:v>分子 Numerator</x:v>
      </x:c>
      <x:c r="C3" s="24" t="str">
        <x:v>分母 Denominator</x:v>
      </x:c>
      <x:c r="D3" s="24" t="str">
        <x:v>Excel公式</x:v>
      </x:c>
      <x:c r="E3" s="24" t="str">
        <x:v>結果</x:v>
      </x:c>
      <x:c r="F3" s="24" t="str">
        <x:v>中文解釋</x:v>
      </x:c>
      <x:c r="G3" s="24" t="str">
        <x:v>合理範圍</x:v>
      </x:c>
      <x:c r="H3" s="24" t="str">
        <x:v>常見誤區</x:v>
      </x:c>
      <x:c r="I3" s="24" t="str">
        <x:v>是否需追查</x:v>
      </x:c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出勤率</x:v>
      </x:c>
      <x:c r="B4" s="32" t="n">
        <x:v>480</x:v>
      </x:c>
      <x:c r="C4" s="32" t="n">
        <x:v>500</x:v>
      </x:c>
      <x:c r="D4" s="32" t="str">
        <x:v>=B4/C4</x:v>
      </x:c>
      <x:c r="E4" s="70" t="n">
        <x:f>IFERROR(B4/C4,"")</x:f>
        <x:v>0.96</x:v>
      </x:c>
      <x:c r="F4" s="32" t="str">
        <x:v>480人出勤／應出勤500人</x:v>
      </x:c>
      <x:c r="G4" s="32" t="str">
        <x:v>0%-100%</x:v>
      </x:c>
      <x:c r="H4" s="32" t="str">
        <x:v>分母錯用實際出勤人數</x:v>
      </x:c>
      <x:c r="I4" s="32" t="str">
        <x:f>IF(OR(E4&lt;0,E4&gt;1.2),"檢查資料",IF(E4&lt;0.9,"注意","正常／依情境判斷"))</x:f>
        <x:v>正常／依情境判斷</x:v>
      </x:c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不良率</x:v>
      </x:c>
      <x:c r="B5" s="32" t="n">
        <x:v>120</x:v>
      </x:c>
      <x:c r="C5" s="32" t="n">
        <x:v>8000</x:v>
      </x:c>
      <x:c r="D5" s="32" t="str">
        <x:v>=B5/C5</x:v>
      </x:c>
      <x:c r="E5" s="70" t="n">
        <x:f>IFERROR(B5/C5,"")</x:f>
        <x:v>0.015</x:v>
      </x:c>
      <x:c r="F5" s="32" t="str">
        <x:v>120件不良／檢查8,000件</x:v>
      </x:c>
      <x:c r="G5" s="32" t="str">
        <x:v>通常0%-100%</x:v>
      </x:c>
      <x:c r="H5" s="32" t="str">
        <x:v>只報不良件數，不看檢查量</x:v>
      </x:c>
      <x:c r="I5" s="32" t="str">
        <x:f>IF(OR(E5&lt;0,E5&gt;1.2),"檢查資料",IF(E5&lt;0.9,"注意","正常／依情境判斷"))</x:f>
        <x:v>注意</x:v>
      </x:c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產量達成率</x:v>
      </x:c>
      <x:c r="B6" s="32" t="n">
        <x:v>8200</x:v>
      </x:c>
      <x:c r="C6" s="32" t="n">
        <x:v>9000</x:v>
      </x:c>
      <x:c r="D6" s="32" t="str">
        <x:v>=B6/C6</x:v>
      </x:c>
      <x:c r="E6" s="70" t="n">
        <x:f>IFERROR(B6/C6,"")</x:f>
        <x:v>0.9111111111111111</x:v>
      </x:c>
      <x:c r="F6" s="32" t="str">
        <x:v>實際8,200件／目標9,000件</x:v>
      </x:c>
      <x:c r="G6" s="32" t="str">
        <x:v>可超過100%</x:v>
      </x:c>
      <x:c r="H6" s="32" t="str">
        <x:v>把差額800件當成8.9%</x:v>
      </x:c>
      <x:c r="I6" s="32" t="str">
        <x:f>IF(OR(E6&lt;0,E6&gt;1.2),"檢查資料",IF(E6&lt;0.9,"注意","正常／依情境判斷"))</x:f>
        <x:v>正常／依情境判斷</x:v>
      </x:c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加班人數占比</x:v>
      </x:c>
      <x:c r="B7" s="32" t="n">
        <x:v>150</x:v>
      </x:c>
      <x:c r="C7" s="32" t="n">
        <x:v>480</x:v>
      </x:c>
      <x:c r="D7" s="32" t="str">
        <x:v>=B7/C7</x:v>
      </x:c>
      <x:c r="E7" s="70" t="n">
        <x:f>IFERROR(B7/C7,"")</x:f>
        <x:v>0.3125</x:v>
      </x:c>
      <x:c r="F7" s="32" t="str">
        <x:v>150人加班／當日出勤480人</x:v>
      </x:c>
      <x:c r="G7" s="32" t="str">
        <x:v>0%-100%</x:v>
      </x:c>
      <x:c r="H7" s="32" t="str">
        <x:v>分母用全廠核定人數</x:v>
      </x:c>
      <x:c r="I7" s="32" t="str">
        <x:f>IF(OR(E7&lt;0,E7&gt;1.2),"檢查資料",IF(E7&lt;0.9,"注意","正常／依情境判斷"))</x:f>
        <x:v>注意</x:v>
      </x:c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家庭餐飲占比</x:v>
      </x:c>
      <x:c r="B8" s="32" t="n">
        <x:v>420</x:v>
      </x:c>
      <x:c r="C8" s="32" t="n">
        <x:v>1800</x:v>
      </x:c>
      <x:c r="D8" s="32" t="str">
        <x:v>=B8/C8</x:v>
      </x:c>
      <x:c r="E8" s="70" t="n">
        <x:f>IFERROR(B8/C8,"")</x:f>
        <x:v>0.23333333333333334</x:v>
      </x:c>
      <x:c r="F8" s="32" t="str">
        <x:v>餐飲420美元／總支出1,800美元</x:v>
      </x:c>
      <x:c r="G8" s="32" t="str">
        <x:v>0%-100%</x:v>
      </x:c>
      <x:c r="H8" s="32" t="str">
        <x:v>分母用收入但問題問支出</x:v>
      </x:c>
      <x:c r="I8" s="32" t="str">
        <x:f>IF(OR(E8&lt;0,E8&gt;1.2),"檢查資料",IF(E8&lt;0.9,"注意","正常／依情境判斷"))</x:f>
        <x:v>注意</x:v>
      </x:c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39" t="str">
        <x:v>百分比的三步驟：①問題問的是誰占誰？②分子是你關心的部分；③分母是完整的比較基礎。公式通常是「部分 ÷ 整體」。但達成率的分母是目標，不一定是整體，因此可能超過100%。</x:v>
      </x:c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48" t="str">
        <x:v>練習情境（黃色格可修改）</x:v>
      </x:c>
      <x:c r="B14" s="48" t="str">
        <x:v>分子</x:v>
      </x:c>
      <x:c r="C14" s="48" t="str">
        <x:v>分母</x:v>
      </x:c>
      <x:c r="D14" s="48" t="str">
        <x:v>計算結果</x:v>
      </x:c>
      <x:c r="E14" s="48" t="str">
        <x:v>差額</x:v>
      </x:c>
      <x:c r="F14" s="48" t="str">
        <x:v>你的口頭解釋</x:v>
      </x:c>
      <x:c r="G14" s="48" t="str">
        <x:v>答案提示</x:v>
      </x:c>
      <x:c r="H14" s="48" t="str">
        <x:v>判斷</x:v>
      </x:c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str">
        <x:v>本日缺勤率</x:v>
      </x:c>
      <x:c r="B15" s="39" t="n">
        <x:v>18</x:v>
      </x:c>
      <x:c r="C15" s="39" t="n">
        <x:v>500</x:v>
      </x:c>
      <x:c r="D15" s="70" t="n">
        <x:f>IFERROR(B15/C15,"")</x:f>
        <x:v>0.036</x:v>
      </x:c>
      <x:c r="E15" s="32" t="n">
        <x:f>C15-B15</x:f>
        <x:v>482</x:v>
      </x:c>
      <x:c r="F15" s="32" t="str"/>
      <x:c r="G15" s="32" t="str">
        <x:v>缺勤人數÷應出勤人數</x:v>
      </x:c>
      <x:c r="H15" s="32" t="str">
        <x:f>IF(D15&gt;5%,"偏高","可接受／依政策")</x:f>
        <x:v>可接受／依政策</x:v>
      </x:c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訂單完成率</x:v>
      </x:c>
      <x:c r="B16" s="39" t="n">
        <x:v>7600</x:v>
      </x:c>
      <x:c r="C16" s="39" t="n">
        <x:v>10000</x:v>
      </x:c>
      <x:c r="D16" s="70" t="n">
        <x:f>IFERROR(B16/C16,"")</x:f>
        <x:v>0.76</x:v>
      </x:c>
      <x:c r="E16" s="32" t="n">
        <x:f>C16-B16</x:f>
        <x:v>2400</x:v>
      </x:c>
      <x:c r="F16" s="32" t="str"/>
      <x:c r="G16" s="32" t="str">
        <x:v>已完成數÷訂單數</x:v>
      </x:c>
      <x:c r="H16" s="32" t="str">
        <x:f>IF(D16&lt;90%,"有落後風險","接近或達標")</x:f>
        <x:v>有落後風險</x:v>
      </x:c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str">
        <x:v>品質改善幅度（舊3.0%，新2.1%）</x:v>
      </x:c>
      <x:c r="B17" s="72" t="n">
        <x:v>0.03</x:v>
      </x:c>
      <x:c r="C17" s="72" t="n">
        <x:v>0.021</x:v>
      </x:c>
      <x:c r="D17" s="70" t="n">
        <x:f>IFERROR((B17-C17)/B17,"")</x:f>
        <x:v>0.29999999999999993</x:v>
      </x:c>
      <x:c r="E17" s="32" t="n">
        <x:f>B17-C17</x:f>
        <x:v>0.008999999999999998</x:v>
      </x:c>
      <x:c r="F17" s="32" t="str"/>
      <x:c r="G17" s="32" t="str">
        <x:v>改善率=(舊-新)÷舊</x:v>
      </x:c>
      <x:c r="H17" s="32" t="str">
        <x:f>IF(D17&gt;=20%,"改善明顯","改善有限")</x:f>
        <x:v>改善明顯</x:v>
      </x:c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I1"/>
    <x:mergeCell ref="A2:I2"/>
    <x:mergeCell ref="A10:I12"/>
  </x:mergeCells>
  <x:conditionalFormatting sqref="I4:I8">
    <x:cfRule type="expression" dxfId="2" priority="1">
      <x:formula>I4="注意"</x:formula>
    </x:cfRule>
    <x:cfRule type="expression" dxfId="3" priority="2">
      <x:formula>I4="檢查資料"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</x:cols>
  <x:sheetData>
    <x:row r="1" ht="20" customHeight="1">
      <x:c r="A1" s="6" t="str">
        <x:v>第3章｜平均數、中位數與眾數 Mean, Median &amp; Mode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同一組資料可以有不同的『代表值』；要看資料形狀與決策目的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人員</x:v>
      </x:c>
      <x:c r="B3" s="24" t="str">
        <x:v>月薪 USD</x:v>
      </x:c>
      <x:c r="C3" s="24" t="str">
        <x:v>排序後</x:v>
      </x:c>
      <x:c r="D3" s="24" t="str">
        <x:v>是否極端值</x:v>
      </x:c>
      <x:c r="E3" s="24" t="str">
        <x:v>觀察</x:v>
      </x:c>
      <x:c r="F3" s="24" t="str">
        <x:v>備註</x:v>
      </x:c>
      <x:c r="G3" s="104"/>
      <x:c r="H3" s="48" t="str">
        <x:v>統計量</x:v>
      </x:c>
      <x:c r="I3" s="48" t="str">
        <x:v>Excel公式</x:v>
      </x:c>
      <x:c r="J3" s="48" t="str">
        <x:v>結果</x:v>
      </x:c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A</x:v>
      </x:c>
      <x:c r="B4" s="74" t="n">
        <x:v>380</x:v>
      </x:c>
      <x:c r="C4" s="32" t="n">
        <x:v>380</x:v>
      </x:c>
      <x:c r="D4" s="32" t="str">
        <x:v>否</x:v>
      </x:c>
      <x:c r="E4" s="32" t="str"/>
      <x:c r="F4" s="32" t="str"/>
      <x:c r="G4" s="104"/>
      <x:c r="H4" s="32" t="str">
        <x:v>平均數 Mean</x:v>
      </x:c>
      <x:c r="I4" s="32" t="str">
        <x:v>=AVERAGE(B4:B8)</x:v>
      </x:c>
      <x:c r="J4" s="74" t="n">
        <x:f>AVERAGE(B4:B8)</x:f>
        <x:v>1324</x:v>
      </x:c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B</x:v>
      </x:c>
      <x:c r="B5" s="74" t="n">
        <x:v>400</x:v>
      </x:c>
      <x:c r="C5" s="32" t="n">
        <x:v>400</x:v>
      </x:c>
      <x:c r="D5" s="32" t="str">
        <x:v>否</x:v>
      </x:c>
      <x:c r="E5" s="32" t="str"/>
      <x:c r="F5" s="32" t="str"/>
      <x:c r="G5" s="104"/>
      <x:c r="H5" s="32" t="str">
        <x:v>中位數 Median</x:v>
      </x:c>
      <x:c r="I5" s="32" t="str">
        <x:v>=MEDIAN(B4:B8)</x:v>
      </x:c>
      <x:c r="J5" s="74" t="n">
        <x:f>MEDIAN(B4:B8)</x:f>
        <x:v>420</x:v>
      </x:c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C</x:v>
      </x:c>
      <x:c r="B6" s="74" t="n">
        <x:v>420</x:v>
      </x:c>
      <x:c r="C6" s="32" t="n">
        <x:v>420</x:v>
      </x:c>
      <x:c r="D6" s="32" t="str">
        <x:v>否</x:v>
      </x:c>
      <x:c r="E6" s="32" t="str"/>
      <x:c r="F6" s="32" t="str"/>
      <x:c r="G6" s="104"/>
      <x:c r="H6" s="32" t="str">
        <x:v>眾數 Mode</x:v>
      </x:c>
      <x:c r="I6" s="32" t="str">
        <x:v>=MODE.SNGL(B4:B8)</x:v>
      </x:c>
      <x:c r="J6" s="74" t="n">
        <x:f>MODE.SNGL(B4:B8)</x:f>
        <x:v>420</x:v>
      </x:c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D</x:v>
      </x:c>
      <x:c r="B7" s="74" t="n">
        <x:v>420</x:v>
      </x:c>
      <x:c r="C7" s="32" t="n">
        <x:v>420</x:v>
      </x:c>
      <x:c r="D7" s="32" t="str">
        <x:v>否</x:v>
      </x:c>
      <x:c r="E7" s="32" t="str"/>
      <x:c r="F7" s="32" t="str"/>
      <x:c r="G7" s="104"/>
      <x:c r="H7" s="32" t="str">
        <x:v>最小值 Min</x:v>
      </x:c>
      <x:c r="I7" s="32" t="str">
        <x:v>=MIN(B4:B8)</x:v>
      </x:c>
      <x:c r="J7" s="74" t="n">
        <x:f>MIN(B4:B8)</x:f>
        <x:v>380</x:v>
      </x:c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主管</x:v>
      </x:c>
      <x:c r="B8" s="74" t="n">
        <x:v>5000</x:v>
      </x:c>
      <x:c r="C8" s="32" t="n">
        <x:v>5000</x:v>
      </x:c>
      <x:c r="D8" s="32" t="str">
        <x:v>是</x:v>
      </x:c>
      <x:c r="E8" s="32" t="str"/>
      <x:c r="F8" s="32" t="str"/>
      <x:c r="G8" s="104"/>
      <x:c r="H8" s="32" t="str">
        <x:v>最大值 Max</x:v>
      </x:c>
      <x:c r="I8" s="32" t="str">
        <x:v>=MAX(B4:B8)</x:v>
      </x:c>
      <x:c r="J8" s="74" t="n">
        <x:f>MAX(B4:B8)</x:f>
        <x:v>5000</x:v>
      </x:c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104"/>
      <x:c r="B9" s="104"/>
      <x:c r="C9" s="104"/>
      <x:c r="D9" s="104"/>
      <x:c r="E9" s="104"/>
      <x:c r="F9" s="104"/>
      <x:c r="G9" s="104"/>
      <x:c r="H9" s="32" t="str">
        <x:v>全距 Range</x:v>
      </x:c>
      <x:c r="I9" s="32" t="str">
        <x:v>=MAX(B4:B8)-MIN(B4:B8)</x:v>
      </x:c>
      <x:c r="J9" s="74" t="n">
        <x:f>MAX(B4:B8)-MIN(B4:B8)</x:f>
        <x:v>4620</x:v>
      </x:c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104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65" t="str">
        <x:v>這組薪資的平均數是1,324美元，但四個人的薪資都不超過420美元。主管的5,000美元把平均數大幅拉高；中位數與眾數都是420美元，更接近一般員工。結論：平均數計算沒錯，但不一定適合回答『一般人是多少』。</x:v>
      </x:c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24" t="str">
        <x:v>日期</x:v>
      </x:c>
      <x:c r="B15" s="24" t="str">
        <x:v>組A產量</x:v>
      </x:c>
      <x:c r="C15" s="24" t="str">
        <x:v>組B產量</x:v>
      </x:c>
      <x:c r="D15" s="24" t="str">
        <x:v>A平均</x:v>
      </x:c>
      <x:c r="E15" s="24" t="str">
        <x:v>B平均</x:v>
      </x:c>
      <x:c r="F15" s="24" t="str">
        <x:v>A全距</x:v>
      </x:c>
      <x:c r="G15" s="24" t="str">
        <x:v>B全距</x:v>
      </x:c>
      <x:c r="H15" s="24" t="str">
        <x:v>判斷</x:v>
      </x:c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星期一</x:v>
      </x:c>
      <x:c r="B16" s="32" t="n">
        <x:v>800</x:v>
      </x:c>
      <x:c r="C16" s="32" t="n">
        <x:v>500</x:v>
      </x:c>
      <x:c r="D16" s="77" t="n">
        <x:f>AVERAGE(B16:B20)</x:f>
        <x:v>800</x:v>
      </x:c>
      <x:c r="E16" s="77" t="n">
        <x:f>AVERAGE(C16:C20)</x:f>
        <x:v>800</x:v>
      </x:c>
      <x:c r="F16" s="77" t="n">
        <x:f>MAX(B16:B20)-MIN(B16:B20)</x:f>
        <x:v>20</x:v>
      </x:c>
      <x:c r="G16" s="77" t="n">
        <x:f>MAX(C16:C20)-MIN(C16:C20)</x:f>
        <x:v>600</x:v>
      </x:c>
      <x:c r="H16" s="77" t="str">
        <x:f>IF(F16&lt;G16,"A組較穩定","B組較穩定")</x:f>
        <x:v>A組較穩定</x:v>
      </x:c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str">
        <x:v>星期二</x:v>
      </x:c>
      <x:c r="B17" s="32" t="n">
        <x:v>810</x:v>
      </x:c>
      <x:c r="C17" s="32" t="n">
        <x:v>650</x:v>
      </x:c>
      <x:c r="D17" s="32"/>
      <x:c r="E17" s="32"/>
      <x:c r="F17" s="32"/>
      <x:c r="G17" s="32"/>
      <x:c r="H17" s="32" t="str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32" t="str">
        <x:v>星期三</x:v>
      </x:c>
      <x:c r="B18" s="32" t="n">
        <x:v>805</x:v>
      </x:c>
      <x:c r="C18" s="32" t="n">
        <x:v>800</x:v>
      </x:c>
      <x:c r="D18" s="32"/>
      <x:c r="E18" s="32"/>
      <x:c r="F18" s="32"/>
      <x:c r="G18" s="32"/>
      <x:c r="H18" s="32" t="str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32" t="str">
        <x:v>星期四</x:v>
      </x:c>
      <x:c r="B19" s="32" t="n">
        <x:v>795</x:v>
      </x:c>
      <x:c r="C19" s="32" t="n">
        <x:v>950</x:v>
      </x:c>
      <x:c r="D19" s="32"/>
      <x:c r="E19" s="32"/>
      <x:c r="F19" s="32"/>
      <x:c r="G19" s="32"/>
      <x:c r="H19" s="32" t="str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32" t="str">
        <x:v>星期五</x:v>
      </x:c>
      <x:c r="B20" s="32" t="n">
        <x:v>790</x:v>
      </x:c>
      <x:c r="C20" s="32" t="n">
        <x:v>1100</x:v>
      </x:c>
      <x:c r="D20" s="32"/>
      <x:c r="E20" s="32"/>
      <x:c r="F20" s="32"/>
      <x:c r="G20" s="32"/>
      <x:c r="H20" s="32" t="str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J1"/>
    <x:mergeCell ref="A2:J2"/>
    <x:mergeCell ref="A11:J13"/>
    <x:mergeCell ref="D16:D20"/>
    <x:mergeCell ref="E16:E20"/>
    <x:mergeCell ref="F16:F20"/>
    <x:mergeCell ref="G16:G20"/>
    <x:mergeCell ref="H16:H20"/>
  </x:mergeCells>
  <x:pageMargins left="0.7" right="0.7" top="0.75" bottom="0.75" header="0.3" footer="0.3"/>
  <x:drawing xmlns:r="http://schemas.openxmlformats.org/officeDocument/2006/relationships" r:id="R9a7469b303e349cb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2" hidden="0" customWidth="1"/>
    <x:col min="5" max="5" width="26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0" customHeight="1">
      <x:c r="A1" s="6" t="str">
        <x:v>第4章｜圖表判讀 Chart Literacy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先決定問題類型：比較、趨勢、占比、分布，再選圖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你想回答的問題</x:v>
      </x:c>
      <x:c r="B3" s="24" t="str">
        <x:v>推薦圖表</x:v>
      </x:c>
      <x:c r="C3" s="24" t="str">
        <x:v>英文</x:v>
      </x:c>
      <x:c r="D3" s="24" t="str">
        <x:v>適合資料</x:v>
      </x:c>
      <x:c r="E3" s="24" t="str">
        <x:v>不適合／風險</x:v>
      </x:c>
      <x:c r="F3" s="24" t="str">
        <x:v>日常例子</x:v>
      </x:c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不同項目誰高誰低？</x:v>
      </x:c>
      <x:c r="B4" s="32" t="str">
        <x:v>長條圖</x:v>
      </x:c>
      <x:c r="C4" s="32" t="str">
        <x:v>Bar / Column chart</x:v>
      </x:c>
      <x:c r="D4" s="32" t="str">
        <x:v>類別比較</x:v>
      </x:c>
      <x:c r="E4" s="32" t="str">
        <x:v>類別太多會擁擠</x:v>
      </x:c>
      <x:c r="F4" s="32" t="str">
        <x:v>各車縫組產量比較</x:v>
      </x:c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數值隨時間怎麼變？</x:v>
      </x:c>
      <x:c r="B5" s="32" t="str">
        <x:v>折線圖</x:v>
      </x:c>
      <x:c r="C5" s="32" t="str">
        <x:v>Line chart</x:v>
      </x:c>
      <x:c r="D5" s="32" t="str">
        <x:v>日／週／月趨勢</x:v>
      </x:c>
      <x:c r="E5" s="32" t="str">
        <x:v>時間點太少時意義有限</x:v>
      </x:c>
      <x:c r="F5" s="32" t="str">
        <x:v>每日產量、每月電費</x:v>
      </x:c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整體由哪些部分組成？</x:v>
      </x:c>
      <x:c r="B6" s="32" t="str">
        <x:v>圓餅圖或100%堆疊圖</x:v>
      </x:c>
      <x:c r="C6" s="32" t="str">
        <x:v>Pie / 100% stacked</x:v>
      </x:c>
      <x:c r="D6" s="32" t="str">
        <x:v>少量類別的占比</x:v>
      </x:c>
      <x:c r="E6" s="32" t="str">
        <x:v>類別多或差距小難判讀</x:v>
      </x:c>
      <x:c r="F6" s="32" t="str">
        <x:v>家庭支出占比</x:v>
      </x:c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數值集中在哪裡？</x:v>
      </x:c>
      <x:c r="B7" s="32" t="str">
        <x:v>直方圖</x:v>
      </x:c>
      <x:c r="C7" s="32" t="str">
        <x:v>Histogram</x:v>
      </x:c>
      <x:c r="D7" s="32" t="str">
        <x:v>大量連續數值</x:v>
      </x:c>
      <x:c r="E7" s="32" t="str">
        <x:v>不能用於類別名稱</x:v>
      </x:c>
      <x:c r="F7" s="32" t="str">
        <x:v>產品重量、工時分布</x:v>
      </x:c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兩個數值是否一起變？</x:v>
      </x:c>
      <x:c r="B8" s="32" t="str">
        <x:v>散布圖</x:v>
      </x:c>
      <x:c r="C8" s="32" t="str">
        <x:v>Scatter plot</x:v>
      </x:c>
      <x:c r="D8" s="32" t="str">
        <x:v>成對數值</x:v>
      </x:c>
      <x:c r="E8" s="32" t="str">
        <x:v>相關不等於因果</x:v>
      </x:c>
      <x:c r="F8" s="32" t="str">
        <x:v>人數與產量</x:v>
      </x:c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83" t="str">
        <x:v>看圖五問：①標題在說什麼？②橫軸與縱軸是什麼單位？③是否從0開始？④資料範圍與期間是否完整？⑤圖形的結論能否被原始數據支持？截斷縱軸、混用單位、只挑有利期間，都可能讓圖表看起來比實際更誇張。</x:v>
      </x:c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48" t="str">
        <x:v>月份</x:v>
      </x:c>
      <x:c r="B14" s="48" t="str">
        <x:v>實際產量</x:v>
      </x:c>
      <x:c r="C14" s="48" t="str">
        <x:v>目標產量</x:v>
      </x:c>
      <x:c r="D14" s="48" t="str">
        <x:v>達成率</x:v>
      </x:c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str">
        <x:v>1月</x:v>
      </x:c>
      <x:c r="B15" s="32" t="n">
        <x:v>186300</x:v>
      </x:c>
      <x:c r="C15" s="32" t="n">
        <x:v>200000</x:v>
      </x:c>
      <x:c r="D15" s="70" t="n">
        <x:f>B15/C15</x:f>
        <x:v>0.9315</x:v>
      </x:c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2月</x:v>
      </x:c>
      <x:c r="B16" s="32" t="n">
        <x:v>171488</x:v>
      </x:c>
      <x:c r="C16" s="32" t="n">
        <x:v>200000</x:v>
      </x:c>
      <x:c r="D16" s="70" t="n">
        <x:f>B16/C16</x:f>
        <x:v>0.85744</x:v>
      </x:c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str">
        <x:v>3月</x:v>
      </x:c>
      <x:c r="B17" s="32" t="n">
        <x:v>301730</x:v>
      </x:c>
      <x:c r="C17" s="32" t="n">
        <x:v>250000</x:v>
      </x:c>
      <x:c r="D17" s="70" t="n">
        <x:f>B17/C17</x:f>
        <x:v>1.20692</x:v>
      </x:c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32" t="str">
        <x:v>4月</x:v>
      </x:c>
      <x:c r="B18" s="32" t="n">
        <x:v>138131</x:v>
      </x:c>
      <x:c r="C18" s="32" t="n">
        <x:v>200000</x:v>
      </x:c>
      <x:c r="D18" s="70" t="n">
        <x:f>B18/C18</x:f>
        <x:v>0.690655</x:v>
      </x:c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32" t="str">
        <x:v>5月</x:v>
      </x:c>
      <x:c r="B19" s="32" t="n">
        <x:v>179310</x:v>
      </x:c>
      <x:c r="C19" s="32" t="n">
        <x:v>200000</x:v>
      </x:c>
      <x:c r="D19" s="70" t="n">
        <x:f>B19/C19</x:f>
        <x:v>0.89655</x:v>
      </x:c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32" t="str">
        <x:v>6月</x:v>
      </x:c>
      <x:c r="B20" s="32" t="n">
        <x:v>159770</x:v>
      </x:c>
      <x:c r="C20" s="32" t="n">
        <x:v>200000</x:v>
      </x:c>
      <x:c r="D20" s="70" t="n">
        <x:f>B20/C20</x:f>
        <x:v>0.79885</x:v>
      </x:c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24" t="str">
        <x:v>不良類別</x:v>
      </x:c>
      <x:c r="B23" s="24" t="str">
        <x:v>件數</x:v>
      </x:c>
      <x:c r="C23" s="24" t="str">
        <x:v>占總不良比例</x:v>
      </x:c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32" t="str">
        <x:v>車縫跳針</x:v>
      </x:c>
      <x:c r="B24" s="32" t="n">
        <x:v>62</x:v>
      </x:c>
      <x:c r="C24" s="70" t="n">
        <x:f>B24/SUM($B$24:$B$28)</x:f>
        <x:v>0.41333333333333333</x:v>
      </x:c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32" t="str">
        <x:v>污漬</x:v>
      </x:c>
      <x:c r="B25" s="32" t="n">
        <x:v>41</x:v>
      </x:c>
      <x:c r="C25" s="70" t="n">
        <x:f>B25/SUM($B$24:$B$28)</x:f>
        <x:v>0.2733333333333333</x:v>
      </x:c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32" t="str">
        <x:v>尺寸不符</x:v>
      </x:c>
      <x:c r="B26" s="32" t="n">
        <x:v>25</x:v>
      </x:c>
      <x:c r="C26" s="70" t="n">
        <x:f>B26/SUM($B$24:$B$28)</x:f>
        <x:v>0.16666666666666666</x:v>
      </x:c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32" t="str">
        <x:v>破損</x:v>
      </x:c>
      <x:c r="B27" s="32" t="n">
        <x:v>12</x:v>
      </x:c>
      <x:c r="C27" s="70" t="n">
        <x:f>B27/SUM($B$24:$B$28)</x:f>
        <x:v>0.08</x:v>
      </x:c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32" t="str">
        <x:v>包裝錯誤</x:v>
      </x:c>
      <x:c r="B28" s="32" t="n">
        <x:v>10</x:v>
      </x:c>
      <x:c r="C28" s="70" t="n">
        <x:f>B28/SUM($B$24:$B$28)</x:f>
        <x:v>0.06666666666666667</x:v>
      </x:c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J1"/>
    <x:mergeCell ref="A2:J2"/>
    <x:mergeCell ref="A10:J12"/>
  </x:mergeCells>
  <x:conditionalFormatting sqref="D15:D20">
    <x:cfRule type="colorScale" priority="1">
      <x:colorScale>
        <x:cfvo type="min"/>
        <x:cfvo type="percentile" val="50"/>
        <x:cfvo type="max"/>
        <x:color rgb="FFFCECEC"/>
        <x:color rgb="FFFFF5DB"/>
        <x:color rgb="FFEAF6EE"/>
      </x:colorScale>
    </x:cfRule>
  </x:conditionalFormatting>
  <x:pageMargins left="0.7" right="0.7" top="0.75" bottom="0.75" header="0.3" footer="0.3"/>
  <x:drawing xmlns:r="http://schemas.openxmlformats.org/officeDocument/2006/relationships" r:id="R70faf44086f346a7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22" hidden="0" customWidth="1"/>
  </x:cols>
  <x:sheetData>
    <x:row r="1" ht="20" customHeight="1">
      <x:c r="A1" s="6" t="str">
        <x:v>綜合案例｜車縫組每日績效分析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同時看產量、目標、人數與品質，避免只看單一數字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組別</x:v>
      </x:c>
      <x:c r="B3" s="24" t="str">
        <x:v>出勤人數</x:v>
      </x:c>
      <x:c r="C3" s="24" t="str">
        <x:v>實際產量</x:v>
      </x:c>
      <x:c r="D3" s="24" t="str">
        <x:v>目標產量</x:v>
      </x:c>
      <x:c r="E3" s="24" t="str">
        <x:v>檢查件數</x:v>
      </x:c>
      <x:c r="F3" s="24" t="str">
        <x:v>不良件數</x:v>
      </x:c>
      <x:c r="G3" s="24" t="str">
        <x:v>人均產出</x:v>
      </x:c>
      <x:c r="H3" s="24" t="str">
        <x:v>達成率</x:v>
      </x:c>
      <x:c r="I3" s="24" t="str">
        <x:v>不良率</x:v>
      </x:c>
      <x:c r="J3" s="24" t="str">
        <x:v>管理判斷</x:v>
      </x:c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1組</x:v>
      </x:c>
      <x:c r="B4" s="39" t="n">
        <x:v>28</x:v>
      </x:c>
      <x:c r="C4" s="39" t="n">
        <x:v>820</x:v>
      </x:c>
      <x:c r="D4" s="39" t="n">
        <x:v>900</x:v>
      </x:c>
      <x:c r="E4" s="39" t="n">
        <x:v>820</x:v>
      </x:c>
      <x:c r="F4" s="39" t="n">
        <x:v>10</x:v>
      </x:c>
      <x:c r="G4" s="88" t="n">
        <x:f>IFERROR(C4/B4,0)</x:f>
        <x:v>29.285714285714285</x:v>
      </x:c>
      <x:c r="H4" s="70" t="n">
        <x:f>IFERROR(C4/D4,0)</x:f>
        <x:v>0.9111111111111111</x:v>
      </x:c>
      <x:c r="I4" s="70" t="n">
        <x:f>IFERROR(F4/E4,0)</x:f>
        <x:v>0.012195121951219513</x:v>
      </x:c>
      <x:c r="J4" s="32" t="str">
        <x:f>IF(AND(H4&gt;=100%,I4&lt;=1.5%),"表現良好",IF(I4&gt;2.5%,"品質優先追查",IF(H4&lt;90%,"產能落後","需觀察")))</x:f>
        <x:v>需觀察</x:v>
      </x:c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2組</x:v>
      </x:c>
      <x:c r="B5" s="39" t="n">
        <x:v>30</x:v>
      </x:c>
      <x:c r="C5" s="39" t="n">
        <x:v>910</x:v>
      </x:c>
      <x:c r="D5" s="39" t="n">
        <x:v>900</x:v>
      </x:c>
      <x:c r="E5" s="39" t="n">
        <x:v>910</x:v>
      </x:c>
      <x:c r="F5" s="39" t="n">
        <x:v>15</x:v>
      </x:c>
      <x:c r="G5" s="88" t="n">
        <x:f>IFERROR(C5/B5,0)</x:f>
        <x:v>30.333333333333332</x:v>
      </x:c>
      <x:c r="H5" s="70" t="n">
        <x:f>IFERROR(C5/D5,0)</x:f>
        <x:v>1.011111111111111</x:v>
      </x:c>
      <x:c r="I5" s="70" t="n">
        <x:f>IFERROR(F5/E5,0)</x:f>
        <x:v>0.016483516483516484</x:v>
      </x:c>
      <x:c r="J5" s="32" t="str">
        <x:f>IF(AND(H5&gt;=100%,I5&lt;=1.5%),"表現良好",IF(I5&gt;2.5%,"品質優先追查",IF(H5&lt;90%,"產能落後","需觀察")))</x:f>
        <x:v>需觀察</x:v>
      </x:c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3組</x:v>
      </x:c>
      <x:c r="B6" s="39" t="n">
        <x:v>25</x:v>
      </x:c>
      <x:c r="C6" s="39" t="n">
        <x:v>760</x:v>
      </x:c>
      <x:c r="D6" s="39" t="n">
        <x:v>800</x:v>
      </x:c>
      <x:c r="E6" s="39" t="n">
        <x:v>760</x:v>
      </x:c>
      <x:c r="F6" s="39" t="n">
        <x:v>8</x:v>
      </x:c>
      <x:c r="G6" s="88" t="n">
        <x:f>IFERROR(C6/B6,0)</x:f>
        <x:v>30.4</x:v>
      </x:c>
      <x:c r="H6" s="70" t="n">
        <x:f>IFERROR(C6/D6,0)</x:f>
        <x:v>0.95</x:v>
      </x:c>
      <x:c r="I6" s="70" t="n">
        <x:f>IFERROR(F6/E6,0)</x:f>
        <x:v>0.010526315789473684</x:v>
      </x:c>
      <x:c r="J6" s="32" t="str">
        <x:f>IF(AND(H6&gt;=100%,I6&lt;=1.5%),"表現良好",IF(I6&gt;2.5%,"品質優先追查",IF(H6&lt;90%,"產能落後","需觀察")))</x:f>
        <x:v>需觀察</x:v>
      </x:c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4組</x:v>
      </x:c>
      <x:c r="B7" s="39" t="n">
        <x:v>32</x:v>
      </x:c>
      <x:c r="C7" s="39" t="n">
        <x:v>980</x:v>
      </x:c>
      <x:c r="D7" s="39" t="n">
        <x:v>950</x:v>
      </x:c>
      <x:c r="E7" s="39" t="n">
        <x:v>980</x:v>
      </x:c>
      <x:c r="F7" s="39" t="n">
        <x:v>28</x:v>
      </x:c>
      <x:c r="G7" s="88" t="n">
        <x:f>IFERROR(C7/B7,0)</x:f>
        <x:v>30.625</x:v>
      </x:c>
      <x:c r="H7" s="70" t="n">
        <x:f>IFERROR(C7/D7,0)</x:f>
        <x:v>1.0315789473684212</x:v>
      </x:c>
      <x:c r="I7" s="70" t="n">
        <x:f>IFERROR(F7/E7,0)</x:f>
        <x:v>0.02857142857142857</x:v>
      </x:c>
      <x:c r="J7" s="32" t="str">
        <x:f>IF(AND(H7&gt;=100%,I7&lt;=1.5%),"表現良好",IF(I7&gt;2.5%,"品質優先追查",IF(H7&lt;90%,"產能落後","需觀察")))</x:f>
        <x:v>品質優先追查</x:v>
      </x:c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5組</x:v>
      </x:c>
      <x:c r="B8" s="39" t="n">
        <x:v>26</x:v>
      </x:c>
      <x:c r="C8" s="39" t="n">
        <x:v>690</x:v>
      </x:c>
      <x:c r="D8" s="39" t="n">
        <x:v>800</x:v>
      </x:c>
      <x:c r="E8" s="39" t="n">
        <x:v>690</x:v>
      </x:c>
      <x:c r="F8" s="39" t="n">
        <x:v>6</x:v>
      </x:c>
      <x:c r="G8" s="88" t="n">
        <x:f>IFERROR(C8/B8,0)</x:f>
        <x:v>26.53846153846154</x:v>
      </x:c>
      <x:c r="H8" s="70" t="n">
        <x:f>IFERROR(C8/D8,0)</x:f>
        <x:v>0.8625</x:v>
      </x:c>
      <x:c r="I8" s="70" t="n">
        <x:f>IFERROR(F8/E8,0)</x:f>
        <x:v>0.008695652173913044</x:v>
      </x:c>
      <x:c r="J8" s="32" t="str">
        <x:f>IF(AND(H8&gt;=100%,I8&lt;=1.5%),"表現良好",IF(I8&gt;2.5%,"品質優先追查",IF(H8&lt;90%,"產能落後","需觀察")))</x:f>
        <x:v>產能落後</x:v>
      </x:c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32" t="str">
        <x:v>6組</x:v>
      </x:c>
      <x:c r="B9" s="39" t="n">
        <x:v>29</x:v>
      </x:c>
      <x:c r="C9" s="39" t="n">
        <x:v>870</x:v>
      </x:c>
      <x:c r="D9" s="39" t="n">
        <x:v>850</x:v>
      </x:c>
      <x:c r="E9" s="39" t="n">
        <x:v>870</x:v>
      </x:c>
      <x:c r="F9" s="39" t="n">
        <x:v>9</x:v>
      </x:c>
      <x:c r="G9" s="88" t="n">
        <x:f>IFERROR(C9/B9,0)</x:f>
        <x:v>30</x:v>
      </x:c>
      <x:c r="H9" s="70" t="n">
        <x:f>IFERROR(C9/D9,0)</x:f>
        <x:v>1.0235294117647058</x:v>
      </x:c>
      <x:c r="I9" s="70" t="n">
        <x:f>IFERROR(F9/E9,0)</x:f>
        <x:v>0.010344827586206896</x:v>
      </x:c>
      <x:c r="J9" s="32" t="str">
        <x:f>IF(AND(H9&gt;=100%,I9&lt;=1.5%),"表現良好",IF(I9&gt;2.5%,"品質優先追查",IF(H9&lt;90%,"產能落後","需觀察")))</x:f>
        <x:v>表現良好</x:v>
      </x:c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32" t="str">
        <x:v>7組</x:v>
      </x:c>
      <x:c r="B10" s="39" t="n">
        <x:v>27</x:v>
      </x:c>
      <x:c r="C10" s="39" t="n">
        <x:v>810</x:v>
      </x:c>
      <x:c r="D10" s="39" t="n">
        <x:v>850</x:v>
      </x:c>
      <x:c r="E10" s="39" t="n">
        <x:v>810</x:v>
      </x:c>
      <x:c r="F10" s="39" t="n">
        <x:v>22</x:v>
      </x:c>
      <x:c r="G10" s="88" t="n">
        <x:f>IFERROR(C10/B10,0)</x:f>
        <x:v>30</x:v>
      </x:c>
      <x:c r="H10" s="70" t="n">
        <x:f>IFERROR(C10/D10,0)</x:f>
        <x:v>0.9529411764705882</x:v>
      </x:c>
      <x:c r="I10" s="70" t="n">
        <x:f>IFERROR(F10/E10,0)</x:f>
        <x:v>0.027160493827160494</x:v>
      </x:c>
      <x:c r="J10" s="32" t="str">
        <x:f>IF(AND(H10&gt;=100%,I10&lt;=1.5%),"表現良好",IF(I10&gt;2.5%,"品質優先追查",IF(H10&lt;90%,"產能落後","需觀察")))</x:f>
        <x:v>品質優先追查</x:v>
      </x:c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32" t="str">
        <x:v>8組</x:v>
      </x:c>
      <x:c r="B11" s="39" t="n">
        <x:v>31</x:v>
      </x:c>
      <x:c r="C11" s="39" t="n">
        <x:v>930</x:v>
      </x:c>
      <x:c r="D11" s="39" t="n">
        <x:v>950</x:v>
      </x:c>
      <x:c r="E11" s="39" t="n">
        <x:v>930</x:v>
      </x:c>
      <x:c r="F11" s="39" t="n">
        <x:v>11</x:v>
      </x:c>
      <x:c r="G11" s="88" t="n">
        <x:f>IFERROR(C11/B11,0)</x:f>
        <x:v>30</x:v>
      </x:c>
      <x:c r="H11" s="70" t="n">
        <x:f>IFERROR(C11/D11,0)</x:f>
        <x:v>0.9789473684210527</x:v>
      </x:c>
      <x:c r="I11" s="70" t="n">
        <x:f>IFERROR(F11/E11,0)</x:f>
        <x:v>0.011827956989247311</x:v>
      </x:c>
      <x:c r="J11" s="32" t="str">
        <x:f>IF(AND(H11&gt;=100%,I11&lt;=1.5%),"表現良好",IF(I11&gt;2.5%,"品質優先追查",IF(H11&lt;90%,"產能落後","需觀察")))</x:f>
        <x:v>需觀察</x:v>
      </x:c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48" t="str">
        <x:v>KPI</x:v>
      </x:c>
      <x:c r="B14" s="48" t="str">
        <x:v>總出勤</x:v>
      </x:c>
      <x:c r="C14" s="48" t="str">
        <x:v>總產量</x:v>
      </x:c>
      <x:c r="D14" s="48" t="str">
        <x:v>總目標</x:v>
      </x:c>
      <x:c r="E14" s="48" t="str">
        <x:v>整體達成率</x:v>
      </x:c>
      <x:c r="F14" s="48" t="str">
        <x:v>總不良</x:v>
      </x:c>
      <x:c r="G14" s="48" t="str">
        <x:v>整體不良率</x:v>
      </x:c>
      <x:c r="H14" s="48" t="str">
        <x:v>平均人均產出</x:v>
      </x:c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str">
        <x:v>自動計算</x:v>
      </x:c>
      <x:c r="B15" s="32" t="n">
        <x:f>SUM(B4:B11)</x:f>
        <x:v>228</x:v>
      </x:c>
      <x:c r="C15" s="32" t="n">
        <x:f>SUM(C4:C11)</x:f>
        <x:v>6770</x:v>
      </x:c>
      <x:c r="D15" s="32" t="n">
        <x:f>SUM(D4:D11)</x:f>
        <x:v>7000</x:v>
      </x:c>
      <x:c r="E15" s="70" t="n">
        <x:f>C15/D15</x:f>
        <x:v>0.9671428571428572</x:v>
      </x:c>
      <x:c r="F15" s="106" t="n">
        <x:f>SUM(F4:F11)</x:f>
        <x:v>109</x:v>
      </x:c>
      <x:c r="G15" s="70" t="n">
        <x:f>F15/SUM(E4:E11)</x:f>
        <x:v>0.016100443131462333</x:v>
      </x:c>
      <x:c r="H15" s="88" t="n">
        <x:f>C15/B15</x:f>
        <x:v>29.69298245614035</x:v>
      </x:c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9" t="str">
        <x:v>管理判讀示例：4組產量與達成率高，但不良率也偏高，不能只表揚產量；5組不良率低但產能落後，需要檢查款式難度、技能、機台、物料與停等原因；2組達標但不良率接近警戒值，應持續觀察。統計的用途是提出『下一個該查什麼』。</x:v>
      </x:c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J1"/>
    <x:mergeCell ref="A2:J2"/>
    <x:mergeCell ref="A17:J19"/>
  </x:mergeCells>
  <x:conditionalFormatting sqref="H4:H11">
    <x:cfRule type="colorScale" priority="1">
      <x:colorScale>
        <x:cfvo type="min"/>
        <x:cfvo type="percentile" val="50"/>
        <x:cfvo type="max"/>
        <x:color rgb="FFFCECEC"/>
        <x:color rgb="FFFFF5DB"/>
        <x:color rgb="FFEAF6EE"/>
      </x:colorScale>
    </x:cfRule>
  </x:conditionalFormatting>
  <x:conditionalFormatting sqref="I4:I11">
    <x:cfRule type="colorScale" priority="2">
      <x:colorScale>
        <x:cfvo type="min"/>
        <x:cfvo type="percentile" val="50"/>
        <x:cfvo type="max"/>
        <x:color rgb="FFEAF6EE"/>
        <x:color rgb="FFFFF5DB"/>
        <x:color rgb="FFFCECEC"/>
      </x:colorScale>
    </x:cfRule>
  </x:conditionalFormatting>
  <x:conditionalFormatting sqref="J4:J11">
    <x:cfRule type="expression" dxfId="4" priority="3">
      <x:formula>J4="表現良好"</x:formula>
    </x:cfRule>
    <x:cfRule type="expression" dxfId="5" priority="4">
      <x:formula>J4="品質優先追查"</x:formula>
    </x:cfRule>
    <x:cfRule type="expression" dxfId="6" priority="5">
      <x:formula>J4="產能落後"</x:formula>
    </x:cfRule>
  </x:conditionalFormatting>
  <x:pageMargins left="0.7" right="0.7" top="0.75" bottom="0.75" header="0.3" footer="0.3"/>
  <x:drawing xmlns:r="http://schemas.openxmlformats.org/officeDocument/2006/relationships" r:id="R556118cde0ab4934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28" hidden="0" customWidth="1"/>
  </x:cols>
  <x:sheetData>
    <x:row r="1" ht="20" customHeight="1">
      <x:c r="A1" s="6" t="str">
        <x:v>第一冊測驗｜15題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先獨立作答，再到07_答案核對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題號</x:v>
      </x:c>
      <x:c r="B3" s="24" t="str">
        <x:v>題目</x:v>
      </x:c>
      <x:c r="C3" s="24" t="str">
        <x:v>選項A</x:v>
      </x:c>
      <x:c r="D3" s="24" t="str">
        <x:v>選項B</x:v>
      </x:c>
      <x:c r="E3" s="24" t="str">
        <x:v>選項C</x:v>
      </x:c>
      <x:c r="F3" s="24" t="str">
        <x:v>你的答案</x:v>
      </x:c>
      <x:c r="G3" s="24" t="str">
        <x:v>自我說明</x:v>
      </x:c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n">
        <x:v>1</x:v>
      </x:c>
      <x:c r="B4" s="32" t="str">
        <x:v>組別1、2、3屬於哪一類資料？</x:v>
      </x:c>
      <x:c r="C4" s="32" t="str">
        <x:v>類別資料</x:v>
      </x:c>
      <x:c r="D4" s="32" t="str">
        <x:v>連續數值</x:v>
      </x:c>
      <x:c r="E4" s="32" t="str">
        <x:v>比例資料</x:v>
      </x:c>
      <x:c r="F4" s="39" t="str"/>
      <x:c r="G4" s="32" t="str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n">
        <x:v>2</x:v>
      </x:c>
      <x:c r="B5" s="32" t="str">
        <x:v>抽查整批貨中的300件，300件稱為？</x:v>
      </x:c>
      <x:c r="C5" s="32" t="str">
        <x:v>母體</x:v>
      </x:c>
      <x:c r="D5" s="32" t="str">
        <x:v>樣本</x:v>
      </x:c>
      <x:c r="E5" s="32" t="str">
        <x:v>變數</x:v>
      </x:c>
      <x:c r="F5" s="39" t="str"/>
      <x:c r="G5" s="32" t="str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n">
        <x:v>3</x:v>
      </x:c>
      <x:c r="B6" s="32" t="str">
        <x:v>出勤480人，應出勤500人，出勤率為？</x:v>
      </x:c>
      <x:c r="C6" s="32" t="str">
        <x:v>96%</x:v>
      </x:c>
      <x:c r="D6" s="32" t="str">
        <x:v>104.2%</x:v>
      </x:c>
      <x:c r="E6" s="32" t="str">
        <x:v>20%</x:v>
      </x:c>
      <x:c r="F6" s="39" t="str"/>
      <x:c r="G6" s="32" t="str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n">
        <x:v>4</x:v>
      </x:c>
      <x:c r="B7" s="32" t="str">
        <x:v>計算不良率時，正確分母通常是？</x:v>
      </x:c>
      <x:c r="C7" s="32" t="str">
        <x:v>不良件數</x:v>
      </x:c>
      <x:c r="D7" s="32" t="str">
        <x:v>檢查總件數</x:v>
      </x:c>
      <x:c r="E7" s="32" t="str">
        <x:v>出勤人數</x:v>
      </x:c>
      <x:c r="F7" s="39" t="str"/>
      <x:c r="G7" s="32" t="str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n">
        <x:v>5</x:v>
      </x:c>
      <x:c r="B8" s="32" t="str">
        <x:v>實際產量9,500，目標9,000，達成率為？</x:v>
      </x:c>
      <x:c r="C8" s="32" t="str">
        <x:v>94.7%</x:v>
      </x:c>
      <x:c r="D8" s="32" t="str">
        <x:v>105.6%</x:v>
      </x:c>
      <x:c r="E8" s="32" t="str">
        <x:v>500%</x:v>
      </x:c>
      <x:c r="F8" s="39" t="str"/>
      <x:c r="G8" s="32" t="str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32" t="n">
        <x:v>6</x:v>
      </x:c>
      <x:c r="B9" s="32" t="str">
        <x:v>380、400、420、440、5,000的中位數是？</x:v>
      </x:c>
      <x:c r="C9" s="32" t="str">
        <x:v>420</x:v>
      </x:c>
      <x:c r="D9" s="32" t="str">
        <x:v>1,328</x:v>
      </x:c>
      <x:c r="E9" s="32" t="str">
        <x:v>5,000</x:v>
      </x:c>
      <x:c r="F9" s="39" t="str"/>
      <x:c r="G9" s="32" t="str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32" t="n">
        <x:v>7</x:v>
      </x:c>
      <x:c r="B10" s="32" t="str">
        <x:v>極端高值通常對哪個統計量影響較大？</x:v>
      </x:c>
      <x:c r="C10" s="32" t="str">
        <x:v>平均數</x:v>
      </x:c>
      <x:c r="D10" s="32" t="str">
        <x:v>中位數</x:v>
      </x:c>
      <x:c r="E10" s="32" t="str">
        <x:v>眾數一定最大</x:v>
      </x:c>
      <x:c r="F10" s="39" t="str"/>
      <x:c r="G10" s="32" t="str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32" t="n">
        <x:v>8</x:v>
      </x:c>
      <x:c r="B11" s="32" t="str">
        <x:v>想看每日產量趨勢，優先用？</x:v>
      </x:c>
      <x:c r="C11" s="32" t="str">
        <x:v>折線圖</x:v>
      </x:c>
      <x:c r="D11" s="32" t="str">
        <x:v>圓餅圖</x:v>
      </x:c>
      <x:c r="E11" s="32" t="str">
        <x:v>文字段落</x:v>
      </x:c>
      <x:c r="F11" s="39" t="str"/>
      <x:c r="G11" s="32" t="str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32" t="n">
        <x:v>9</x:v>
      </x:c>
      <x:c r="B12" s="32" t="str">
        <x:v>想比較8個車縫組產量，優先用？</x:v>
      </x:c>
      <x:c r="C12" s="32" t="str">
        <x:v>長條圖</x:v>
      </x:c>
      <x:c r="D12" s="32" t="str">
        <x:v>圓餅圖</x:v>
      </x:c>
      <x:c r="E12" s="32" t="str">
        <x:v>直方圖</x:v>
      </x:c>
      <x:c r="F12" s="39" t="str"/>
      <x:c r="G12" s="32" t="str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32" t="n">
        <x:v>10</x:v>
      </x:c>
      <x:c r="B13" s="32" t="str">
        <x:v>圖表縱軸不從0開始可能造成什麼？</x:v>
      </x:c>
      <x:c r="C13" s="32" t="str">
        <x:v>差異被視覺放大</x:v>
      </x:c>
      <x:c r="D13" s="32" t="str">
        <x:v>數值自動正確</x:v>
      </x:c>
      <x:c r="E13" s="32" t="str">
        <x:v>沒有任何影響</x:v>
      </x:c>
      <x:c r="F13" s="39" t="str"/>
      <x:c r="G13" s="32" t="str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32" t="n">
        <x:v>11</x:v>
      </x:c>
      <x:c r="B14" s="32" t="str">
        <x:v>兩組平均產量相同，代表穩定度也相同嗎？</x:v>
      </x:c>
      <x:c r="C14" s="32" t="str">
        <x:v>一定相同</x:v>
      </x:c>
      <x:c r="D14" s="32" t="str">
        <x:v>不一定</x:v>
      </x:c>
      <x:c r="E14" s="32" t="str">
        <x:v>一定不同</x:v>
      </x:c>
      <x:c r="F14" s="39" t="str"/>
      <x:c r="G14" s="32" t="str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n">
        <x:v>12</x:v>
      </x:c>
      <x:c r="B15" s="32" t="str">
        <x:v>不良件數下降就代表品質一定改善嗎？</x:v>
      </x:c>
      <x:c r="C15" s="32" t="str">
        <x:v>是</x:v>
      </x:c>
      <x:c r="D15" s="32" t="str">
        <x:v>不一定，要看檢查量</x:v>
      </x:c>
      <x:c r="E15" s="32" t="str">
        <x:v>只看產量即可</x:v>
      </x:c>
      <x:c r="F15" s="39" t="str"/>
      <x:c r="G15" s="32" t="str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n">
        <x:v>13</x:v>
      </x:c>
      <x:c r="B16" s="32" t="str">
        <x:v>達成率可以超過100%嗎？</x:v>
      </x:c>
      <x:c r="C16" s="32" t="str">
        <x:v>可以</x:v>
      </x:c>
      <x:c r="D16" s="32" t="str">
        <x:v>不可以</x:v>
      </x:c>
      <x:c r="E16" s="32" t="str">
        <x:v>只有不良率可以</x:v>
      </x:c>
      <x:c r="F16" s="39" t="str"/>
      <x:c r="G16" s="32" t="str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n">
        <x:v>14</x:v>
      </x:c>
      <x:c r="B17" s="32" t="str">
        <x:v>只訪問辦公室人員推估全廠滿意度，主要風險是？</x:v>
      </x:c>
      <x:c r="C17" s="32" t="str">
        <x:v>樣本偏差</x:v>
      </x:c>
      <x:c r="D17" s="32" t="str">
        <x:v>平均數太小</x:v>
      </x:c>
      <x:c r="E17" s="32" t="str">
        <x:v>沒有分母</x:v>
      </x:c>
      <x:c r="F17" s="39" t="str"/>
      <x:c r="G17" s="32" t="str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32" t="n">
        <x:v>15</x:v>
      </x:c>
      <x:c r="B18" s="32" t="str">
        <x:v>統計分析完成後最重要的下一步是？</x:v>
      </x:c>
      <x:c r="C18" s="32" t="str">
        <x:v>只保存報表</x:v>
      </x:c>
      <x:c r="D18" s="32" t="str">
        <x:v>解釋結果並決定要追查什麼</x:v>
      </x:c>
      <x:c r="E18" s="32" t="str">
        <x:v>刪除原始資料</x:v>
      </x:c>
      <x:c r="F18" s="39" t="str"/>
      <x:c r="G18" s="32" t="str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G1"/>
    <x:mergeCell ref="A2:G2"/>
  </x:mergeCells>
  <x:dataValidations count="1">
    <x:dataValidation type="list" sqref="F4:F18">
      <x:formula1>"A,B,C"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46" hidden="0" customWidth="1"/>
    <x:col min="5" max="5" width="20" hidden="0" customWidth="1"/>
  </x:cols>
  <x:sheetData>
    <x:row r="1" ht="20" customHeight="1">
      <x:c r="A1" s="6" t="str">
        <x:v>測驗答案與解析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答對不是終點；能用自己的話說明才算真的理解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48" t="str">
        <x:v>題號</x:v>
      </x:c>
      <x:c r="B3" s="48" t="str">
        <x:v>答案</x:v>
      </x:c>
      <x:c r="C3" s="48" t="str">
        <x:v>核心概念</x:v>
      </x:c>
      <x:c r="D3" s="48" t="str">
        <x:v>簡單解析</x:v>
      </x:c>
      <x:c r="E3" s="48" t="str">
        <x:v>回看工作表</x:v>
      </x:c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n">
        <x:v>1</x:v>
      </x:c>
      <x:c r="B4" s="32" t="str">
        <x:v>A</x:v>
      </x:c>
      <x:c r="C4" s="32" t="str">
        <x:v>資料類型</x:v>
      </x:c>
      <x:c r="D4" s="32" t="str">
        <x:v>組號是名稱，不拿來做平均。</x:v>
      </x:c>
      <x:c r="E4" s="32" t="str">
        <x:v>01_資料概念</x:v>
      </x:c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n">
        <x:v>2</x:v>
      </x:c>
      <x:c r="B5" s="32" t="str">
        <x:v>B</x:v>
      </x:c>
      <x:c r="C5" s="32" t="str">
        <x:v>母體與樣本</x:v>
      </x:c>
      <x:c r="D5" s="32" t="str">
        <x:v>從全部對象中抽出的一部分稱為樣本。</x:v>
      </x:c>
      <x:c r="E5" s="32" t="str">
        <x:v>01_資料概念</x:v>
      </x:c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n">
        <x:v>3</x:v>
      </x:c>
      <x:c r="B6" s="32" t="str">
        <x:v>A</x:v>
      </x:c>
      <x:c r="C6" s="32" t="str">
        <x:v>百分比</x:v>
      </x:c>
      <x:c r="D6" s="32" t="str">
        <x:v>480÷500=96%。</x:v>
      </x:c>
      <x:c r="E6" s="32" t="str">
        <x:v>02_百分比比例</x:v>
      </x:c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n">
        <x:v>4</x:v>
      </x:c>
      <x:c r="B7" s="32" t="str">
        <x:v>B</x:v>
      </x:c>
      <x:c r="C7" s="32" t="str">
        <x:v>分母</x:v>
      </x:c>
      <x:c r="D7" s="32" t="str">
        <x:v>不良件數要除以實際檢查的總件數。</x:v>
      </x:c>
      <x:c r="E7" s="32" t="str">
        <x:v>02_百分比比例</x:v>
      </x:c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n">
        <x:v>5</x:v>
      </x:c>
      <x:c r="B8" s="32" t="str">
        <x:v>B</x:v>
      </x:c>
      <x:c r="C8" s="32" t="str">
        <x:v>達成率</x:v>
      </x:c>
      <x:c r="D8" s="32" t="str">
        <x:v>9,500÷9,000=105.6%，達成率可超過100%。</x:v>
      </x:c>
      <x:c r="E8" s="32" t="str">
        <x:v>02_百分比比例</x:v>
      </x:c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32" t="n">
        <x:v>6</x:v>
      </x:c>
      <x:c r="B9" s="32" t="str">
        <x:v>A</x:v>
      </x:c>
      <x:c r="C9" s="32" t="str">
        <x:v>中位數</x:v>
      </x:c>
      <x:c r="D9" s="32" t="str">
        <x:v>排序後位於中間的第三個數是420。</x:v>
      </x:c>
      <x:c r="E9" s="32" t="str">
        <x:v>03_平均中位眾數</x:v>
      </x:c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32" t="n">
        <x:v>7</x:v>
      </x:c>
      <x:c r="B10" s="32" t="str">
        <x:v>A</x:v>
      </x:c>
      <x:c r="C10" s="32" t="str">
        <x:v>極端值</x:v>
      </x:c>
      <x:c r="D10" s="32" t="str">
        <x:v>平均數會使用全部數值，因此容易被極端值拉動。</x:v>
      </x:c>
      <x:c r="E10" s="32" t="str">
        <x:v>03_平均中位眾數</x:v>
      </x:c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32" t="n">
        <x:v>8</x:v>
      </x:c>
      <x:c r="B11" s="32" t="str">
        <x:v>A</x:v>
      </x:c>
      <x:c r="C11" s="32" t="str">
        <x:v>趨勢圖</x:v>
      </x:c>
      <x:c r="D11" s="32" t="str">
        <x:v>時間序列通常用折線圖觀察方向與轉折。</x:v>
      </x:c>
      <x:c r="E11" s="32" t="str">
        <x:v>04_圖表判讀</x:v>
      </x:c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32" t="n">
        <x:v>9</x:v>
      </x:c>
      <x:c r="B12" s="32" t="str">
        <x:v>A</x:v>
      </x:c>
      <x:c r="C12" s="32" t="str">
        <x:v>類別比較</x:v>
      </x:c>
      <x:c r="D12" s="32" t="str">
        <x:v>長條圖適合比較不同組別的高低。</x:v>
      </x:c>
      <x:c r="E12" s="32" t="str">
        <x:v>04_圖表判讀</x:v>
      </x:c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32" t="n">
        <x:v>10</x:v>
      </x:c>
      <x:c r="B13" s="32" t="str">
        <x:v>A</x:v>
      </x:c>
      <x:c r="C13" s="32" t="str">
        <x:v>視覺誤導</x:v>
      </x:c>
      <x:c r="D13" s="32" t="str">
        <x:v>截斷縱軸可能把小差距畫得很大。</x:v>
      </x:c>
      <x:c r="E13" s="32" t="str">
        <x:v>04_圖表判讀</x:v>
      </x:c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32" t="n">
        <x:v>11</x:v>
      </x:c>
      <x:c r="B14" s="32" t="str">
        <x:v>B</x:v>
      </x:c>
      <x:c r="C14" s="32" t="str">
        <x:v>變異</x:v>
      </x:c>
      <x:c r="D14" s="32" t="str">
        <x:v>平均數相同，波動範圍仍可能完全不同。</x:v>
      </x:c>
      <x:c r="E14" s="32" t="str">
        <x:v>03_平均中位眾數</x:v>
      </x:c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n">
        <x:v>12</x:v>
      </x:c>
      <x:c r="B15" s="32" t="str">
        <x:v>B</x:v>
      </x:c>
      <x:c r="C15" s="32" t="str">
        <x:v>率與基礎量</x:v>
      </x:c>
      <x:c r="D15" s="32" t="str">
        <x:v>檢查量減少時，不良件數也可能自然下降。</x:v>
      </x:c>
      <x:c r="E15" s="32" t="str">
        <x:v>02_百分比比例</x:v>
      </x:c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n">
        <x:v>13</x:v>
      </x:c>
      <x:c r="B16" s="32" t="str">
        <x:v>A</x:v>
      </x:c>
      <x:c r="C16" s="32" t="str">
        <x:v>達成率</x:v>
      </x:c>
      <x:c r="D16" s="32" t="str">
        <x:v>實際值大於目標時，達成率會超過100%。</x:v>
      </x:c>
      <x:c r="E16" s="32" t="str">
        <x:v>02_百分比比例</x:v>
      </x:c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n">
        <x:v>14</x:v>
      </x:c>
      <x:c r="B17" s="32" t="str">
        <x:v>A</x:v>
      </x:c>
      <x:c r="C17" s="32" t="str">
        <x:v>抽樣偏差</x:v>
      </x:c>
      <x:c r="D17" s="32" t="str">
        <x:v>樣本沒有涵蓋產線員工，可能無法代表全廠。</x:v>
      </x:c>
      <x:c r="E17" s="32" t="str">
        <x:v>01_資料概念</x:v>
      </x:c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32" t="n">
        <x:v>15</x:v>
      </x:c>
      <x:c r="B18" s="32" t="str">
        <x:v>B</x:v>
      </x:c>
      <x:c r="C18" s="32" t="str">
        <x:v>決策</x:v>
      </x:c>
      <x:c r="D18" s="32" t="str">
        <x:v>數字要轉化成判斷、追查與行動。</x:v>
      </x:c>
      <x:c r="E18" s="32" t="str">
        <x:v>05_工廠案例</x:v>
      </x:c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8" hidden="0" customWidth="1"/>
    <x:col min="4" max="4" width="32" hidden="0" customWidth="1"/>
    <x:col min="5" max="5" width="30" hidden="0" customWidth="1"/>
  </x:cols>
  <x:sheetData>
    <x:row r="1" ht="20" customHeight="1">
      <x:c r="A1" s="6" t="str">
        <x:v>初級統計中英名詞表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名詞不是用來背誦，而是用來說清楚資料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中文</x:v>
      </x:c>
      <x:c r="B3" s="24" t="str">
        <x:v>English</x:v>
      </x:c>
      <x:c r="C3" s="24" t="str">
        <x:v>白話解釋</x:v>
      </x:c>
      <x:c r="D3" s="24" t="str">
        <x:v>生活／工廠例子</x:v>
      </x:c>
      <x:c r="E3" s="24" t="str">
        <x:v>易混淆處</x:v>
      </x:c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統計學</x:v>
      </x:c>
      <x:c r="B4" s="32" t="str">
        <x:v>Statistics</x:v>
      </x:c>
      <x:c r="C4" s="32" t="str">
        <x:v>從資料中整理規律並支持判斷的方法</x:v>
      </x:c>
      <x:c r="D4" s="32" t="str">
        <x:v>分析產量、缺勤與不良率</x:v>
      </x:c>
      <x:c r="E4" s="32" t="str">
        <x:v>不是只有計算平均</x:v>
      </x:c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資料</x:v>
      </x:c>
      <x:c r="B5" s="32" t="str">
        <x:v>Data</x:v>
      </x:c>
      <x:c r="C5" s="32" t="str">
        <x:v>被記錄下來的事實或數值</x:v>
      </x:c>
      <x:c r="D5" s="32" t="str">
        <x:v>每日產量、員工部門</x:v>
      </x:c>
      <x:c r="E5" s="32" t="str">
        <x:v>資料不一定都是數字</x:v>
      </x:c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變數</x:v>
      </x:c>
      <x:c r="B6" s="32" t="str">
        <x:v>Variable</x:v>
      </x:c>
      <x:c r="C6" s="32" t="str">
        <x:v>每個對象可能不同的特徵</x:v>
      </x:c>
      <x:c r="D6" s="32" t="str">
        <x:v>薪資、組別、產品重量</x:v>
      </x:c>
      <x:c r="E6" s="32" t="str">
        <x:v>一欄通常代表一個變數</x:v>
      </x:c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母體</x:v>
      </x:c>
      <x:c r="B7" s="32" t="str">
        <x:v>Population</x:v>
      </x:c>
      <x:c r="C7" s="32" t="str">
        <x:v>真正想研究的全部對象</x:v>
      </x:c>
      <x:c r="D7" s="32" t="str">
        <x:v>整批10,000件成衣</x:v>
      </x:c>
      <x:c r="E7" s="32" t="str">
        <x:v>不一定指人</x:v>
      </x:c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樣本</x:v>
      </x:c>
      <x:c r="B8" s="32" t="str">
        <x:v>Sample</x:v>
      </x:c>
      <x:c r="C8" s="32" t="str">
        <x:v>從母體抽出的一部分</x:v>
      </x:c>
      <x:c r="D8" s="32" t="str">
        <x:v>抽查300件</x:v>
      </x:c>
      <x:c r="E8" s="32" t="str">
        <x:v>樣本需具代表性</x:v>
      </x:c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32" t="str">
        <x:v>平均數</x:v>
      </x:c>
      <x:c r="B9" s="32" t="str">
        <x:v>Mean</x:v>
      </x:c>
      <x:c r="C9" s="32" t="str">
        <x:v>全部加總後平均分配</x:v>
      </x:c>
      <x:c r="D9" s="32" t="str">
        <x:v>平均每日產量</x:v>
      </x:c>
      <x:c r="E9" s="32" t="str">
        <x:v>容易受極端值影響</x:v>
      </x:c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32" t="str">
        <x:v>中位數</x:v>
      </x:c>
      <x:c r="B10" s="32" t="str">
        <x:v>Median</x:v>
      </x:c>
      <x:c r="C10" s="32" t="str">
        <x:v>排序後位於中間的數</x:v>
      </x:c>
      <x:c r="D10" s="32" t="str">
        <x:v>一般員工薪資</x:v>
      </x:c>
      <x:c r="E10" s="32" t="str">
        <x:v>不代表最常見</x:v>
      </x:c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32" t="str">
        <x:v>眾數</x:v>
      </x:c>
      <x:c r="B11" s="32" t="str">
        <x:v>Mode</x:v>
      </x:c>
      <x:c r="C11" s="32" t="str">
        <x:v>出現次數最多的值</x:v>
      </x:c>
      <x:c r="D11" s="32" t="str">
        <x:v>最常見衣服尺寸</x:v>
      </x:c>
      <x:c r="E11" s="32" t="str">
        <x:v>可能沒有或有多個</x:v>
      </x:c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32" t="str">
        <x:v>百分比</x:v>
      </x:c>
      <x:c r="B12" s="32" t="str">
        <x:v>Percentage</x:v>
      </x:c>
      <x:c r="C12" s="32" t="str">
        <x:v>把比例換成每100份來表示</x:v>
      </x:c>
      <x:c r="D12" s="32" t="str">
        <x:v>出勤率96%</x:v>
      </x:c>
      <x:c r="E12" s="32" t="str">
        <x:v>先確認分母</x:v>
      </x:c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32" t="str">
        <x:v>比率</x:v>
      </x:c>
      <x:c r="B13" s="32" t="str">
        <x:v>Rate</x:v>
      </x:c>
      <x:c r="C13" s="32" t="str">
        <x:v>某事件相對於基礎量的發生程度</x:v>
      </x:c>
      <x:c r="D13" s="32" t="str">
        <x:v>不良率、離職率</x:v>
      </x:c>
      <x:c r="E13" s="32" t="str">
        <x:v>件數下降不等於率下降</x:v>
      </x:c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32" t="str">
        <x:v>極端值</x:v>
      </x:c>
      <x:c r="B14" s="32" t="str">
        <x:v>Outlier</x:v>
      </x:c>
      <x:c r="C14" s="32" t="str">
        <x:v>明顯遠離其他數值的觀察值</x:v>
      </x:c>
      <x:c r="D14" s="32" t="str">
        <x:v>異常高產量或高薪</x:v>
      </x:c>
      <x:c r="E14" s="32" t="str">
        <x:v>先查原因，不要直接刪除</x:v>
      </x:c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32" t="str">
        <x:v>全距</x:v>
      </x:c>
      <x:c r="B15" s="32" t="str">
        <x:v>Range</x:v>
      </x:c>
      <x:c r="C15" s="32" t="str">
        <x:v>最大值減最小值</x:v>
      </x:c>
      <x:c r="D15" s="32" t="str">
        <x:v>最高與最低日產量差</x:v>
      </x:c>
      <x:c r="E15" s="32" t="str">
        <x:v>只看兩端，資訊有限</x:v>
      </x:c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32" t="str">
        <x:v>折線圖</x:v>
      </x:c>
      <x:c r="B16" s="32" t="str">
        <x:v>Line chart</x:v>
      </x:c>
      <x:c r="C16" s="32" t="str">
        <x:v>呈現隨時間變化的圖</x:v>
      </x:c>
      <x:c r="D16" s="32" t="str">
        <x:v>每日產量趨勢</x:v>
      </x:c>
      <x:c r="E16" s="32" t="str">
        <x:v>類別無順序時不宜連線</x:v>
      </x:c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32" t="str">
        <x:v>長條圖</x:v>
      </x:c>
      <x:c r="B17" s="32" t="str">
        <x:v>Bar chart</x:v>
      </x:c>
      <x:c r="C17" s="32" t="str">
        <x:v>比較不同類別高低</x:v>
      </x:c>
      <x:c r="D17" s="32" t="str">
        <x:v>各組產量</x:v>
      </x:c>
      <x:c r="E17" s="32" t="str">
        <x:v>軸刻度可能誤導</x:v>
      </x:c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32" t="str">
        <x:v>相關</x:v>
      </x:c>
      <x:c r="B18" s="32" t="str">
        <x:v>Correlation</x:v>
      </x:c>
      <x:c r="C18" s="32" t="str">
        <x:v>兩個數值一起變化的程度</x:v>
      </x:c>
      <x:c r="D18" s="32" t="str">
        <x:v>人數與產量</x:v>
      </x:c>
      <x:c r="E18" s="32" t="str">
        <x:v>相關不等於因果</x:v>
      </x:c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58" hidden="0" customWidth="1"/>
    <x:col min="4" max="4" width="32" hidden="0" customWidth="1"/>
  </x:cols>
  <x:sheetData>
    <x:row r="1" ht="20" customHeight="1">
      <x:c r="A1" s="6" t="str">
        <x:v>延伸學習與參考資源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 ht="20" customHeight="1">
      <x:c r="A2" s="15" t="str">
        <x:v>教材內容為重新編寫的生活／工廠案例；以下資源可用來延伸學習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 ht="20" customHeight="1">
      <x:c r="A3" s="24" t="str">
        <x:v>資源</x:v>
      </x:c>
      <x:c r="B3" s="24" t="str">
        <x:v>用途</x:v>
      </x:c>
      <x:c r="C3" s="24" t="str">
        <x:v>網址</x:v>
      </x:c>
      <x:c r="D3" s="24" t="str">
        <x:v>建議用法</x:v>
      </x:c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 ht="20" customHeight="1">
      <x:c r="A4" s="32" t="str">
        <x:v>OpenStax Introductory Statistics 2e</x:v>
      </x:c>
      <x:c r="B4" s="32" t="str">
        <x:v>完整初級統計課程骨架</x:v>
      </x:c>
      <x:c r="C4" s="32" t="str">
        <x:v>https://openstax.org/details/books/introductory-statistics-2e</x:v>
      </x:c>
      <x:c r="D4" s="32" t="str">
        <x:v>遇到想深入的章節再查，不必從頭硬讀</x:v>
      </x:c>
      <x:c r="E4" s="104"/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 ht="20" customHeight="1">
      <x:c r="A5" s="32" t="str">
        <x:v>OpenStax Introductory Business Statistics 2e</x:v>
      </x:c>
      <x:c r="B5" s="32" t="str">
        <x:v>商業與管理案例</x:v>
      </x:c>
      <x:c r="C5" s="32" t="str">
        <x:v>https://openstax.org/details/books/introductory-business-statistics-2e</x:v>
      </x:c>
      <x:c r="D5" s="32" t="str">
        <x:v>配合成本、產量與營運案例</x:v>
      </x:c>
      <x:c r="E5" s="104"/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 ht="20" customHeight="1">
      <x:c r="A6" s="32" t="str">
        <x:v>Khan Academy Statistics and Probability</x:v>
      </x:c>
      <x:c r="B6" s="32" t="str">
        <x:v>影片與練習題</x:v>
      </x:c>
      <x:c r="C6" s="32" t="str">
        <x:v>https://www.khanacademy.org/math/statistics-probability</x:v>
      </x:c>
      <x:c r="D6" s="32" t="str">
        <x:v>選擇不懂的主題補課</x:v>
      </x:c>
      <x:c r="E6" s="104"/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 ht="20" customHeight="1">
      <x:c r="A7" s="32" t="str">
        <x:v>Seeing Theory, Brown University</x:v>
      </x:c>
      <x:c r="B7" s="32" t="str">
        <x:v>互動式統計視覺化</x:v>
      </x:c>
      <x:c r="C7" s="32" t="str">
        <x:v>https://seeing-theory.brown.edu/</x:v>
      </x:c>
      <x:c r="D7" s="32" t="str">
        <x:v>用拖曳與圖形理解機率與分布</x:v>
      </x:c>
      <x:c r="E7" s="104"/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 ht="20" customHeight="1">
      <x:c r="A8" s="32" t="str">
        <x:v>NIST/SEMATECH e-Handbook</x:v>
      </x:c>
      <x:c r="B8" s="32" t="str">
        <x:v>工程與製程統計參考</x:v>
      </x:c>
      <x:c r="C8" s="32" t="str">
        <x:v>https://www.itl.nist.gov/div898/handbook/</x:v>
      </x:c>
      <x:c r="D8" s="32" t="str">
        <x:v>第二階段學SPC與製程分析時使用</x:v>
      </x:c>
      <x:c r="E8" s="104"/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 ht="20" customHeight="1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 ht="20" customHeight="1">
      <x:c r="A10" s="104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 ht="20" customHeight="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 ht="20" customHeight="1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 ht="20" customHeight="1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 ht="20" customHeight="1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 ht="20" customHeight="1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 ht="20" customHeight="1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 ht="20" customHeight="1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 ht="20" customHeight="1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 ht="20" customHeight="1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 ht="20" customHeight="1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 ht="20" customHeight="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 ht="20" customHeight="1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 ht="20" customHeight="1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 ht="20" customHeight="1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 ht="20" customHeight="1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 ht="20" customHeight="1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 ht="20" customHeight="1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 ht="20" customHeight="1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 ht="20" customHeight="1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 ht="20" customHeight="1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 ht="20" customHeight="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 ht="20" customHeight="1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 ht="20" customHeight="1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 ht="20" customHeight="1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 ht="20" customHeight="1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 ht="20" customHeight="1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 ht="20" customHeight="1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 ht="20" customHeight="1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 ht="20" customHeight="1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 ht="20" customHeight="1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 ht="20" customHeight="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 ht="20" customHeight="1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 ht="20" customHeight="1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 ht="20" customHeight="1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 ht="20" customHeight="1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 ht="20" customHeight="1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 ht="20" customHeight="1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 ht="20" customHeight="1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 ht="20" customHeight="1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 ht="20" customHeight="1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 ht="20" customHeight="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 ht="20" customHeight="1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 ht="20" customHeight="1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 ht="20" customHeight="1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 ht="20" customHeight="1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 ht="20" customHeight="1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 ht="20" customHeight="1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 ht="20" customHeight="1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 ht="20" customHeight="1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 ht="20" customHeight="1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</x:sheetData>
  <x:mergeCells>
    <x:mergeCell ref="A1:D1"/>
    <x:mergeCell ref="A2:D2"/>
  </x:mergeCells>
  <x:pageMargins left="0.7" right="0.7" top="0.75" bottom="0.75" header="0.3" footer="0.3"/>
</x:worksheet>
</file>