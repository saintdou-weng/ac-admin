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f72abfd12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f582fb9e3ee24184"/>
    <x:sheet xmlns:r="http://schemas.openxmlformats.org/officeDocument/2006/relationships" name="報價成本練習" sheetId="2" r:id="R09abc306ea6b4c1b"/>
    <x:sheet xmlns:r="http://schemas.openxmlformats.org/officeDocument/2006/relationships" name="Incoterms責任表" sheetId="3" r:id="Re8330e9502d440fa"/>
    <x:sheet xmlns:r="http://schemas.openxmlformats.org/officeDocument/2006/relationships" name="出口文件清單" sheetId="4" r:id="R80eec831c1e9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$#,##0.000"/>
  </x:numFmts>
  <x:fonts count="6">
    <x:font>
      <x:sz val="11"/>
      <x:name val="Carlito"/>
    </x:font>
    <x:font>
      <x:b/>
      <x:sz val="18"/>
      <x:color rgb="FF0F172A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1"/>
      <x:color rgb="FF3730A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FEF3C7"/>
      </x:patternFill>
    </x:fill>
    <x:fill>
      <x:patternFill patternType="solid">
        <x:fgColor rgb="FFFEF2F2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b2314bfb14b55" /><Relationship Type="http://schemas.openxmlformats.org/officeDocument/2006/relationships/theme" Target="/xl/theme/theme1.xml" Id="Ra0aef4ff595642e3" /><Relationship Type="http://schemas.openxmlformats.org/officeDocument/2006/relationships/sharedStrings" Target="/xl/sharedStrings.xml" Id="Rda38239441a843b2" /><Relationship Type="http://schemas.openxmlformats.org/officeDocument/2006/relationships/worksheet" Target="/xl/worksheets/sheet1.xml" Id="Rf582fb9e3ee24184" /><Relationship Type="http://schemas.openxmlformats.org/officeDocument/2006/relationships/worksheet" Target="/xl/worksheets/sheet2.xml" Id="R09abc306ea6b4c1b" /><Relationship Type="http://schemas.openxmlformats.org/officeDocument/2006/relationships/worksheet" Target="/xl/worksheets/sheet3.xml" Id="Re8330e9502d440fa" /><Relationship Type="http://schemas.openxmlformats.org/officeDocument/2006/relationships/worksheet" Target="/xl/worksheets/sheet4.xml" Id="R80eec831c1e941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2" hidden="0" customWidth="1"/>
    <x:col min="5" max="5" width="24" hidden="0" customWidth="1"/>
    <x:col min="6" max="6" width="34" hidden="0" customWidth="1"/>
  </x:cols>
  <x:sheetData>
    <x:row r="1" ht="21.600000381469727" hidden="0" customHeight="1">
      <x:c r="A1" s="5" t="str">
        <x:v>國際貿易進出口｜零基礎實作工具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工作表</x:v>
      </x:c>
      <x:c r="B3" s="14" t="str">
        <x:v>用途</x:v>
      </x:c>
      <x:c r="C3" s="14" t="str">
        <x:v>怎麼使用</x:v>
      </x:c>
      <x:c r="D3" s="14" t="str">
        <x:v>主要輸入</x:v>
      </x:c>
      <x:c r="E3" s="14" t="str">
        <x:v>主要輸出</x:v>
      </x:c>
      <x:c r="F3" s="14" t="str">
        <x:v>注意事項</x:v>
      </x:c>
    </x:row>
    <x:row r="4" ht="79.19999694824219" hidden="0" customHeight="1">
      <x:c r="A4" s="20" t="str">
        <x:v>報價成本練習</x:v>
      </x:c>
      <x:c r="B4" s="20" t="str">
        <x:v>模擬 EXW、FOB/FCA、CFR、CIF 與落地成本</x:v>
      </x:c>
      <x:c r="C4" s="20" t="str">
        <x:v>只修改黃色輸入格</x:v>
      </x:c>
      <x:c r="D4" s="20" t="str">
        <x:v>數量、單位成本、運費、稅率</x:v>
      </x:c>
      <x:c r="E4" s="20" t="str">
        <x:v>各價格層級與單價</x:v>
      </x:c>
      <x:c r="F4" s="20" t="str">
        <x:v>稅基依國家不同，本表是教學模型</x:v>
      </x:c>
    </x:row>
    <x:row r="5" ht="52.79999923706055" hidden="0" customHeight="1">
      <x:c r="A5" s="20" t="str">
        <x:v>Incoterms責任表</x:v>
      </x:c>
      <x:c r="B5" s="20" t="str">
        <x:v>快速比較 11 個 Incoterms® 2020</x:v>
      </x:c>
      <x:c r="C5" s="20" t="str">
        <x:v>先找指定地點，再看風險轉移</x:v>
      </x:c>
      <x:c r="D5" s="20" t="str">
        <x:v>無</x:v>
      </x:c>
      <x:c r="E5" s="20" t="str">
        <x:v>責任與風險摘要</x:v>
      </x:c>
      <x:c r="F5" s="20" t="str">
        <x:v>不代表付款條件或所有權</x:v>
      </x:c>
    </x:row>
    <x:row r="6" ht="52.79999923706055" hidden="0" customHeight="1">
      <x:c r="A6" s="20" t="str">
        <x:v>出口文件清單</x:v>
      </x:c>
      <x:c r="B6" s="20" t="str">
        <x:v>每票貨的文件與截止時間追蹤</x:v>
      </x:c>
      <x:c r="C6" s="20" t="str">
        <x:v>填寫負責人、截止日與狀態</x:v>
      </x:c>
      <x:c r="D6" s="20" t="str">
        <x:v>Shipment No.、日期、狀態</x:v>
      </x:c>
      <x:c r="E6" s="20" t="str">
        <x:v>缺件與進度</x:v>
      </x:c>
      <x:c r="F6" s="20" t="str">
        <x:v>文件內容仍需人工核對</x:v>
      </x:c>
    </x:row>
    <x:row r="7" ht="52.79999923706055" hidden="0" customHeight="1">
      <x:c r="A7" s="20" t="str">
        <x:v>建議順序</x:v>
      </x:c>
      <x:c r="B7" s="20" t="str">
        <x:v>先讀教材，再操作成本表</x:v>
      </x:c>
      <x:c r="C7" s="20" t="str">
        <x:v>完成一個成衣出口案例</x:v>
      </x:c>
      <x:c r="D7" s="20" t="str">
        <x:v>實際或模擬數據</x:v>
      </x:c>
      <x:c r="E7" s="20" t="str">
        <x:v>完整交易概念</x:v>
      </x:c>
      <x:c r="F7" s="20" t="str">
        <x:v>不可替代海關、銀行或法律意見</x:v>
      </x:c>
    </x:row>
    <x:row r="8" ht="66" hidden="0" customHeight="1">
      <x:c r="A8" s="20" t="str">
        <x:v>版本</x:v>
      </x:c>
      <x:c r="B8" s="20" t="str">
        <x:v>第一版</x:v>
      </x:c>
      <x:c r="C8" s="20" t="str">
        <x:v>配合《國際貿易進出口零基礎入門課程》</x:v>
      </x:c>
      <x:c r="D8" s="20" t="str"/>
      <x:c r="E8" s="20" t="str"/>
      <x:c r="F8" s="20" t="str">
        <x:v>2026-07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" hidden="0" customWidth="1"/>
    <x:col min="4" max="4" width="20" hidden="0" customWidth="1"/>
    <x:col min="5" max="5" width="16" hidden="0" customWidth="1"/>
    <x:col min="6" max="6" width="16" hidden="0" customWidth="1"/>
    <x:col min="7" max="7" width="36" hidden="0" customWidth="1"/>
    <x:col min="8" max="8" width="36" hidden="0" customWidth="1"/>
  </x:cols>
  <x:sheetData>
    <x:row r="1" ht="21.600000381469727" hidden="0" customHeight="1">
      <x:c r="A1" s="5" t="str">
        <x:v>國際貿易報價與落地成本練習（教學模型）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輸入項目</x:v>
      </x:c>
      <x:c r="B3" s="14" t="str">
        <x:v>輸入值</x:v>
      </x:c>
      <x:c r="C3" s="20"/>
      <x:c r="D3" s="14" t="str">
        <x:v>價格層級</x:v>
      </x:c>
      <x:c r="E3" s="14" t="str">
        <x:v>總價 USD</x:v>
      </x:c>
      <x:c r="F3" s="14" t="str">
        <x:v>單價 USD/pc</x:v>
      </x:c>
      <x:c r="G3" s="14" t="str">
        <x:v>計算邏輯</x:v>
      </x:c>
      <x:c r="H3" s="14" t="str">
        <x:v>說明</x:v>
      </x:c>
    </x:row>
    <x:row r="4" ht="15" hidden="0" customHeight="1">
      <x:c r="A4" s="20" t="str">
        <x:v>數量 Quantity (pcs)</x:v>
      </x:c>
      <x:c r="B4" s="26" t="n">
        <x:v>10000</x:v>
      </x:c>
      <x:c r="C4" s="20"/>
      <x:c r="D4" s="20" t="str">
        <x:v>EXW</x:v>
      </x:c>
      <x:c r="E4" s="38" t="n">
        <x:f>B4*(B5+B6+B7)</x:f>
        <x:v>40000</x:v>
      </x:c>
      <x:c r="F4" s="38" t="n">
        <x:f>E4/B4</x:f>
        <x:v>4</x:v>
      </x:c>
      <x:c r="G4" s="20" t="str">
        <x:v>數量 ×（產品成本 + 包裝 + 利潤）</x:v>
      </x:c>
      <x:c r="H4" s="20" t="str">
        <x:v>工廠交貨的簡化售價</x:v>
      </x:c>
    </x:row>
    <x:row r="5" ht="15" hidden="0" customHeight="1">
      <x:c r="A5" s="20" t="str">
        <x:v>產品單位成本 Product Cost/pc</x:v>
      </x:c>
      <x:c r="B5" s="34" t="n">
        <x:v>3.2</x:v>
      </x:c>
      <x:c r="C5" s="20"/>
      <x:c r="D5" s="20" t="str">
        <x:v>FCA/FOB</x:v>
      </x:c>
      <x:c r="E5" s="38" t="n">
        <x:f>E4+B8+B9</x:f>
        <x:v>42000</x:v>
      </x:c>
      <x:c r="F5" s="38" t="n">
        <x:f>E5/B4</x:f>
        <x:v>4.2</x:v>
      </x:c>
      <x:c r="G5" s="20" t="str">
        <x:v>EXW + 出口內陸 + 出口報關/港雜</x:v>
      </x:c>
      <x:c r="H5" s="20" t="str">
        <x:v>依實際交貨點判斷 FCA 或 FOB</x:v>
      </x:c>
    </x:row>
    <x:row r="6" ht="15" hidden="0" customHeight="1">
      <x:c r="A6" s="20" t="str">
        <x:v>包裝單位成本 Packing Cost/pc</x:v>
      </x:c>
      <x:c r="B6" s="34" t="n">
        <x:v>0.3</x:v>
      </x:c>
      <x:c r="C6" s="20"/>
      <x:c r="D6" s="20" t="str">
        <x:v>CFR</x:v>
      </x:c>
      <x:c r="E6" s="38" t="n">
        <x:f>E5+B10</x:f>
        <x:v>45500</x:v>
      </x:c>
      <x:c r="F6" s="38" t="n">
        <x:f>E6/B4</x:f>
        <x:v>4.55</x:v>
      </x:c>
      <x:c r="G6" s="20" t="str">
        <x:v>FCA/FOB + 國際運費</x:v>
      </x:c>
      <x:c r="H6" s="20" t="str">
        <x:v>賣方支付主運費</x:v>
      </x:c>
    </x:row>
    <x:row r="7" ht="15" hidden="0" customHeight="1">
      <x:c r="A7" s="20" t="str">
        <x:v>目標利潤 Profit/pc</x:v>
      </x:c>
      <x:c r="B7" s="34" t="n">
        <x:v>0.5</x:v>
      </x:c>
      <x:c r="C7" s="20"/>
      <x:c r="D7" s="20" t="str">
        <x:v>CIF</x:v>
      </x:c>
      <x:c r="E7" s="38" t="n">
        <x:f>E6+B11</x:f>
        <x:v>45650</x:v>
      </x:c>
      <x:c r="F7" s="38" t="n">
        <x:f>E7/B4</x:f>
        <x:v>4.565</x:v>
      </x:c>
      <x:c r="G7" s="20" t="str">
        <x:v>CFR + 保險</x:v>
      </x:c>
      <x:c r="H7" s="20" t="str">
        <x:v>賣方支付主運費與保險</x:v>
      </x:c>
    </x:row>
    <x:row r="8" ht="15" hidden="0" customHeight="1">
      <x:c r="A8" s="20" t="str">
        <x:v>出口國內陸運輸 Inland Transport</x:v>
      </x:c>
      <x:c r="B8" s="34" t="n">
        <x:v>1500</x:v>
      </x:c>
      <x:c r="C8" s="20"/>
      <x:c r="D8" s="20" t="str">
        <x:v>關稅 Duty</x:v>
      </x:c>
      <x:c r="E8" s="38" t="n">
        <x:f>E7*B12</x:f>
        <x:v>5478</x:v>
      </x:c>
      <x:c r="F8" s="38" t="n">
        <x:f>E8/B4</x:f>
        <x:v>0.5478</x:v>
      </x:c>
      <x:c r="G8" s="20" t="str">
        <x:v>簡化：CIF × 關稅率</x:v>
      </x:c>
      <x:c r="H8" s="20" t="str">
        <x:v>實際完稅價格依目的國規則</x:v>
      </x:c>
    </x:row>
    <x:row r="9" ht="15" hidden="0" customHeight="1">
      <x:c r="A9" s="20" t="str">
        <x:v>出口報關/港雜 Export Clearance &amp; Charges</x:v>
      </x:c>
      <x:c r="B9" s="34" t="n">
        <x:v>500</x:v>
      </x:c>
      <x:c r="C9" s="20"/>
      <x:c r="D9" s="20" t="str">
        <x:v>進口VAT</x:v>
      </x:c>
      <x:c r="E9" s="38" t="n">
        <x:f>(E7+E8)*B13</x:f>
        <x:v>5112.8</x:v>
      </x:c>
      <x:c r="F9" s="38" t="n">
        <x:f>E9/B4</x:f>
        <x:v>0.5112800000000001</x:v>
      </x:c>
      <x:c r="G9" s="20" t="str">
        <x:v>簡化：(CIF + 關稅) × VAT率</x:v>
      </x:c>
      <x:c r="H9" s="20" t="str">
        <x:v>VAT/GST 稅基依目的國不同</x:v>
      </x:c>
    </x:row>
    <x:row r="10" ht="15" hidden="0" customHeight="1">
      <x:c r="A10" s="20" t="str">
        <x:v>國際運費 Main Freight</x:v>
      </x:c>
      <x:c r="B10" s="34" t="n">
        <x:v>3500</x:v>
      </x:c>
      <x:c r="C10" s="20"/>
      <x:c r="D10" s="20" t="str">
        <x:v>落地總成本</x:v>
      </x:c>
      <x:c r="E10" s="38" t="n">
        <x:f>E7+E8+E9+B14+B15</x:f>
        <x:v>58240.8</x:v>
      </x:c>
      <x:c r="F10" s="38" t="n">
        <x:f>E10/B4</x:f>
        <x:v>5.82408</x:v>
      </x:c>
      <x:c r="G10" s="20" t="str">
        <x:v>CIF + 關稅 + VAT + 目的地 + 其他</x:v>
      </x:c>
      <x:c r="H10" s="20" t="str">
        <x:v>買方的簡化落地成本</x:v>
      </x:c>
    </x:row>
    <x:row r="11" ht="15" hidden="0" customHeight="1">
      <x:c r="A11" s="20" t="str">
        <x:v>運輸保險 Insurance</x:v>
      </x:c>
      <x:c r="B11" s="34" t="n">
        <x:v>150</x:v>
      </x:c>
      <x:c r="C11" s="20"/>
      <x:c r="D11" s="20" t="str">
        <x:v>落地單價</x:v>
      </x:c>
      <x:c r="E11" s="38" t="n">
        <x:f>E10/B4</x:f>
        <x:v>5.82408</x:v>
      </x:c>
      <x:c r="F11" s="38" t="n">
        <x:f>E11</x:f>
        <x:v>5.82408</x:v>
      </x:c>
      <x:c r="G11" s="20" t="str">
        <x:v>落地總成本 ÷ 數量</x:v>
      </x:c>
      <x:c r="H11" s="20" t="str">
        <x:v>可用於產品成本比較</x:v>
      </x:c>
    </x:row>
    <x:row r="12" ht="15" hidden="0" customHeight="1">
      <x:c r="A12" s="20" t="str">
        <x:v>關稅率 Duty Rate</x:v>
      </x:c>
      <x:c r="B12" s="36" t="n">
        <x:v>0.12</x:v>
      </x:c>
      <x:c r="C12" s="20"/>
      <x:c r="D12" s="20" t="str">
        <x:v>毛利率(以EXW售價)</x:v>
      </x:c>
      <x:c r="E12" s="40" t="n">
        <x:f>(B7)/(B5+B6+B7)</x:f>
        <x:v>0.125</x:v>
      </x:c>
      <x:c r="F12" s="20" t="str"/>
      <x:c r="G12" s="20" t="str">
        <x:v>單位利潤 ÷ EXW單位售價</x:v>
      </x:c>
      <x:c r="H12" s="20" t="str">
        <x:v>不等同公司完整損益率</x:v>
      </x:c>
    </x:row>
    <x:row r="13" ht="15" hidden="0" customHeight="1">
      <x:c r="A13" s="20" t="str">
        <x:v>進口增值稅率 Import VAT Rate</x:v>
      </x:c>
      <x:c r="B13" s="36" t="n">
        <x:v>0.1</x:v>
      </x:c>
      <x:c r="C13" s="20"/>
      <x:c r="D13" s="20"/>
      <x:c r="E13" s="20"/>
      <x:c r="F13" s="20"/>
      <x:c r="G13" s="20"/>
      <x:c r="H13" s="20"/>
    </x:row>
    <x:row r="14" ht="15" hidden="0" customHeight="1">
      <x:c r="A14" s="20" t="str">
        <x:v>目的地費用 Destination Charges</x:v>
      </x:c>
      <x:c r="B14" s="34" t="n">
        <x:v>2000</x:v>
      </x:c>
      <x:c r="C14" s="20"/>
      <x:c r="D14" s="20"/>
      <x:c r="E14" s="20"/>
      <x:c r="F14" s="20"/>
      <x:c r="G14" s="20"/>
      <x:c r="H14" s="20"/>
    </x:row>
    <x:row r="15" ht="15" hidden="0" customHeight="1">
      <x:c r="A15" s="20" t="str">
        <x:v>其他費用 Other Charges</x:v>
      </x:c>
      <x:c r="B15" s="34" t="n">
        <x:v>0</x:v>
      </x:c>
      <x:c r="C15" s="20"/>
      <x:c r="D15" s="20"/>
      <x:c r="E15" s="20"/>
      <x:c r="F15" s="20"/>
      <x:c r="G15" s="20"/>
      <x:c r="H15" s="20"/>
    </x:row>
    <x:row r="16"/>
    <x:row r="17" ht="39.599998474121094" hidden="0" customHeight="1">
      <x:c r="A17" s="30" t="str">
        <x:v>重要：本表用於教學。實際關稅、VAT/GST、反傾銷稅、港口費、報關費及完稅價格，必須依進口國法規與專業報關資料確認。</x:v>
      </x:c>
      <x:c r="B17" s="30"/>
      <x:c r="C17" s="30"/>
      <x:c r="D17" s="30"/>
      <x:c r="E17" s="30"/>
      <x:c r="F17" s="30"/>
      <x:c r="G17" s="30"/>
      <x:c r="H17" s="30"/>
    </x:row>
    <x:row r="18" ht="15" hidden="0" customHeight="1">
      <x:c r="A18" s="30"/>
      <x:c r="B18" s="30"/>
      <x:c r="C18" s="30"/>
      <x:c r="D18" s="30"/>
      <x:c r="E18" s="30"/>
      <x:c r="F18" s="30"/>
      <x:c r="G18" s="30"/>
      <x:c r="H18" s="30"/>
    </x:row>
  </x:sheetData>
  <x:mergeCells>
    <x:mergeCell ref="A1:H1"/>
    <x:mergeCell ref="A17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</x:cols>
  <x:sheetData>
    <x:row r="1" ht="21.600000381469727" hidden="0" customHeight="1">
      <x:c r="A1" s="5" t="str">
        <x:v>Incoterms® 2020｜11 個術語責任速查（簡化教學版）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14" t="str">
        <x:v>術語</x:v>
      </x:c>
      <x:c r="B3" s="14" t="str">
        <x:v>適用方式</x:v>
      </x:c>
      <x:c r="C3" s="14" t="str">
        <x:v>出口清關</x:v>
      </x:c>
      <x:c r="D3" s="14" t="str">
        <x:v>主運費</x:v>
      </x:c>
      <x:c r="E3" s="14" t="str">
        <x:v>運輸保險</x:v>
      </x:c>
      <x:c r="F3" s="14" t="str">
        <x:v>進口清關/稅</x:v>
      </x:c>
      <x:c r="G3" s="14" t="str">
        <x:v>風險轉移摘要</x:v>
      </x:c>
    </x:row>
    <x:row r="4" ht="15" hidden="0" customHeight="1">
      <x:c r="A4" s="20" t="str">
        <x:v>EXW</x:v>
      </x:c>
      <x:c r="B4" s="20" t="str">
        <x:v>任何運輸</x:v>
      </x:c>
      <x:c r="C4" s="20" t="str">
        <x:v>買方</x:v>
      </x:c>
      <x:c r="D4" s="20" t="str">
        <x:v>買方</x:v>
      </x:c>
      <x:c r="E4" s="20" t="str">
        <x:v>買方</x:v>
      </x:c>
      <x:c r="F4" s="20" t="str">
        <x:v>買方</x:v>
      </x:c>
      <x:c r="G4" s="20" t="str">
        <x:v>賣方場所備妥、未裝車時</x:v>
      </x:c>
    </x:row>
    <x:row r="5" ht="15" hidden="0" customHeight="1">
      <x:c r="A5" s="20" t="str">
        <x:v>FCA</x:v>
      </x:c>
      <x:c r="B5" s="20" t="str">
        <x:v>任何運輸</x:v>
      </x:c>
      <x:c r="C5" s="20" t="str">
        <x:v>賣方</x:v>
      </x:c>
      <x:c r="D5" s="20" t="str">
        <x:v>買方</x:v>
      </x:c>
      <x:c r="E5" s="20" t="str">
        <x:v>買方</x:v>
      </x:c>
      <x:c r="F5" s="20" t="str">
        <x:v>買方</x:v>
      </x:c>
      <x:c r="G5" s="20" t="str">
        <x:v>交給買方指定承運人/指定地點</x:v>
      </x:c>
    </x:row>
    <x:row r="6" ht="15" hidden="0" customHeight="1">
      <x:c r="A6" s="20" t="str">
        <x:v>CPT</x:v>
      </x:c>
      <x:c r="B6" s="20" t="str">
        <x:v>任何運輸</x:v>
      </x:c>
      <x:c r="C6" s="20" t="str">
        <x:v>賣方</x:v>
      </x:c>
      <x:c r="D6" s="20" t="str">
        <x:v>賣方付</x:v>
      </x:c>
      <x:c r="E6" s="20" t="str">
        <x:v>買方</x:v>
      </x:c>
      <x:c r="F6" s="20" t="str">
        <x:v>買方</x:v>
      </x:c>
      <x:c r="G6" s="20" t="str">
        <x:v>交給第一承運人時</x:v>
      </x:c>
    </x:row>
    <x:row r="7" ht="15" hidden="0" customHeight="1">
      <x:c r="A7" s="20" t="str">
        <x:v>CIP</x:v>
      </x:c>
      <x:c r="B7" s="20" t="str">
        <x:v>任何運輸</x:v>
      </x:c>
      <x:c r="C7" s="20" t="str">
        <x:v>賣方</x:v>
      </x:c>
      <x:c r="D7" s="20" t="str">
        <x:v>賣方付</x:v>
      </x:c>
      <x:c r="E7" s="20" t="str">
        <x:v>賣方投保</x:v>
      </x:c>
      <x:c r="F7" s="20" t="str">
        <x:v>買方</x:v>
      </x:c>
      <x:c r="G7" s="20" t="str">
        <x:v>交給第一承運人時</x:v>
      </x:c>
    </x:row>
    <x:row r="8" ht="15" hidden="0" customHeight="1">
      <x:c r="A8" s="20" t="str">
        <x:v>DAP</x:v>
      </x:c>
      <x:c r="B8" s="20" t="str">
        <x:v>任何運輸</x:v>
      </x:c>
      <x:c r="C8" s="20" t="str">
        <x:v>賣方</x:v>
      </x:c>
      <x:c r="D8" s="20" t="str">
        <x:v>賣方付</x:v>
      </x:c>
      <x:c r="E8" s="20" t="str">
        <x:v>依合約</x:v>
      </x:c>
      <x:c r="F8" s="20" t="str">
        <x:v>買方</x:v>
      </x:c>
      <x:c r="G8" s="20" t="str">
        <x:v>指定地點，貨在車上待卸</x:v>
      </x:c>
    </x:row>
    <x:row r="9" ht="15" hidden="0" customHeight="1">
      <x:c r="A9" s="20" t="str">
        <x:v>DPU</x:v>
      </x:c>
      <x:c r="B9" s="20" t="str">
        <x:v>任何運輸</x:v>
      </x:c>
      <x:c r="C9" s="20" t="str">
        <x:v>賣方</x:v>
      </x:c>
      <x:c r="D9" s="20" t="str">
        <x:v>賣方付</x:v>
      </x:c>
      <x:c r="E9" s="20" t="str">
        <x:v>依合約</x:v>
      </x:c>
      <x:c r="F9" s="20" t="str">
        <x:v>買方</x:v>
      </x:c>
      <x:c r="G9" s="20" t="str">
        <x:v>指定地點，卸貨完成後</x:v>
      </x:c>
    </x:row>
    <x:row r="10" ht="15" hidden="0" customHeight="1">
      <x:c r="A10" s="20" t="str">
        <x:v>DDP</x:v>
      </x:c>
      <x:c r="B10" s="20" t="str">
        <x:v>任何運輸</x:v>
      </x:c>
      <x:c r="C10" s="20" t="str">
        <x:v>賣方</x:v>
      </x:c>
      <x:c r="D10" s="20" t="str">
        <x:v>賣方付</x:v>
      </x:c>
      <x:c r="E10" s="20" t="str">
        <x:v>依合約</x:v>
      </x:c>
      <x:c r="F10" s="20" t="str">
        <x:v>賣方</x:v>
      </x:c>
      <x:c r="G10" s="20" t="str">
        <x:v>指定地點，貨在車上待卸</x:v>
      </x:c>
    </x:row>
    <x:row r="11" ht="15" hidden="0" customHeight="1">
      <x:c r="A11" s="20" t="str">
        <x:v>FAS</x:v>
      </x:c>
      <x:c r="B11" s="20" t="str">
        <x:v>僅海運/內河</x:v>
      </x:c>
      <x:c r="C11" s="20" t="str">
        <x:v>賣方</x:v>
      </x:c>
      <x:c r="D11" s="20" t="str">
        <x:v>買方</x:v>
      </x:c>
      <x:c r="E11" s="20" t="str">
        <x:v>買方</x:v>
      </x:c>
      <x:c r="F11" s="20" t="str">
        <x:v>買方</x:v>
      </x:c>
      <x:c r="G11" s="20" t="str">
        <x:v>裝運港，貨物置於船邊</x:v>
      </x:c>
    </x:row>
    <x:row r="12" ht="15" hidden="0" customHeight="1">
      <x:c r="A12" s="20" t="str">
        <x:v>FOB</x:v>
      </x:c>
      <x:c r="B12" s="20" t="str">
        <x:v>僅海運/內河</x:v>
      </x:c>
      <x:c r="C12" s="20" t="str">
        <x:v>賣方</x:v>
      </x:c>
      <x:c r="D12" s="20" t="str">
        <x:v>買方</x:v>
      </x:c>
      <x:c r="E12" s="20" t="str">
        <x:v>買方</x:v>
      </x:c>
      <x:c r="F12" s="20" t="str">
        <x:v>買方</x:v>
      </x:c>
      <x:c r="G12" s="20" t="str">
        <x:v>裝運港，貨物裝上船</x:v>
      </x:c>
    </x:row>
    <x:row r="13" ht="15" hidden="0" customHeight="1">
      <x:c r="A13" s="20" t="str">
        <x:v>CFR</x:v>
      </x:c>
      <x:c r="B13" s="20" t="str">
        <x:v>僅海運/內河</x:v>
      </x:c>
      <x:c r="C13" s="20" t="str">
        <x:v>賣方</x:v>
      </x:c>
      <x:c r="D13" s="20" t="str">
        <x:v>賣方付</x:v>
      </x:c>
      <x:c r="E13" s="20" t="str">
        <x:v>買方</x:v>
      </x:c>
      <x:c r="F13" s="20" t="str">
        <x:v>買方</x:v>
      </x:c>
      <x:c r="G13" s="20" t="str">
        <x:v>裝運港，貨物裝上船</x:v>
      </x:c>
    </x:row>
    <x:row r="14" ht="15" hidden="0" customHeight="1">
      <x:c r="A14" s="20" t="str">
        <x:v>CIF</x:v>
      </x:c>
      <x:c r="B14" s="20" t="str">
        <x:v>僅海運/內河</x:v>
      </x:c>
      <x:c r="C14" s="20" t="str">
        <x:v>賣方</x:v>
      </x:c>
      <x:c r="D14" s="20" t="str">
        <x:v>賣方付</x:v>
      </x:c>
      <x:c r="E14" s="20" t="str">
        <x:v>賣方投保</x:v>
      </x:c>
      <x:c r="F14" s="20" t="str">
        <x:v>買方</x:v>
      </x:c>
      <x:c r="G14" s="20" t="str">
        <x:v>裝運港，貨物裝上船</x:v>
      </x:c>
    </x:row>
    <x:row r="15"/>
    <x:row r="16" ht="211.1999969482422" hidden="0" customHeight="1">
      <x:c r="A16" s="44" t="str">
        <x:v>使用方式：完整寫法應包含術語、明確指定地點與版本，例如：FCA Sihanoukville Container Yard, Incoterms® 2020。Incoterms 不決定付款條件、所有權轉移或產品品質。</x:v>
      </x:c>
      <x:c r="B16" s="44"/>
      <x:c r="C16" s="44"/>
      <x:c r="D16" s="44"/>
      <x:c r="E16" s="44"/>
      <x:c r="F16" s="44"/>
      <x:c r="G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</x:row>
  </x:sheetData>
  <x:mergeCells>
    <x:mergeCell ref="A1:G1"/>
    <x:mergeCell ref="A16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4" hidden="0" customWidth="1"/>
    <x:col min="4" max="4" width="18" hidden="0" customWidth="1"/>
    <x:col min="5" max="5" width="15" hidden="0" customWidth="1"/>
    <x:col min="6" max="6" width="15" hidden="0" customWidth="1"/>
    <x:col min="7" max="7" width="12" hidden="0" customWidth="1"/>
    <x:col min="8" max="8" width="36" hidden="0" customWidth="1"/>
    <x:col min="9" max="9" width="24" hidden="0" customWidth="1"/>
  </x:cols>
  <x:sheetData>
    <x:row r="1" ht="21.600000381469727" hidden="0" customHeight="1">
      <x:c r="A1" s="5" t="str">
        <x:v>出口文件與里程碑追蹤表</x:v>
      </x:c>
      <x:c r="B1" s="5"/>
      <x:c r="C1" s="5"/>
      <x:c r="D1" s="5"/>
      <x:c r="E1" s="5"/>
      <x:c r="F1" s="5"/>
      <x:c r="G1" s="5"/>
      <x:c r="H1" s="5"/>
      <x:c r="I1" s="5"/>
    </x:row>
    <x:row r="2"/>
    <x:row r="3" ht="15" hidden="0" customHeight="1">
      <x:c r="A3" s="14" t="str">
        <x:v>基本資料</x:v>
      </x:c>
      <x:c r="B3" s="14" t="str">
        <x:v>內容</x:v>
      </x:c>
    </x:row>
    <x:row r="4" ht="15" hidden="0" customHeight="1">
      <x:c r="A4" t="str">
        <x:v>Shipment No.</x:v>
      </x:c>
      <x:c r="B4" t="str">
        <x:v>SHP-EXAMPLE-001</x:v>
      </x:c>
    </x:row>
    <x:row r="5" ht="15" hidden="0" customHeight="1">
      <x:c r="A5" t="str">
        <x:v>Customer</x:v>
      </x:c>
      <x:c r="B5" t="str">
        <x:v>US Uniform Buyer</x:v>
      </x:c>
    </x:row>
    <x:row r="6" ht="15" hidden="0" customHeight="1">
      <x:c r="A6" t="str">
        <x:v>PO No.</x:v>
      </x:c>
      <x:c r="B6" t="str">
        <x:v>PO-2026-001</x:v>
      </x:c>
    </x:row>
    <x:row r="7" ht="15" hidden="0" customHeight="1">
      <x:c r="A7" t="str">
        <x:v>Incoterms</x:v>
      </x:c>
      <x:c r="B7" t="str">
        <x:v>FCA Sihanoukville CY, Incoterms® 2020</x:v>
      </x:c>
    </x:row>
    <x:row r="8"/>
    <x:row r="9" ht="15" hidden="0" customHeight="1">
      <x:c r="A9" s="14" t="str">
        <x:v>類別</x:v>
      </x:c>
      <x:c r="B9" s="14" t="str">
        <x:v>文件/里程碑</x:v>
      </x:c>
      <x:c r="C9" s="14" t="str">
        <x:v>用途</x:v>
      </x:c>
      <x:c r="D9" s="14" t="str">
        <x:v>負責部門</x:v>
      </x:c>
      <x:c r="E9" s="14" t="str">
        <x:v>計畫完成日</x:v>
      </x:c>
      <x:c r="F9" s="14" t="str">
        <x:v>實際完成日</x:v>
      </x:c>
      <x:c r="G9" s="14" t="str">
        <x:v>狀態</x:v>
      </x:c>
      <x:c r="H9" s="14" t="str">
        <x:v>核對重點</x:v>
      </x:c>
      <x:c r="I9" s="14" t="str">
        <x:v>備註</x:v>
      </x:c>
    </x:row>
    <x:row r="10" ht="15" hidden="0" customHeight="1">
      <x:c r="A10" s="20" t="str">
        <x:v>訂單</x:v>
      </x:c>
      <x:c r="B10" s="20" t="str">
        <x:v>Quotation / Order Confirmation</x:v>
      </x:c>
      <x:c r="C10" s="20" t="str">
        <x:v>確認價格與條件</x:v>
      </x:c>
      <x:c r="D10" s="20" t="str">
        <x:v>業務</x:v>
      </x:c>
      <x:c r="E10" s="20" t="str"/>
      <x:c r="F10" s="20" t="str"/>
      <x:c r="G10" s="20" t="str">
        <x:v>未開始</x:v>
      </x:c>
      <x:c r="H10" s="20" t="str">
        <x:v>價格、幣別、Incoterms、交期</x:v>
      </x:c>
      <x:c r="I10" s="20" t="str"/>
    </x:row>
    <x:row r="11" ht="15" hidden="0" customHeight="1">
      <x:c r="A11" s="20" t="str">
        <x:v>訂單</x:v>
      </x:c>
      <x:c r="B11" s="20" t="str">
        <x:v>Purchase Order</x:v>
      </x:c>
      <x:c r="C11" s="20" t="str">
        <x:v>正式下單依據</x:v>
      </x:c>
      <x:c r="D11" s="20" t="str">
        <x:v>業務/PMC</x:v>
      </x:c>
      <x:c r="E11" s="20" t="str"/>
      <x:c r="F11" s="20" t="str"/>
      <x:c r="G11" s="20" t="str">
        <x:v>未開始</x:v>
      </x:c>
      <x:c r="H11" s="20" t="str">
        <x:v>款號、數量、單價、Ship Date</x:v>
      </x:c>
      <x:c r="I11" s="20" t="str"/>
    </x:row>
    <x:row r="12" ht="15" hidden="0" customHeight="1">
      <x:c r="A12" s="20" t="str">
        <x:v>生產</x:v>
      </x:c>
      <x:c r="B12" s="20" t="str">
        <x:v>Production Ready</x:v>
      </x:c>
      <x:c r="C12" s="20" t="str">
        <x:v>完成生產與包裝</x:v>
      </x:c>
      <x:c r="D12" s="20" t="str">
        <x:v>生產/PMC</x:v>
      </x:c>
      <x:c r="E12" s="20" t="str"/>
      <x:c r="F12" s="20" t="str"/>
      <x:c r="G12" s="20" t="str">
        <x:v>未開始</x:v>
      </x:c>
      <x:c r="H12" s="20" t="str">
        <x:v>實際完成數、箱數、重量</x:v>
      </x:c>
      <x:c r="I12" s="20" t="str"/>
    </x:row>
    <x:row r="13" ht="15" hidden="0" customHeight="1">
      <x:c r="A13" s="20" t="str">
        <x:v>品質</x:v>
      </x:c>
      <x:c r="B13" s="20" t="str">
        <x:v>Inspection Report</x:v>
      </x:c>
      <x:c r="C13" s="20" t="str">
        <x:v>確認品質合格</x:v>
      </x:c>
      <x:c r="D13" s="20" t="str">
        <x:v>QA/QC</x:v>
      </x:c>
      <x:c r="E13" s="20" t="str"/>
      <x:c r="F13" s="20" t="str"/>
      <x:c r="G13" s="20" t="str">
        <x:v>未開始</x:v>
      </x:c>
      <x:c r="H13" s="20" t="str">
        <x:v>款號、批次、結果、照片</x:v>
      </x:c>
      <x:c r="I13" s="20" t="str"/>
    </x:row>
    <x:row r="14" ht="15" hidden="0" customHeight="1">
      <x:c r="A14" s="20" t="str">
        <x:v>運輸</x:v>
      </x:c>
      <x:c r="B14" s="20" t="str">
        <x:v>Booking Confirmation</x:v>
      </x:c>
      <x:c r="C14" s="20" t="str">
        <x:v>確認船期與艙位</x:v>
      </x:c>
      <x:c r="D14" s="20" t="str">
        <x:v>船務</x:v>
      </x:c>
      <x:c r="E14" s="20" t="str"/>
      <x:c r="F14" s="20" t="str"/>
      <x:c r="G14" s="20" t="str">
        <x:v>未開始</x:v>
      </x:c>
      <x:c r="H14" s="20" t="str">
        <x:v>ETD/ETA、櫃型、Cut-off</x:v>
      </x:c>
      <x:c r="I14" s="20" t="str"/>
    </x:row>
    <x:row r="15" ht="15" hidden="0" customHeight="1">
      <x:c r="A15" s="20" t="str">
        <x:v>報關</x:v>
      </x:c>
      <x:c r="B15" s="20" t="str">
        <x:v>Commercial Invoice</x:v>
      </x:c>
      <x:c r="C15" s="20" t="str">
        <x:v>報關與收款</x:v>
      </x:c>
      <x:c r="D15" s="20" t="str">
        <x:v>業務/船務</x:v>
      </x:c>
      <x:c r="E15" s="20" t="str"/>
      <x:c r="F15" s="20" t="str"/>
      <x:c r="G15" s="20" t="str">
        <x:v>未開始</x:v>
      </x:c>
      <x:c r="H15" s="20" t="str">
        <x:v>品名、數量、金額、原產國</x:v>
      </x:c>
      <x:c r="I15" s="20" t="str"/>
    </x:row>
    <x:row r="16" ht="15" hidden="0" customHeight="1">
      <x:c r="A16" s="20" t="str">
        <x:v>報關</x:v>
      </x:c>
      <x:c r="B16" s="20" t="str">
        <x:v>Packing List</x:v>
      </x:c>
      <x:c r="C16" s="20" t="str">
        <x:v>包裝與重量資料</x:v>
      </x:c>
      <x:c r="D16" s="20" t="str">
        <x:v>倉庫/船務</x:v>
      </x:c>
      <x:c r="E16" s="20" t="str"/>
      <x:c r="F16" s="20" t="str"/>
      <x:c r="G16" s="20" t="str">
        <x:v>未開始</x:v>
      </x:c>
      <x:c r="H16" s="20" t="str">
        <x:v>箱數、淨重、毛重、材積</x:v>
      </x:c>
      <x:c r="I16" s="20" t="str"/>
    </x:row>
    <x:row r="17" ht="15" hidden="0" customHeight="1">
      <x:c r="A17" s="20" t="str">
        <x:v>報關</x:v>
      </x:c>
      <x:c r="B17" s="20" t="str">
        <x:v>Export Declaration</x:v>
      </x:c>
      <x:c r="C17" s="20" t="str">
        <x:v>出口海關申報</x:v>
      </x:c>
      <x:c r="D17" s="20" t="str">
        <x:v>報關行/船務</x:v>
      </x:c>
      <x:c r="E17" s="20" t="str"/>
      <x:c r="F17" s="20" t="str"/>
      <x:c r="G17" s="20" t="str">
        <x:v>未開始</x:v>
      </x:c>
      <x:c r="H17" s="20" t="str">
        <x:v>HS Code、價值、數量</x:v>
      </x:c>
      <x:c r="I17" s="20" t="str"/>
    </x:row>
    <x:row r="18" ht="15" hidden="0" customHeight="1">
      <x:c r="A18" s="20" t="str">
        <x:v>運輸</x:v>
      </x:c>
      <x:c r="B18" s="20" t="str">
        <x:v>VGM / SI</x:v>
      </x:c>
      <x:c r="C18" s="20" t="str">
        <x:v>船公司申報資料</x:v>
      </x:c>
      <x:c r="D18" s="20" t="str">
        <x:v>船務</x:v>
      </x:c>
      <x:c r="E18" s="20" t="str"/>
      <x:c r="F18" s="20" t="str"/>
      <x:c r="G18" s="20" t="str">
        <x:v>未開始</x:v>
      </x:c>
      <x:c r="H18" s="20" t="str">
        <x:v>重量、櫃號、封條號、收貨人</x:v>
      </x:c>
      <x:c r="I18" s="20" t="str"/>
    </x:row>
    <x:row r="19" ht="15" hidden="0" customHeight="1">
      <x:c r="A19" s="20" t="str">
        <x:v>運輸</x:v>
      </x:c>
      <x:c r="B19" s="20" t="str">
        <x:v>B/L Draft Approval</x:v>
      </x:c>
      <x:c r="C19" s="20" t="str">
        <x:v>核對海運提單草稿</x:v>
      </x:c>
      <x:c r="D19" s="20" t="str">
        <x:v>船務/業務</x:v>
      </x:c>
      <x:c r="E19" s="20" t="str"/>
      <x:c r="F19" s="20" t="str"/>
      <x:c r="G19" s="20" t="str">
        <x:v>未開始</x:v>
      </x:c>
      <x:c r="H19" s="20" t="str">
        <x:v>Shipper、Consignee、港口、件數</x:v>
      </x:c>
      <x:c r="I19" s="20" t="str"/>
    </x:row>
    <x:row r="20" ht="15" hidden="0" customHeight="1">
      <x:c r="A20" s="20" t="str">
        <x:v>原產地</x:v>
      </x:c>
      <x:c r="B20" s="20" t="str">
        <x:v>Certificate of Origin</x:v>
      </x:c>
      <x:c r="C20" s="20" t="str">
        <x:v>證明原產地</x:v>
      </x:c>
      <x:c r="D20" s="20" t="str">
        <x:v>船務/合規</x:v>
      </x:c>
      <x:c r="E20" s="20" t="str"/>
      <x:c r="F20" s="20" t="str"/>
      <x:c r="G20" s="20" t="str">
        <x:v>未開始</x:v>
      </x:c>
      <x:c r="H20" s="20" t="str">
        <x:v>品名、HS、原產國、發票號</x:v>
      </x:c>
      <x:c r="I20" s="20" t="str"/>
    </x:row>
    <x:row r="21" ht="15" hidden="0" customHeight="1">
      <x:c r="A21" s="20" t="str">
        <x:v>財務</x:v>
      </x:c>
      <x:c r="B21" s="20" t="str">
        <x:v>Payment / Release</x:v>
      </x:c>
      <x:c r="C21" s="20" t="str">
        <x:v>收款與放單</x:v>
      </x:c>
      <x:c r="D21" s="20" t="str">
        <x:v>財務/業務</x:v>
      </x:c>
      <x:c r="E21" s="20" t="str"/>
      <x:c r="F21" s="20" t="str"/>
      <x:c r="G21" s="20" t="str">
        <x:v>未開始</x:v>
      </x:c>
      <x:c r="H21" s="20" t="str">
        <x:v>付款條件、到帳、電放/正本</x:v>
      </x:c>
      <x:c r="I21" s="20" t="str"/>
    </x:row>
    <x:row r="22" ht="15" hidden="0" customHeight="1">
      <x:c r="A22" s="20" t="str">
        <x:v>結案</x:v>
      </x:c>
      <x:c r="B22" s="20" t="str">
        <x:v>Shipment Closing</x:v>
      </x:c>
      <x:c r="C22" s="20" t="str">
        <x:v>費用與文件歸檔</x:v>
      </x:c>
      <x:c r="D22" s="20" t="str">
        <x:v>船務/財務</x:v>
      </x:c>
      <x:c r="E22" s="20" t="str"/>
      <x:c r="F22" s="20" t="str"/>
      <x:c r="G22" s="20" t="str">
        <x:v>未開始</x:v>
      </x:c>
      <x:c r="H22" s="20" t="str">
        <x:v>費用、異常、索賠、完整歸檔</x:v>
      </x:c>
      <x:c r="I22" s="20" t="str"/>
    </x:row>
  </x:sheetData>
  <x:mergeCells>
    <x:mergeCell ref="A1:I1"/>
  </x:mergeCells>
  <x:conditionalFormatting sqref="G10:G22">
    <x:cfRule type="expression" dxfId="0" priority="1">
      <x:formula>G10="已完成"</x:formula>
    </x:cfRule>
    <x:cfRule type="expression" dxfId="1" priority="2">
      <x:formula>G10="逾期"</x:formula>
    </x:cfRule>
    <x:cfRule type="expression" dxfId="2" priority="3">
      <x:formula>G10="進行中"</x:formula>
    </x:cfRule>
  </x:conditionalFormatting>
  <x:dataValidations count="1">
    <x:dataValidation type="list" sqref="G10:G22">
      <x:formula1>"未開始,進行中,待外部,已完成,逾期"</x:formula1>
    </x:dataValidation>
  </x:dataValidations>
  <x:pageMargins left="0.7" right="0.7" top="0.75" bottom="0.75" header="0.3" footer="0.3"/>
</x:worksheet>
</file>