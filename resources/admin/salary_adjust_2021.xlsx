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ul.VRTSERVER0\Desktop\"/>
    </mc:Choice>
  </mc:AlternateContent>
  <bookViews>
    <workbookView xWindow="0" yWindow="0" windowWidth="23970" windowHeight="9285" tabRatio="781"/>
  </bookViews>
  <sheets>
    <sheet name="Leader&amp; Supervisor" sheetId="189" r:id="rId1"/>
    <sheet name="All staff" sheetId="191" state="hidden" r:id="rId2"/>
  </sheets>
  <externalReferences>
    <externalReference r:id="rId3"/>
  </externalReferences>
  <definedNames>
    <definedName name="_xlnm._FilterDatabase" localSheetId="1" hidden="1">'All staff'!$C$1:$C$1078</definedName>
    <definedName name="_xlnm.Print_Titles" localSheetId="0">'Leader&amp; Supervisor'!$2:$3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40" i="189" l="1"/>
  <c r="AF40" i="189"/>
  <c r="AH40" i="189"/>
  <c r="O40" i="189"/>
  <c r="U40" i="189"/>
  <c r="AB40" i="189" s="1"/>
  <c r="AJ40" i="189" s="1"/>
  <c r="V40" i="189"/>
  <c r="W40" i="189"/>
  <c r="AE40" i="189" s="1"/>
  <c r="X40" i="189"/>
  <c r="Y40" i="189"/>
  <c r="AG40" i="189" s="1"/>
  <c r="Z40" i="189"/>
  <c r="AA40" i="189"/>
  <c r="AI40" i="189" s="1"/>
  <c r="U29" i="189"/>
  <c r="AC29" i="189" s="1"/>
  <c r="V29" i="189"/>
  <c r="AD29" i="189" s="1"/>
  <c r="W29" i="189"/>
  <c r="AE29" i="189" s="1"/>
  <c r="X29" i="189"/>
  <c r="AF29" i="189" s="1"/>
  <c r="Y29" i="189"/>
  <c r="AG29" i="189" s="1"/>
  <c r="Z29" i="189"/>
  <c r="AH29" i="189" s="1"/>
  <c r="AA29" i="189"/>
  <c r="AI29" i="189" s="1"/>
  <c r="O29" i="189"/>
  <c r="U27" i="189"/>
  <c r="AC27" i="189" s="1"/>
  <c r="V27" i="189"/>
  <c r="AD27" i="189" s="1"/>
  <c r="W27" i="189"/>
  <c r="AE27" i="189" s="1"/>
  <c r="X27" i="189"/>
  <c r="AF27" i="189" s="1"/>
  <c r="Y27" i="189"/>
  <c r="AG27" i="189" s="1"/>
  <c r="Z27" i="189"/>
  <c r="AH27" i="189" s="1"/>
  <c r="AA27" i="189"/>
  <c r="AI27" i="189" s="1"/>
  <c r="AC40" i="189" l="1"/>
  <c r="AB27" i="189"/>
  <c r="AB29" i="189"/>
  <c r="AJ29" i="189" s="1"/>
  <c r="O61" i="189" l="1"/>
  <c r="O60" i="189"/>
  <c r="O59" i="189"/>
  <c r="O58" i="189"/>
  <c r="O57" i="189"/>
  <c r="O56" i="189"/>
  <c r="O55" i="189"/>
  <c r="O54" i="189"/>
  <c r="O53" i="189"/>
  <c r="O52" i="189"/>
  <c r="O51" i="189"/>
  <c r="O50" i="189"/>
  <c r="O49" i="189"/>
  <c r="O48" i="189"/>
  <c r="O47" i="189"/>
  <c r="O46" i="189"/>
  <c r="O45" i="189"/>
  <c r="O44" i="189"/>
  <c r="O43" i="189"/>
  <c r="O42" i="189"/>
  <c r="O41" i="189"/>
  <c r="O39" i="189"/>
  <c r="O38" i="189"/>
  <c r="O37" i="189"/>
  <c r="O36" i="189"/>
  <c r="O35" i="189"/>
  <c r="O34" i="189"/>
  <c r="O33" i="189"/>
  <c r="O32" i="189"/>
  <c r="O31" i="189"/>
  <c r="O30" i="189"/>
  <c r="O28" i="189"/>
  <c r="O27" i="189"/>
  <c r="AJ27" i="189" s="1"/>
  <c r="O26" i="189"/>
  <c r="O25" i="189"/>
  <c r="O24" i="189"/>
  <c r="O22" i="189"/>
  <c r="O23" i="189"/>
  <c r="O21" i="189"/>
  <c r="O20" i="189"/>
  <c r="O19" i="189"/>
  <c r="O18" i="189"/>
  <c r="O17" i="189"/>
  <c r="O16" i="189"/>
  <c r="O15" i="189"/>
  <c r="O14" i="189"/>
  <c r="O13" i="189"/>
  <c r="O12" i="189"/>
  <c r="O11" i="189"/>
  <c r="O10" i="189"/>
  <c r="O9" i="189"/>
  <c r="O8" i="189"/>
  <c r="O7" i="189"/>
  <c r="O6" i="189"/>
  <c r="O5" i="189"/>
  <c r="O4" i="189"/>
  <c r="U32" i="189"/>
  <c r="AC32" i="189" s="1"/>
  <c r="V32" i="189"/>
  <c r="AD32" i="189" s="1"/>
  <c r="W32" i="189"/>
  <c r="AE32" i="189" s="1"/>
  <c r="X32" i="189"/>
  <c r="AF32" i="189" s="1"/>
  <c r="Y32" i="189"/>
  <c r="AG32" i="189" s="1"/>
  <c r="Z32" i="189"/>
  <c r="AH32" i="189" s="1"/>
  <c r="AA32" i="189"/>
  <c r="AI32" i="189" s="1"/>
  <c r="AB32" i="189" l="1"/>
  <c r="AJ32" i="189" s="1"/>
  <c r="AA45" i="189" l="1"/>
  <c r="AI45" i="189" s="1"/>
  <c r="Z45" i="189"/>
  <c r="AH45" i="189" s="1"/>
  <c r="Y45" i="189"/>
  <c r="AG45" i="189" s="1"/>
  <c r="X45" i="189"/>
  <c r="AF45" i="189" s="1"/>
  <c r="W45" i="189"/>
  <c r="AE45" i="189" s="1"/>
  <c r="V45" i="189"/>
  <c r="AD45" i="189" s="1"/>
  <c r="U45" i="189"/>
  <c r="AB45" i="189" l="1"/>
  <c r="AJ45" i="189" s="1"/>
  <c r="AC45" i="189"/>
  <c r="AA61" i="189" l="1"/>
  <c r="Z61" i="189"/>
  <c r="Y61" i="189"/>
  <c r="X61" i="189"/>
  <c r="W61" i="189"/>
  <c r="V61" i="189"/>
  <c r="AA60" i="189"/>
  <c r="Z60" i="189"/>
  <c r="Y60" i="189"/>
  <c r="X60" i="189"/>
  <c r="W60" i="189"/>
  <c r="V60" i="189"/>
  <c r="AA59" i="189"/>
  <c r="Z59" i="189"/>
  <c r="Y59" i="189"/>
  <c r="X59" i="189"/>
  <c r="W59" i="189"/>
  <c r="V59" i="189"/>
  <c r="AA58" i="189"/>
  <c r="Z58" i="189"/>
  <c r="Y58" i="189"/>
  <c r="X58" i="189"/>
  <c r="W58" i="189"/>
  <c r="V58" i="189"/>
  <c r="AA57" i="189"/>
  <c r="AI57" i="189" s="1"/>
  <c r="Z57" i="189"/>
  <c r="AH57" i="189" s="1"/>
  <c r="Y57" i="189"/>
  <c r="AG57" i="189" s="1"/>
  <c r="X57" i="189"/>
  <c r="AF57" i="189" s="1"/>
  <c r="W57" i="189"/>
  <c r="AE57" i="189" s="1"/>
  <c r="V57" i="189"/>
  <c r="AA56" i="189"/>
  <c r="AI56" i="189" s="1"/>
  <c r="Z56" i="189"/>
  <c r="AH56" i="189" s="1"/>
  <c r="Y56" i="189"/>
  <c r="AG56" i="189" s="1"/>
  <c r="X56" i="189"/>
  <c r="AF56" i="189" s="1"/>
  <c r="W56" i="189"/>
  <c r="AE56" i="189" s="1"/>
  <c r="V56" i="189"/>
  <c r="AD56" i="189" s="1"/>
  <c r="AA55" i="189"/>
  <c r="AI55" i="189" s="1"/>
  <c r="Z55" i="189"/>
  <c r="AH55" i="189" s="1"/>
  <c r="Y55" i="189"/>
  <c r="AG55" i="189" s="1"/>
  <c r="X55" i="189"/>
  <c r="AF55" i="189" s="1"/>
  <c r="W55" i="189"/>
  <c r="AE55" i="189" s="1"/>
  <c r="V55" i="189"/>
  <c r="AA54" i="189"/>
  <c r="AI54" i="189" s="1"/>
  <c r="Z54" i="189"/>
  <c r="AH54" i="189" s="1"/>
  <c r="Y54" i="189"/>
  <c r="AG54" i="189" s="1"/>
  <c r="X54" i="189"/>
  <c r="AF54" i="189" s="1"/>
  <c r="W54" i="189"/>
  <c r="AE54" i="189" s="1"/>
  <c r="V54" i="189"/>
  <c r="AD54" i="189" s="1"/>
  <c r="AA53" i="189"/>
  <c r="AI53" i="189" s="1"/>
  <c r="Z53" i="189"/>
  <c r="AH53" i="189" s="1"/>
  <c r="Y53" i="189"/>
  <c r="AG53" i="189" s="1"/>
  <c r="X53" i="189"/>
  <c r="AF53" i="189" s="1"/>
  <c r="W53" i="189"/>
  <c r="AE53" i="189" s="1"/>
  <c r="V53" i="189"/>
  <c r="AA52" i="189"/>
  <c r="AI52" i="189" s="1"/>
  <c r="Z52" i="189"/>
  <c r="AH52" i="189" s="1"/>
  <c r="Y52" i="189"/>
  <c r="AG52" i="189" s="1"/>
  <c r="X52" i="189"/>
  <c r="AF52" i="189" s="1"/>
  <c r="W52" i="189"/>
  <c r="AE52" i="189" s="1"/>
  <c r="V52" i="189"/>
  <c r="AD52" i="189" s="1"/>
  <c r="AA51" i="189"/>
  <c r="AI51" i="189" s="1"/>
  <c r="Z51" i="189"/>
  <c r="AH51" i="189" s="1"/>
  <c r="Y51" i="189"/>
  <c r="AG51" i="189" s="1"/>
  <c r="X51" i="189"/>
  <c r="AF51" i="189" s="1"/>
  <c r="W51" i="189"/>
  <c r="AE51" i="189" s="1"/>
  <c r="V51" i="189"/>
  <c r="AA50" i="189"/>
  <c r="AI50" i="189" s="1"/>
  <c r="Z50" i="189"/>
  <c r="AH50" i="189" s="1"/>
  <c r="Y50" i="189"/>
  <c r="AG50" i="189" s="1"/>
  <c r="X50" i="189"/>
  <c r="AF50" i="189" s="1"/>
  <c r="W50" i="189"/>
  <c r="AE50" i="189" s="1"/>
  <c r="V50" i="189"/>
  <c r="AD50" i="189" s="1"/>
  <c r="AA49" i="189"/>
  <c r="AI49" i="189" s="1"/>
  <c r="Z49" i="189"/>
  <c r="AH49" i="189" s="1"/>
  <c r="Y49" i="189"/>
  <c r="AG49" i="189" s="1"/>
  <c r="X49" i="189"/>
  <c r="AF49" i="189" s="1"/>
  <c r="W49" i="189"/>
  <c r="V49" i="189"/>
  <c r="AD49" i="189" s="1"/>
  <c r="AA48" i="189"/>
  <c r="AI48" i="189" s="1"/>
  <c r="Z48" i="189"/>
  <c r="AH48" i="189" s="1"/>
  <c r="Y48" i="189"/>
  <c r="AG48" i="189" s="1"/>
  <c r="X48" i="189"/>
  <c r="AF48" i="189" s="1"/>
  <c r="W48" i="189"/>
  <c r="AE48" i="189" s="1"/>
  <c r="V48" i="189"/>
  <c r="AD48" i="189" s="1"/>
  <c r="AA47" i="189"/>
  <c r="AI47" i="189" s="1"/>
  <c r="Z47" i="189"/>
  <c r="AH47" i="189" s="1"/>
  <c r="Y47" i="189"/>
  <c r="AG47" i="189" s="1"/>
  <c r="X47" i="189"/>
  <c r="AF47" i="189" s="1"/>
  <c r="W47" i="189"/>
  <c r="AE47" i="189" s="1"/>
  <c r="V47" i="189"/>
  <c r="AD47" i="189" s="1"/>
  <c r="AA46" i="189"/>
  <c r="AI46" i="189" s="1"/>
  <c r="Z46" i="189"/>
  <c r="AH46" i="189" s="1"/>
  <c r="Y46" i="189"/>
  <c r="AG46" i="189" s="1"/>
  <c r="X46" i="189"/>
  <c r="AF46" i="189" s="1"/>
  <c r="W46" i="189"/>
  <c r="AE46" i="189" s="1"/>
  <c r="V46" i="189"/>
  <c r="AD46" i="189" s="1"/>
  <c r="AA44" i="189"/>
  <c r="AI44" i="189" s="1"/>
  <c r="Z44" i="189"/>
  <c r="AH44" i="189" s="1"/>
  <c r="Y44" i="189"/>
  <c r="AG44" i="189" s="1"/>
  <c r="X44" i="189"/>
  <c r="AF44" i="189" s="1"/>
  <c r="W44" i="189"/>
  <c r="AE44" i="189" s="1"/>
  <c r="V44" i="189"/>
  <c r="AD44" i="189" s="1"/>
  <c r="AA43" i="189"/>
  <c r="AI43" i="189" s="1"/>
  <c r="Z43" i="189"/>
  <c r="AH43" i="189" s="1"/>
  <c r="Y43" i="189"/>
  <c r="AG43" i="189" s="1"/>
  <c r="X43" i="189"/>
  <c r="AF43" i="189" s="1"/>
  <c r="W43" i="189"/>
  <c r="AE43" i="189" s="1"/>
  <c r="V43" i="189"/>
  <c r="AD43" i="189" s="1"/>
  <c r="AA42" i="189"/>
  <c r="AI42" i="189" s="1"/>
  <c r="Z42" i="189"/>
  <c r="AH42" i="189" s="1"/>
  <c r="Y42" i="189"/>
  <c r="AG42" i="189" s="1"/>
  <c r="X42" i="189"/>
  <c r="AF42" i="189" s="1"/>
  <c r="W42" i="189"/>
  <c r="AE42" i="189" s="1"/>
  <c r="V42" i="189"/>
  <c r="AD42" i="189" s="1"/>
  <c r="AA41" i="189"/>
  <c r="AI41" i="189" s="1"/>
  <c r="Z41" i="189"/>
  <c r="AH41" i="189" s="1"/>
  <c r="Y41" i="189"/>
  <c r="AG41" i="189" s="1"/>
  <c r="X41" i="189"/>
  <c r="AF41" i="189" s="1"/>
  <c r="W41" i="189"/>
  <c r="AE41" i="189" s="1"/>
  <c r="V41" i="189"/>
  <c r="AD41" i="189" s="1"/>
  <c r="AA39" i="189"/>
  <c r="AI39" i="189" s="1"/>
  <c r="Z39" i="189"/>
  <c r="AH39" i="189" s="1"/>
  <c r="Y39" i="189"/>
  <c r="AG39" i="189" s="1"/>
  <c r="X39" i="189"/>
  <c r="AF39" i="189" s="1"/>
  <c r="W39" i="189"/>
  <c r="AE39" i="189" s="1"/>
  <c r="V39" i="189"/>
  <c r="AA38" i="189"/>
  <c r="AI38" i="189" s="1"/>
  <c r="Z38" i="189"/>
  <c r="AH38" i="189" s="1"/>
  <c r="Y38" i="189"/>
  <c r="AG38" i="189" s="1"/>
  <c r="X38" i="189"/>
  <c r="AF38" i="189" s="1"/>
  <c r="W38" i="189"/>
  <c r="V38" i="189"/>
  <c r="AD38" i="189" s="1"/>
  <c r="AA37" i="189"/>
  <c r="AI37" i="189" s="1"/>
  <c r="Z37" i="189"/>
  <c r="AH37" i="189" s="1"/>
  <c r="Y37" i="189"/>
  <c r="AG37" i="189" s="1"/>
  <c r="X37" i="189"/>
  <c r="AF37" i="189" s="1"/>
  <c r="W37" i="189"/>
  <c r="AE37" i="189" s="1"/>
  <c r="V37" i="189"/>
  <c r="AA36" i="189"/>
  <c r="AI36" i="189" s="1"/>
  <c r="Z36" i="189"/>
  <c r="AH36" i="189" s="1"/>
  <c r="Y36" i="189"/>
  <c r="AG36" i="189" s="1"/>
  <c r="X36" i="189"/>
  <c r="AF36" i="189" s="1"/>
  <c r="W36" i="189"/>
  <c r="AE36" i="189" s="1"/>
  <c r="V36" i="189"/>
  <c r="AD36" i="189" s="1"/>
  <c r="AA35" i="189"/>
  <c r="AI35" i="189" s="1"/>
  <c r="Z35" i="189"/>
  <c r="AH35" i="189" s="1"/>
  <c r="Y35" i="189"/>
  <c r="AG35" i="189" s="1"/>
  <c r="X35" i="189"/>
  <c r="AF35" i="189" s="1"/>
  <c r="W35" i="189"/>
  <c r="AE35" i="189" s="1"/>
  <c r="V35" i="189"/>
  <c r="AD35" i="189" s="1"/>
  <c r="AA34" i="189"/>
  <c r="AI34" i="189" s="1"/>
  <c r="Z34" i="189"/>
  <c r="AH34" i="189" s="1"/>
  <c r="Y34" i="189"/>
  <c r="AG34" i="189" s="1"/>
  <c r="X34" i="189"/>
  <c r="AF34" i="189" s="1"/>
  <c r="W34" i="189"/>
  <c r="AE34" i="189" s="1"/>
  <c r="V34" i="189"/>
  <c r="AD34" i="189" s="1"/>
  <c r="AA33" i="189"/>
  <c r="AI33" i="189" s="1"/>
  <c r="Z33" i="189"/>
  <c r="AH33" i="189" s="1"/>
  <c r="Y33" i="189"/>
  <c r="AG33" i="189" s="1"/>
  <c r="X33" i="189"/>
  <c r="AF33" i="189" s="1"/>
  <c r="W33" i="189"/>
  <c r="AE33" i="189" s="1"/>
  <c r="V33" i="189"/>
  <c r="AD33" i="189" s="1"/>
  <c r="AA31" i="189"/>
  <c r="AI31" i="189" s="1"/>
  <c r="Z31" i="189"/>
  <c r="AH31" i="189" s="1"/>
  <c r="Y31" i="189"/>
  <c r="AG31" i="189" s="1"/>
  <c r="X31" i="189"/>
  <c r="AF31" i="189" s="1"/>
  <c r="W31" i="189"/>
  <c r="AE31" i="189" s="1"/>
  <c r="V31" i="189"/>
  <c r="AD31" i="189" s="1"/>
  <c r="AA30" i="189"/>
  <c r="AI30" i="189" s="1"/>
  <c r="Z30" i="189"/>
  <c r="AH30" i="189" s="1"/>
  <c r="Y30" i="189"/>
  <c r="AG30" i="189" s="1"/>
  <c r="X30" i="189"/>
  <c r="AF30" i="189" s="1"/>
  <c r="W30" i="189"/>
  <c r="AE30" i="189" s="1"/>
  <c r="V30" i="189"/>
  <c r="AD30" i="189" s="1"/>
  <c r="AA28" i="189"/>
  <c r="AI28" i="189" s="1"/>
  <c r="Z28" i="189"/>
  <c r="AH28" i="189" s="1"/>
  <c r="Y28" i="189"/>
  <c r="AG28" i="189" s="1"/>
  <c r="X28" i="189"/>
  <c r="AF28" i="189" s="1"/>
  <c r="W28" i="189"/>
  <c r="AE28" i="189" s="1"/>
  <c r="V28" i="189"/>
  <c r="AD28" i="189" s="1"/>
  <c r="AA26" i="189"/>
  <c r="AI26" i="189" s="1"/>
  <c r="Z26" i="189"/>
  <c r="AH26" i="189" s="1"/>
  <c r="Y26" i="189"/>
  <c r="AG26" i="189" s="1"/>
  <c r="X26" i="189"/>
  <c r="AF26" i="189" s="1"/>
  <c r="W26" i="189"/>
  <c r="AE26" i="189" s="1"/>
  <c r="V26" i="189"/>
  <c r="AD26" i="189" s="1"/>
  <c r="AA25" i="189"/>
  <c r="AI25" i="189" s="1"/>
  <c r="Z25" i="189"/>
  <c r="AH25" i="189" s="1"/>
  <c r="Y25" i="189"/>
  <c r="AG25" i="189" s="1"/>
  <c r="X25" i="189"/>
  <c r="AF25" i="189" s="1"/>
  <c r="W25" i="189"/>
  <c r="AE25" i="189" s="1"/>
  <c r="V25" i="189"/>
  <c r="AD25" i="189" s="1"/>
  <c r="AA24" i="189"/>
  <c r="AI24" i="189" s="1"/>
  <c r="Z24" i="189"/>
  <c r="AH24" i="189" s="1"/>
  <c r="Y24" i="189"/>
  <c r="AG24" i="189" s="1"/>
  <c r="X24" i="189"/>
  <c r="AF24" i="189" s="1"/>
  <c r="W24" i="189"/>
  <c r="AE24" i="189" s="1"/>
  <c r="V24" i="189"/>
  <c r="AD24" i="189" s="1"/>
  <c r="AA22" i="189"/>
  <c r="AI22" i="189" s="1"/>
  <c r="Z22" i="189"/>
  <c r="AH22" i="189" s="1"/>
  <c r="Y22" i="189"/>
  <c r="AG22" i="189" s="1"/>
  <c r="X22" i="189"/>
  <c r="AF22" i="189" s="1"/>
  <c r="W22" i="189"/>
  <c r="AE22" i="189" s="1"/>
  <c r="V22" i="189"/>
  <c r="AD22" i="189" s="1"/>
  <c r="AA23" i="189"/>
  <c r="AI23" i="189" s="1"/>
  <c r="Z23" i="189"/>
  <c r="AH23" i="189" s="1"/>
  <c r="Y23" i="189"/>
  <c r="AG23" i="189" s="1"/>
  <c r="X23" i="189"/>
  <c r="AF23" i="189" s="1"/>
  <c r="W23" i="189"/>
  <c r="AE23" i="189" s="1"/>
  <c r="V23" i="189"/>
  <c r="AA21" i="189"/>
  <c r="AI21" i="189" s="1"/>
  <c r="Z21" i="189"/>
  <c r="AH21" i="189" s="1"/>
  <c r="Y21" i="189"/>
  <c r="X21" i="189"/>
  <c r="AF21" i="189" s="1"/>
  <c r="W21" i="189"/>
  <c r="AE21" i="189" s="1"/>
  <c r="V21" i="189"/>
  <c r="AD21" i="189" s="1"/>
  <c r="AA20" i="189"/>
  <c r="AI20" i="189" s="1"/>
  <c r="Z20" i="189"/>
  <c r="AH20" i="189" s="1"/>
  <c r="Y20" i="189"/>
  <c r="AG20" i="189" s="1"/>
  <c r="X20" i="189"/>
  <c r="AF20" i="189" s="1"/>
  <c r="W20" i="189"/>
  <c r="AE20" i="189" s="1"/>
  <c r="V20" i="189"/>
  <c r="AA19" i="189"/>
  <c r="Z19" i="189"/>
  <c r="Y19" i="189"/>
  <c r="X19" i="189"/>
  <c r="W19" i="189"/>
  <c r="V19" i="189"/>
  <c r="AA18" i="189"/>
  <c r="Z18" i="189"/>
  <c r="Y18" i="189"/>
  <c r="X18" i="189"/>
  <c r="W18" i="189"/>
  <c r="V18" i="189"/>
  <c r="AA17" i="189"/>
  <c r="Z17" i="189"/>
  <c r="Y17" i="189"/>
  <c r="X17" i="189"/>
  <c r="W17" i="189"/>
  <c r="V17" i="189"/>
  <c r="AA16" i="189"/>
  <c r="Z16" i="189"/>
  <c r="Y16" i="189"/>
  <c r="X16" i="189"/>
  <c r="W16" i="189"/>
  <c r="V16" i="189"/>
  <c r="AA15" i="189"/>
  <c r="Z15" i="189"/>
  <c r="Y15" i="189"/>
  <c r="X15" i="189"/>
  <c r="W15" i="189"/>
  <c r="V15" i="189"/>
  <c r="AA14" i="189"/>
  <c r="Z14" i="189"/>
  <c r="Y14" i="189"/>
  <c r="X14" i="189"/>
  <c r="W14" i="189"/>
  <c r="V14" i="189"/>
  <c r="AA13" i="189"/>
  <c r="Z13" i="189"/>
  <c r="Y13" i="189"/>
  <c r="X13" i="189"/>
  <c r="W13" i="189"/>
  <c r="V13" i="189"/>
  <c r="AA12" i="189"/>
  <c r="Z12" i="189"/>
  <c r="Y12" i="189"/>
  <c r="X12" i="189"/>
  <c r="W12" i="189"/>
  <c r="V12" i="189"/>
  <c r="AA11" i="189"/>
  <c r="Z11" i="189"/>
  <c r="Y11" i="189"/>
  <c r="X11" i="189"/>
  <c r="W11" i="189"/>
  <c r="V11" i="189"/>
  <c r="AA10" i="189"/>
  <c r="Z10" i="189"/>
  <c r="Y10" i="189"/>
  <c r="X10" i="189"/>
  <c r="W10" i="189"/>
  <c r="V10" i="189"/>
  <c r="AA9" i="189"/>
  <c r="Z9" i="189"/>
  <c r="Y9" i="189"/>
  <c r="X9" i="189"/>
  <c r="W9" i="189"/>
  <c r="V9" i="189"/>
  <c r="AA8" i="189"/>
  <c r="Z8" i="189"/>
  <c r="Y8" i="189"/>
  <c r="X8" i="189"/>
  <c r="W8" i="189"/>
  <c r="V8" i="189"/>
  <c r="AA7" i="189"/>
  <c r="Z7" i="189"/>
  <c r="Y7" i="189"/>
  <c r="X7" i="189"/>
  <c r="W7" i="189"/>
  <c r="V7" i="189"/>
  <c r="AA6" i="189"/>
  <c r="Z6" i="189"/>
  <c r="Y6" i="189"/>
  <c r="X6" i="189"/>
  <c r="W6" i="189"/>
  <c r="V6" i="189"/>
  <c r="AA5" i="189"/>
  <c r="Z5" i="189"/>
  <c r="Y5" i="189"/>
  <c r="X5" i="189"/>
  <c r="W5" i="189"/>
  <c r="V5" i="189"/>
  <c r="AA4" i="189"/>
  <c r="Z4" i="189"/>
  <c r="Y4" i="189"/>
  <c r="X4" i="189"/>
  <c r="W4" i="189"/>
  <c r="V4" i="189"/>
  <c r="U61" i="189"/>
  <c r="U60" i="189"/>
  <c r="U59" i="189"/>
  <c r="U58" i="189"/>
  <c r="U57" i="189"/>
  <c r="AC57" i="189" s="1"/>
  <c r="U56" i="189"/>
  <c r="U55" i="189"/>
  <c r="AC55" i="189" s="1"/>
  <c r="U54" i="189"/>
  <c r="AC54" i="189" s="1"/>
  <c r="U53" i="189"/>
  <c r="AC53" i="189" s="1"/>
  <c r="U52" i="189"/>
  <c r="AC52" i="189" s="1"/>
  <c r="U51" i="189"/>
  <c r="AC51" i="189" s="1"/>
  <c r="U50" i="189"/>
  <c r="AC50" i="189" s="1"/>
  <c r="U49" i="189"/>
  <c r="AC49" i="189" s="1"/>
  <c r="U48" i="189"/>
  <c r="AC48" i="189" s="1"/>
  <c r="U47" i="189"/>
  <c r="AC47" i="189" s="1"/>
  <c r="U46" i="189"/>
  <c r="AC46" i="189" s="1"/>
  <c r="U44" i="189"/>
  <c r="AC44" i="189" s="1"/>
  <c r="U43" i="189"/>
  <c r="AC43" i="189" s="1"/>
  <c r="U42" i="189"/>
  <c r="AC42" i="189" s="1"/>
  <c r="U41" i="189"/>
  <c r="AC41" i="189" s="1"/>
  <c r="U39" i="189"/>
  <c r="AC39" i="189" s="1"/>
  <c r="U38" i="189"/>
  <c r="AC38" i="189" s="1"/>
  <c r="U37" i="189"/>
  <c r="AC37" i="189" s="1"/>
  <c r="U36" i="189"/>
  <c r="AC36" i="189" s="1"/>
  <c r="U35" i="189"/>
  <c r="AC35" i="189" s="1"/>
  <c r="U34" i="189"/>
  <c r="AC34" i="189" s="1"/>
  <c r="U33" i="189"/>
  <c r="AC33" i="189" s="1"/>
  <c r="U31" i="189"/>
  <c r="AC31" i="189" s="1"/>
  <c r="U30" i="189"/>
  <c r="AC30" i="189" s="1"/>
  <c r="U28" i="189"/>
  <c r="AC28" i="189" s="1"/>
  <c r="U26" i="189"/>
  <c r="AC26" i="189" s="1"/>
  <c r="U25" i="189"/>
  <c r="AC25" i="189" s="1"/>
  <c r="U24" i="189"/>
  <c r="AC24" i="189" s="1"/>
  <c r="U22" i="189"/>
  <c r="AC22" i="189" s="1"/>
  <c r="U23" i="189"/>
  <c r="AC23" i="189" s="1"/>
  <c r="U21" i="189"/>
  <c r="AC21" i="189" s="1"/>
  <c r="U20" i="189"/>
  <c r="AC20" i="189" s="1"/>
  <c r="U19" i="189"/>
  <c r="U18" i="189"/>
  <c r="U17" i="189"/>
  <c r="U16" i="189"/>
  <c r="U15" i="189"/>
  <c r="U14" i="189"/>
  <c r="U13" i="189"/>
  <c r="U12" i="189"/>
  <c r="U11" i="189"/>
  <c r="U10" i="189"/>
  <c r="U9" i="189"/>
  <c r="U8" i="189"/>
  <c r="U7" i="189"/>
  <c r="U6" i="189"/>
  <c r="U5" i="189"/>
  <c r="U4" i="189"/>
  <c r="D61" i="189"/>
  <c r="C61" i="189"/>
  <c r="D60" i="189"/>
  <c r="C60" i="189"/>
  <c r="D59" i="189"/>
  <c r="C59" i="189"/>
  <c r="D58" i="189"/>
  <c r="C58" i="189"/>
  <c r="D57" i="189"/>
  <c r="C57" i="189"/>
  <c r="D56" i="189"/>
  <c r="C56" i="189"/>
  <c r="D55" i="189"/>
  <c r="C55" i="189"/>
  <c r="D54" i="189"/>
  <c r="C54" i="189"/>
  <c r="D53" i="189"/>
  <c r="C53" i="189"/>
  <c r="D52" i="189"/>
  <c r="C52" i="189"/>
  <c r="D51" i="189"/>
  <c r="C51" i="189"/>
  <c r="D50" i="189"/>
  <c r="C50" i="189"/>
  <c r="D49" i="189"/>
  <c r="C49" i="189"/>
  <c r="D48" i="189"/>
  <c r="C48" i="189"/>
  <c r="D47" i="189"/>
  <c r="C47" i="189"/>
  <c r="D46" i="189"/>
  <c r="C46" i="189"/>
  <c r="D44" i="189"/>
  <c r="C44" i="189"/>
  <c r="D43" i="189"/>
  <c r="C43" i="189"/>
  <c r="D42" i="189"/>
  <c r="C42" i="189"/>
  <c r="D41" i="189"/>
  <c r="C41" i="189"/>
  <c r="D39" i="189"/>
  <c r="C39" i="189"/>
  <c r="D38" i="189"/>
  <c r="C38" i="189"/>
  <c r="D37" i="189"/>
  <c r="C37" i="189"/>
  <c r="D36" i="189"/>
  <c r="C36" i="189"/>
  <c r="D35" i="189"/>
  <c r="C35" i="189"/>
  <c r="D34" i="189"/>
  <c r="C34" i="189"/>
  <c r="D33" i="189"/>
  <c r="C33" i="189"/>
  <c r="D31" i="189"/>
  <c r="C31" i="189"/>
  <c r="D30" i="189"/>
  <c r="C30" i="189"/>
  <c r="D28" i="189"/>
  <c r="C28" i="189"/>
  <c r="D26" i="189"/>
  <c r="C26" i="189"/>
  <c r="D25" i="189"/>
  <c r="C25" i="189"/>
  <c r="D24" i="189"/>
  <c r="C24" i="189"/>
  <c r="D22" i="189"/>
  <c r="C22" i="189"/>
  <c r="D23" i="189"/>
  <c r="C23" i="189"/>
  <c r="D21" i="189"/>
  <c r="C21" i="189"/>
  <c r="D20" i="189"/>
  <c r="C20" i="189"/>
  <c r="D19" i="189"/>
  <c r="C19" i="189"/>
  <c r="D18" i="189"/>
  <c r="C18" i="189"/>
  <c r="D17" i="189"/>
  <c r="C17" i="189"/>
  <c r="D16" i="189"/>
  <c r="C16" i="189"/>
  <c r="D15" i="189"/>
  <c r="C15" i="189"/>
  <c r="D14" i="189"/>
  <c r="C14" i="189"/>
  <c r="D13" i="189"/>
  <c r="C13" i="189"/>
  <c r="D12" i="189"/>
  <c r="C12" i="189"/>
  <c r="D11" i="189"/>
  <c r="C11" i="189"/>
  <c r="D8" i="189"/>
  <c r="C8" i="189"/>
  <c r="D7" i="189"/>
  <c r="C7" i="189"/>
  <c r="D6" i="189"/>
  <c r="C6" i="189"/>
  <c r="D5" i="189"/>
  <c r="C5" i="189"/>
  <c r="D4" i="189"/>
  <c r="C4" i="189"/>
  <c r="AB4" i="189" l="1"/>
  <c r="AB33" i="189"/>
  <c r="AJ33" i="189" s="1"/>
  <c r="AB38" i="189"/>
  <c r="AJ38" i="189" s="1"/>
  <c r="AE38" i="189"/>
  <c r="AB21" i="189"/>
  <c r="AJ21" i="189" s="1"/>
  <c r="AB49" i="189"/>
  <c r="AJ49" i="189" s="1"/>
  <c r="AB47" i="189"/>
  <c r="AJ47" i="189" s="1"/>
  <c r="AG21" i="189"/>
  <c r="AE49" i="189"/>
  <c r="AB30" i="189"/>
  <c r="AJ30" i="189" s="1"/>
  <c r="AB56" i="189"/>
  <c r="AJ56" i="189" s="1"/>
  <c r="AB20" i="189"/>
  <c r="AJ20" i="189" s="1"/>
  <c r="AD20" i="189"/>
  <c r="AB23" i="189"/>
  <c r="AJ23" i="189" s="1"/>
  <c r="AD23" i="189"/>
  <c r="AB35" i="189"/>
  <c r="AJ35" i="189" s="1"/>
  <c r="AB37" i="189"/>
  <c r="AJ37" i="189" s="1"/>
  <c r="AD37" i="189"/>
  <c r="AB39" i="189"/>
  <c r="AJ39" i="189" s="1"/>
  <c r="AD39" i="189"/>
  <c r="AB51" i="189"/>
  <c r="AJ51" i="189" s="1"/>
  <c r="AD51" i="189"/>
  <c r="AB53" i="189"/>
  <c r="AJ53" i="189" s="1"/>
  <c r="AD53" i="189"/>
  <c r="AB55" i="189"/>
  <c r="AJ55" i="189" s="1"/>
  <c r="AD55" i="189"/>
  <c r="AB57" i="189"/>
  <c r="AJ57" i="189" s="1"/>
  <c r="AD57" i="189"/>
  <c r="AC56" i="189"/>
  <c r="AB24" i="189"/>
  <c r="AJ24" i="189" s="1"/>
  <c r="AB25" i="189"/>
  <c r="AJ25" i="189" s="1"/>
  <c r="AB26" i="189"/>
  <c r="AJ26" i="189" s="1"/>
  <c r="AB31" i="189"/>
  <c r="AJ31" i="189" s="1"/>
  <c r="AB34" i="189"/>
  <c r="AJ34" i="189" s="1"/>
  <c r="AB42" i="189"/>
  <c r="AJ42" i="189" s="1"/>
  <c r="AB43" i="189"/>
  <c r="AJ43" i="189" s="1"/>
  <c r="AB44" i="189"/>
  <c r="AJ44" i="189" s="1"/>
  <c r="AB48" i="189"/>
  <c r="AJ48" i="189" s="1"/>
  <c r="AB52" i="189"/>
  <c r="AJ52" i="189" s="1"/>
  <c r="AB59" i="189"/>
  <c r="AB60" i="189"/>
  <c r="AB61" i="189"/>
  <c r="AJ61" i="189" s="1"/>
  <c r="AB22" i="189"/>
  <c r="AJ22" i="189" s="1"/>
  <c r="AB41" i="189"/>
  <c r="AJ41" i="189" s="1"/>
  <c r="AB54" i="189"/>
  <c r="AJ54" i="189" s="1"/>
  <c r="AB58" i="189"/>
  <c r="AB28" i="189"/>
  <c r="AJ28" i="189" s="1"/>
  <c r="AB36" i="189"/>
  <c r="AJ36" i="189" s="1"/>
  <c r="AB46" i="189"/>
  <c r="AJ46" i="189" s="1"/>
  <c r="AB50" i="189"/>
  <c r="AJ50" i="189" s="1"/>
  <c r="AU1079" i="191" l="1"/>
  <c r="BC1079" i="191"/>
  <c r="BK1079" i="191"/>
  <c r="BD1079" i="191"/>
  <c r="BD4" i="191"/>
  <c r="BE4" i="191"/>
  <c r="BF4" i="191"/>
  <c r="BG4" i="191"/>
  <c r="BH4" i="191"/>
  <c r="BI4" i="191"/>
  <c r="BJ4" i="191"/>
  <c r="BK4" i="191"/>
  <c r="BD5" i="191"/>
  <c r="BE5" i="191"/>
  <c r="BF5" i="191"/>
  <c r="BG5" i="191"/>
  <c r="BH5" i="191"/>
  <c r="BI5" i="191"/>
  <c r="BJ5" i="191"/>
  <c r="BK5" i="191"/>
  <c r="BD6" i="191"/>
  <c r="BE6" i="191"/>
  <c r="BF6" i="191"/>
  <c r="BG6" i="191"/>
  <c r="BH6" i="191"/>
  <c r="BI6" i="191"/>
  <c r="BJ6" i="191"/>
  <c r="BK6" i="191"/>
  <c r="BD7" i="191"/>
  <c r="BE7" i="191"/>
  <c r="BF7" i="191"/>
  <c r="BG7" i="191"/>
  <c r="BH7" i="191"/>
  <c r="BI7" i="191"/>
  <c r="BJ7" i="191"/>
  <c r="BK7" i="191"/>
  <c r="BD8" i="191"/>
  <c r="BE8" i="191"/>
  <c r="BF8" i="191"/>
  <c r="BG8" i="191"/>
  <c r="BH8" i="191"/>
  <c r="BI8" i="191"/>
  <c r="BJ8" i="191"/>
  <c r="BK8" i="191"/>
  <c r="BD9" i="191"/>
  <c r="BE9" i="191"/>
  <c r="BF9" i="191"/>
  <c r="BG9" i="191"/>
  <c r="BH9" i="191"/>
  <c r="BI9" i="191"/>
  <c r="BJ9" i="191"/>
  <c r="BK9" i="191"/>
  <c r="BD10" i="191"/>
  <c r="BE10" i="191"/>
  <c r="BF10" i="191"/>
  <c r="BG10" i="191"/>
  <c r="BH10" i="191"/>
  <c r="BI10" i="191"/>
  <c r="BJ10" i="191"/>
  <c r="BK10" i="191"/>
  <c r="BD11" i="191"/>
  <c r="BE11" i="191"/>
  <c r="BF11" i="191"/>
  <c r="BG11" i="191"/>
  <c r="BH11" i="191"/>
  <c r="BI11" i="191"/>
  <c r="BJ11" i="191"/>
  <c r="BK11" i="191"/>
  <c r="BD12" i="191"/>
  <c r="BE12" i="191"/>
  <c r="BF12" i="191"/>
  <c r="BG12" i="191"/>
  <c r="BH12" i="191"/>
  <c r="BI12" i="191"/>
  <c r="BJ12" i="191"/>
  <c r="BK12" i="191"/>
  <c r="BD13" i="191"/>
  <c r="BE13" i="191"/>
  <c r="BF13" i="191"/>
  <c r="BG13" i="191"/>
  <c r="BH13" i="191"/>
  <c r="BI13" i="191"/>
  <c r="BJ13" i="191"/>
  <c r="BK13" i="191"/>
  <c r="BD14" i="191"/>
  <c r="BE14" i="191"/>
  <c r="BF14" i="191"/>
  <c r="BG14" i="191"/>
  <c r="BH14" i="191"/>
  <c r="BI14" i="191"/>
  <c r="BJ14" i="191"/>
  <c r="BK14" i="191"/>
  <c r="BD15" i="191"/>
  <c r="BE15" i="191"/>
  <c r="BF15" i="191"/>
  <c r="BG15" i="191"/>
  <c r="BH15" i="191"/>
  <c r="BI15" i="191"/>
  <c r="BJ15" i="191"/>
  <c r="BK15" i="191"/>
  <c r="BD16" i="191"/>
  <c r="BE16" i="191"/>
  <c r="BF16" i="191"/>
  <c r="BG16" i="191"/>
  <c r="BH16" i="191"/>
  <c r="BI16" i="191"/>
  <c r="BJ16" i="191"/>
  <c r="BK16" i="191"/>
  <c r="BD17" i="191"/>
  <c r="BE17" i="191"/>
  <c r="BF17" i="191"/>
  <c r="BG17" i="191"/>
  <c r="BH17" i="191"/>
  <c r="BI17" i="191"/>
  <c r="BJ17" i="191"/>
  <c r="BK17" i="191"/>
  <c r="BD18" i="191"/>
  <c r="BE18" i="191"/>
  <c r="BF18" i="191"/>
  <c r="BG18" i="191"/>
  <c r="BH18" i="191"/>
  <c r="BI18" i="191"/>
  <c r="BJ18" i="191"/>
  <c r="BK18" i="191"/>
  <c r="BD19" i="191"/>
  <c r="BE19" i="191"/>
  <c r="BF19" i="191"/>
  <c r="BG19" i="191"/>
  <c r="BH19" i="191"/>
  <c r="BI19" i="191"/>
  <c r="BJ19" i="191"/>
  <c r="BK19" i="191"/>
  <c r="BD20" i="191"/>
  <c r="BE20" i="191"/>
  <c r="BF20" i="191"/>
  <c r="BG20" i="191"/>
  <c r="BH20" i="191"/>
  <c r="BI20" i="191"/>
  <c r="BJ20" i="191"/>
  <c r="BK20" i="191"/>
  <c r="BD21" i="191"/>
  <c r="BE21" i="191"/>
  <c r="BF21" i="191"/>
  <c r="BG21" i="191"/>
  <c r="BH21" i="191"/>
  <c r="BI21" i="191"/>
  <c r="BJ21" i="191"/>
  <c r="BK21" i="191"/>
  <c r="BD22" i="191"/>
  <c r="BE22" i="191"/>
  <c r="BF22" i="191"/>
  <c r="BG22" i="191"/>
  <c r="BH22" i="191"/>
  <c r="BI22" i="191"/>
  <c r="BJ22" i="191"/>
  <c r="BK22" i="191"/>
  <c r="BD23" i="191"/>
  <c r="BE23" i="191"/>
  <c r="BF23" i="191"/>
  <c r="BG23" i="191"/>
  <c r="BH23" i="191"/>
  <c r="BI23" i="191"/>
  <c r="BJ23" i="191"/>
  <c r="BK23" i="191"/>
  <c r="BD24" i="191"/>
  <c r="BE24" i="191"/>
  <c r="BF24" i="191"/>
  <c r="BG24" i="191"/>
  <c r="BH24" i="191"/>
  <c r="BI24" i="191"/>
  <c r="BJ24" i="191"/>
  <c r="BK24" i="191"/>
  <c r="BD25" i="191"/>
  <c r="BE25" i="191"/>
  <c r="BF25" i="191"/>
  <c r="BG25" i="191"/>
  <c r="BH25" i="191"/>
  <c r="BI25" i="191"/>
  <c r="BJ25" i="191"/>
  <c r="BK25" i="191"/>
  <c r="BD26" i="191"/>
  <c r="BE26" i="191"/>
  <c r="BF26" i="191"/>
  <c r="BG26" i="191"/>
  <c r="BH26" i="191"/>
  <c r="BI26" i="191"/>
  <c r="BJ26" i="191"/>
  <c r="BK26" i="191"/>
  <c r="BD27" i="191"/>
  <c r="BE27" i="191"/>
  <c r="BF27" i="191"/>
  <c r="BG27" i="191"/>
  <c r="BH27" i="191"/>
  <c r="BI27" i="191"/>
  <c r="BJ27" i="191"/>
  <c r="BK27" i="191"/>
  <c r="BD28" i="191"/>
  <c r="BE28" i="191"/>
  <c r="BF28" i="191"/>
  <c r="BG28" i="191"/>
  <c r="BH28" i="191"/>
  <c r="BI28" i="191"/>
  <c r="BJ28" i="191"/>
  <c r="BK28" i="191"/>
  <c r="BD29" i="191"/>
  <c r="BE29" i="191"/>
  <c r="BF29" i="191"/>
  <c r="BG29" i="191"/>
  <c r="BH29" i="191"/>
  <c r="BI29" i="191"/>
  <c r="BJ29" i="191"/>
  <c r="BK29" i="191"/>
  <c r="BD30" i="191"/>
  <c r="BE30" i="191"/>
  <c r="BF30" i="191"/>
  <c r="BG30" i="191"/>
  <c r="BH30" i="191"/>
  <c r="BI30" i="191"/>
  <c r="BJ30" i="191"/>
  <c r="BK30" i="191"/>
  <c r="BD31" i="191"/>
  <c r="BE31" i="191"/>
  <c r="BF31" i="191"/>
  <c r="BG31" i="191"/>
  <c r="BH31" i="191"/>
  <c r="BI31" i="191"/>
  <c r="BJ31" i="191"/>
  <c r="BK31" i="191"/>
  <c r="BD32" i="191"/>
  <c r="BE32" i="191"/>
  <c r="BF32" i="191"/>
  <c r="BG32" i="191"/>
  <c r="BH32" i="191"/>
  <c r="BI32" i="191"/>
  <c r="BJ32" i="191"/>
  <c r="BK32" i="191"/>
  <c r="BD33" i="191"/>
  <c r="BE33" i="191"/>
  <c r="BF33" i="191"/>
  <c r="BG33" i="191"/>
  <c r="BH33" i="191"/>
  <c r="BI33" i="191"/>
  <c r="BJ33" i="191"/>
  <c r="BK33" i="191"/>
  <c r="BD34" i="191"/>
  <c r="BE34" i="191"/>
  <c r="BF34" i="191"/>
  <c r="BG34" i="191"/>
  <c r="BH34" i="191"/>
  <c r="BI34" i="191"/>
  <c r="BJ34" i="191"/>
  <c r="BK34" i="191"/>
  <c r="BD35" i="191"/>
  <c r="BE35" i="191"/>
  <c r="BF35" i="191"/>
  <c r="BG35" i="191"/>
  <c r="BH35" i="191"/>
  <c r="BI35" i="191"/>
  <c r="BJ35" i="191"/>
  <c r="BK35" i="191"/>
  <c r="BD36" i="191"/>
  <c r="BE36" i="191"/>
  <c r="BF36" i="191"/>
  <c r="BG36" i="191"/>
  <c r="BH36" i="191"/>
  <c r="BI36" i="191"/>
  <c r="BJ36" i="191"/>
  <c r="BK36" i="191"/>
  <c r="BD37" i="191"/>
  <c r="BE37" i="191"/>
  <c r="BF37" i="191"/>
  <c r="BG37" i="191"/>
  <c r="BH37" i="191"/>
  <c r="BI37" i="191"/>
  <c r="BJ37" i="191"/>
  <c r="BK37" i="191"/>
  <c r="BD38" i="191"/>
  <c r="BE38" i="191"/>
  <c r="BF38" i="191"/>
  <c r="BG38" i="191"/>
  <c r="BH38" i="191"/>
  <c r="BI38" i="191"/>
  <c r="BJ38" i="191"/>
  <c r="BK38" i="191"/>
  <c r="BD39" i="191"/>
  <c r="BE39" i="191"/>
  <c r="BF39" i="191"/>
  <c r="BG39" i="191"/>
  <c r="BH39" i="191"/>
  <c r="BI39" i="191"/>
  <c r="BJ39" i="191"/>
  <c r="BK39" i="191"/>
  <c r="BD40" i="191"/>
  <c r="BE40" i="191"/>
  <c r="BF40" i="191"/>
  <c r="BG40" i="191"/>
  <c r="BH40" i="191"/>
  <c r="BI40" i="191"/>
  <c r="BJ40" i="191"/>
  <c r="BK40" i="191"/>
  <c r="BD41" i="191"/>
  <c r="BE41" i="191"/>
  <c r="BF41" i="191"/>
  <c r="BG41" i="191"/>
  <c r="BH41" i="191"/>
  <c r="BI41" i="191"/>
  <c r="BJ41" i="191"/>
  <c r="BK41" i="191"/>
  <c r="BD42" i="191"/>
  <c r="BE42" i="191"/>
  <c r="BF42" i="191"/>
  <c r="BG42" i="191"/>
  <c r="BH42" i="191"/>
  <c r="BI42" i="191"/>
  <c r="BJ42" i="191"/>
  <c r="BK42" i="191"/>
  <c r="BD43" i="191"/>
  <c r="BE43" i="191"/>
  <c r="BF43" i="191"/>
  <c r="BG43" i="191"/>
  <c r="BH43" i="191"/>
  <c r="BI43" i="191"/>
  <c r="BJ43" i="191"/>
  <c r="BK43" i="191"/>
  <c r="BD44" i="191"/>
  <c r="BE44" i="191"/>
  <c r="BF44" i="191"/>
  <c r="BG44" i="191"/>
  <c r="BH44" i="191"/>
  <c r="BI44" i="191"/>
  <c r="BJ44" i="191"/>
  <c r="BK44" i="191"/>
  <c r="BD45" i="191"/>
  <c r="BE45" i="191"/>
  <c r="BF45" i="191"/>
  <c r="BG45" i="191"/>
  <c r="BH45" i="191"/>
  <c r="BI45" i="191"/>
  <c r="BJ45" i="191"/>
  <c r="BK45" i="191"/>
  <c r="BD46" i="191"/>
  <c r="BE46" i="191"/>
  <c r="BF46" i="191"/>
  <c r="BG46" i="191"/>
  <c r="BH46" i="191"/>
  <c r="BI46" i="191"/>
  <c r="BJ46" i="191"/>
  <c r="BK46" i="191"/>
  <c r="BD47" i="191"/>
  <c r="BE47" i="191"/>
  <c r="BF47" i="191"/>
  <c r="BG47" i="191"/>
  <c r="BH47" i="191"/>
  <c r="BI47" i="191"/>
  <c r="BJ47" i="191"/>
  <c r="BK47" i="191"/>
  <c r="BD48" i="191"/>
  <c r="BE48" i="191"/>
  <c r="BF48" i="191"/>
  <c r="BG48" i="191"/>
  <c r="BH48" i="191"/>
  <c r="BI48" i="191"/>
  <c r="BJ48" i="191"/>
  <c r="BK48" i="191"/>
  <c r="BD49" i="191"/>
  <c r="BE49" i="191"/>
  <c r="BF49" i="191"/>
  <c r="BG49" i="191"/>
  <c r="BH49" i="191"/>
  <c r="BI49" i="191"/>
  <c r="BJ49" i="191"/>
  <c r="BK49" i="191"/>
  <c r="BD50" i="191"/>
  <c r="BE50" i="191"/>
  <c r="BF50" i="191"/>
  <c r="BG50" i="191"/>
  <c r="BH50" i="191"/>
  <c r="BI50" i="191"/>
  <c r="BJ50" i="191"/>
  <c r="BK50" i="191"/>
  <c r="BD51" i="191"/>
  <c r="BE51" i="191"/>
  <c r="BF51" i="191"/>
  <c r="BG51" i="191"/>
  <c r="BH51" i="191"/>
  <c r="BI51" i="191"/>
  <c r="BJ51" i="191"/>
  <c r="BK51" i="191"/>
  <c r="BD52" i="191"/>
  <c r="BE52" i="191"/>
  <c r="BF52" i="191"/>
  <c r="BG52" i="191"/>
  <c r="BH52" i="191"/>
  <c r="BI52" i="191"/>
  <c r="BJ52" i="191"/>
  <c r="BK52" i="191"/>
  <c r="BD53" i="191"/>
  <c r="BE53" i="191"/>
  <c r="BF53" i="191"/>
  <c r="BG53" i="191"/>
  <c r="BH53" i="191"/>
  <c r="BI53" i="191"/>
  <c r="BJ53" i="191"/>
  <c r="BK53" i="191"/>
  <c r="BD54" i="191"/>
  <c r="BE54" i="191"/>
  <c r="BF54" i="191"/>
  <c r="BG54" i="191"/>
  <c r="BH54" i="191"/>
  <c r="BI54" i="191"/>
  <c r="BJ54" i="191"/>
  <c r="BK54" i="191"/>
  <c r="BD55" i="191"/>
  <c r="BE55" i="191"/>
  <c r="BF55" i="191"/>
  <c r="BG55" i="191"/>
  <c r="BH55" i="191"/>
  <c r="BI55" i="191"/>
  <c r="BJ55" i="191"/>
  <c r="BK55" i="191"/>
  <c r="BD56" i="191"/>
  <c r="BE56" i="191"/>
  <c r="BF56" i="191"/>
  <c r="BG56" i="191"/>
  <c r="BH56" i="191"/>
  <c r="BI56" i="191"/>
  <c r="BJ56" i="191"/>
  <c r="BK56" i="191"/>
  <c r="BD57" i="191"/>
  <c r="BE57" i="191"/>
  <c r="BF57" i="191"/>
  <c r="BG57" i="191"/>
  <c r="BH57" i="191"/>
  <c r="BI57" i="191"/>
  <c r="BJ57" i="191"/>
  <c r="BK57" i="191"/>
  <c r="BD58" i="191"/>
  <c r="BE58" i="191"/>
  <c r="BF58" i="191"/>
  <c r="BG58" i="191"/>
  <c r="BH58" i="191"/>
  <c r="BI58" i="191"/>
  <c r="BJ58" i="191"/>
  <c r="BK58" i="191"/>
  <c r="BD59" i="191"/>
  <c r="BE59" i="191"/>
  <c r="BF59" i="191"/>
  <c r="BG59" i="191"/>
  <c r="BH59" i="191"/>
  <c r="BI59" i="191"/>
  <c r="BJ59" i="191"/>
  <c r="BK59" i="191"/>
  <c r="BD60" i="191"/>
  <c r="BE60" i="191"/>
  <c r="BF60" i="191"/>
  <c r="BG60" i="191"/>
  <c r="BH60" i="191"/>
  <c r="BI60" i="191"/>
  <c r="BJ60" i="191"/>
  <c r="BK60" i="191"/>
  <c r="BD61" i="191"/>
  <c r="BE61" i="191"/>
  <c r="BF61" i="191"/>
  <c r="BG61" i="191"/>
  <c r="BH61" i="191"/>
  <c r="BI61" i="191"/>
  <c r="BJ61" i="191"/>
  <c r="BK61" i="191"/>
  <c r="BD62" i="191"/>
  <c r="BE62" i="191"/>
  <c r="BF62" i="191"/>
  <c r="BG62" i="191"/>
  <c r="BH62" i="191"/>
  <c r="BI62" i="191"/>
  <c r="BJ62" i="191"/>
  <c r="BK62" i="191"/>
  <c r="BD63" i="191"/>
  <c r="BE63" i="191"/>
  <c r="BF63" i="191"/>
  <c r="BG63" i="191"/>
  <c r="BH63" i="191"/>
  <c r="BI63" i="191"/>
  <c r="BJ63" i="191"/>
  <c r="BK63" i="191"/>
  <c r="BD64" i="191"/>
  <c r="BE64" i="191"/>
  <c r="BF64" i="191"/>
  <c r="BG64" i="191"/>
  <c r="BH64" i="191"/>
  <c r="BI64" i="191"/>
  <c r="BJ64" i="191"/>
  <c r="BK64" i="191"/>
  <c r="BD65" i="191"/>
  <c r="BE65" i="191"/>
  <c r="BF65" i="191"/>
  <c r="BG65" i="191"/>
  <c r="BH65" i="191"/>
  <c r="BI65" i="191"/>
  <c r="BJ65" i="191"/>
  <c r="BK65" i="191"/>
  <c r="BD66" i="191"/>
  <c r="BE66" i="191"/>
  <c r="BF66" i="191"/>
  <c r="BG66" i="191"/>
  <c r="BH66" i="191"/>
  <c r="BI66" i="191"/>
  <c r="BJ66" i="191"/>
  <c r="BK66" i="191"/>
  <c r="BD67" i="191"/>
  <c r="BE67" i="191"/>
  <c r="BF67" i="191"/>
  <c r="BG67" i="191"/>
  <c r="BH67" i="191"/>
  <c r="BI67" i="191"/>
  <c r="BJ67" i="191"/>
  <c r="BK67" i="191"/>
  <c r="BD68" i="191"/>
  <c r="BE68" i="191"/>
  <c r="BF68" i="191"/>
  <c r="BG68" i="191"/>
  <c r="BH68" i="191"/>
  <c r="BI68" i="191"/>
  <c r="BJ68" i="191"/>
  <c r="BK68" i="191"/>
  <c r="BD69" i="191"/>
  <c r="BE69" i="191"/>
  <c r="BF69" i="191"/>
  <c r="BG69" i="191"/>
  <c r="BH69" i="191"/>
  <c r="BI69" i="191"/>
  <c r="BJ69" i="191"/>
  <c r="BK69" i="191"/>
  <c r="BD70" i="191"/>
  <c r="BE70" i="191"/>
  <c r="BF70" i="191"/>
  <c r="BG70" i="191"/>
  <c r="BH70" i="191"/>
  <c r="BI70" i="191"/>
  <c r="BJ70" i="191"/>
  <c r="BK70" i="191"/>
  <c r="BD71" i="191"/>
  <c r="BE71" i="191"/>
  <c r="BF71" i="191"/>
  <c r="BG71" i="191"/>
  <c r="BH71" i="191"/>
  <c r="BI71" i="191"/>
  <c r="BJ71" i="191"/>
  <c r="BK71" i="191"/>
  <c r="BD72" i="191"/>
  <c r="BE72" i="191"/>
  <c r="BF72" i="191"/>
  <c r="BG72" i="191"/>
  <c r="BH72" i="191"/>
  <c r="BI72" i="191"/>
  <c r="BJ72" i="191"/>
  <c r="BK72" i="191"/>
  <c r="BD73" i="191"/>
  <c r="BE73" i="191"/>
  <c r="BF73" i="191"/>
  <c r="BG73" i="191"/>
  <c r="BH73" i="191"/>
  <c r="BI73" i="191"/>
  <c r="BJ73" i="191"/>
  <c r="BK73" i="191"/>
  <c r="BD74" i="191"/>
  <c r="BE74" i="191"/>
  <c r="BF74" i="191"/>
  <c r="BG74" i="191"/>
  <c r="BH74" i="191"/>
  <c r="BI74" i="191"/>
  <c r="BJ74" i="191"/>
  <c r="BK74" i="191"/>
  <c r="BD75" i="191"/>
  <c r="BE75" i="191"/>
  <c r="BF75" i="191"/>
  <c r="BG75" i="191"/>
  <c r="BH75" i="191"/>
  <c r="BI75" i="191"/>
  <c r="BJ75" i="191"/>
  <c r="BK75" i="191"/>
  <c r="BD76" i="191"/>
  <c r="BE76" i="191"/>
  <c r="BF76" i="191"/>
  <c r="BG76" i="191"/>
  <c r="BH76" i="191"/>
  <c r="BI76" i="191"/>
  <c r="BJ76" i="191"/>
  <c r="BK76" i="191"/>
  <c r="BD77" i="191"/>
  <c r="BE77" i="191"/>
  <c r="BF77" i="191"/>
  <c r="BG77" i="191"/>
  <c r="BH77" i="191"/>
  <c r="BI77" i="191"/>
  <c r="BJ77" i="191"/>
  <c r="BK77" i="191"/>
  <c r="BD78" i="191"/>
  <c r="BE78" i="191"/>
  <c r="BF78" i="191"/>
  <c r="BG78" i="191"/>
  <c r="BH78" i="191"/>
  <c r="BI78" i="191"/>
  <c r="BJ78" i="191"/>
  <c r="BK78" i="191"/>
  <c r="BD79" i="191"/>
  <c r="BE79" i="191"/>
  <c r="BF79" i="191"/>
  <c r="BG79" i="191"/>
  <c r="BH79" i="191"/>
  <c r="BI79" i="191"/>
  <c r="BJ79" i="191"/>
  <c r="BK79" i="191"/>
  <c r="BD80" i="191"/>
  <c r="BE80" i="191"/>
  <c r="BF80" i="191"/>
  <c r="BG80" i="191"/>
  <c r="BH80" i="191"/>
  <c r="BI80" i="191"/>
  <c r="BJ80" i="191"/>
  <c r="BK80" i="191"/>
  <c r="BD81" i="191"/>
  <c r="BE81" i="191"/>
  <c r="BF81" i="191"/>
  <c r="BG81" i="191"/>
  <c r="BH81" i="191"/>
  <c r="BI81" i="191"/>
  <c r="BJ81" i="191"/>
  <c r="BK81" i="191"/>
  <c r="BD82" i="191"/>
  <c r="BE82" i="191"/>
  <c r="BF82" i="191"/>
  <c r="BG82" i="191"/>
  <c r="BH82" i="191"/>
  <c r="BI82" i="191"/>
  <c r="BJ82" i="191"/>
  <c r="BK82" i="191"/>
  <c r="BD83" i="191"/>
  <c r="BE83" i="191"/>
  <c r="BF83" i="191"/>
  <c r="BG83" i="191"/>
  <c r="BH83" i="191"/>
  <c r="BI83" i="191"/>
  <c r="BJ83" i="191"/>
  <c r="BK83" i="191"/>
  <c r="BD84" i="191"/>
  <c r="BE84" i="191"/>
  <c r="BF84" i="191"/>
  <c r="BG84" i="191"/>
  <c r="BH84" i="191"/>
  <c r="BI84" i="191"/>
  <c r="BJ84" i="191"/>
  <c r="BK84" i="191"/>
  <c r="BD85" i="191"/>
  <c r="BE85" i="191"/>
  <c r="BF85" i="191"/>
  <c r="BG85" i="191"/>
  <c r="BH85" i="191"/>
  <c r="BI85" i="191"/>
  <c r="BJ85" i="191"/>
  <c r="BK85" i="191"/>
  <c r="BD86" i="191"/>
  <c r="BE86" i="191"/>
  <c r="BF86" i="191"/>
  <c r="BG86" i="191"/>
  <c r="BH86" i="191"/>
  <c r="BI86" i="191"/>
  <c r="BJ86" i="191"/>
  <c r="BK86" i="191"/>
  <c r="BD87" i="191"/>
  <c r="BE87" i="191"/>
  <c r="BF87" i="191"/>
  <c r="BG87" i="191"/>
  <c r="BH87" i="191"/>
  <c r="BI87" i="191"/>
  <c r="BJ87" i="191"/>
  <c r="BK87" i="191"/>
  <c r="BD88" i="191"/>
  <c r="BE88" i="191"/>
  <c r="BF88" i="191"/>
  <c r="BG88" i="191"/>
  <c r="BH88" i="191"/>
  <c r="BI88" i="191"/>
  <c r="BJ88" i="191"/>
  <c r="BK88" i="191"/>
  <c r="BD89" i="191"/>
  <c r="BE89" i="191"/>
  <c r="BF89" i="191"/>
  <c r="BG89" i="191"/>
  <c r="BH89" i="191"/>
  <c r="BI89" i="191"/>
  <c r="BJ89" i="191"/>
  <c r="BK89" i="191"/>
  <c r="BD90" i="191"/>
  <c r="BE90" i="191"/>
  <c r="BF90" i="191"/>
  <c r="BG90" i="191"/>
  <c r="BH90" i="191"/>
  <c r="BI90" i="191"/>
  <c r="BJ90" i="191"/>
  <c r="BK90" i="191"/>
  <c r="BD91" i="191"/>
  <c r="BE91" i="191"/>
  <c r="BF91" i="191"/>
  <c r="BG91" i="191"/>
  <c r="BH91" i="191"/>
  <c r="BI91" i="191"/>
  <c r="BJ91" i="191"/>
  <c r="BK91" i="191"/>
  <c r="BD92" i="191"/>
  <c r="BE92" i="191"/>
  <c r="BF92" i="191"/>
  <c r="BG92" i="191"/>
  <c r="BH92" i="191"/>
  <c r="BI92" i="191"/>
  <c r="BJ92" i="191"/>
  <c r="BK92" i="191"/>
  <c r="BD93" i="191"/>
  <c r="BE93" i="191"/>
  <c r="BF93" i="191"/>
  <c r="BG93" i="191"/>
  <c r="BH93" i="191"/>
  <c r="BI93" i="191"/>
  <c r="BJ93" i="191"/>
  <c r="BK93" i="191"/>
  <c r="BD94" i="191"/>
  <c r="BE94" i="191"/>
  <c r="BF94" i="191"/>
  <c r="BG94" i="191"/>
  <c r="BH94" i="191"/>
  <c r="BI94" i="191"/>
  <c r="BJ94" i="191"/>
  <c r="BK94" i="191"/>
  <c r="BD95" i="191"/>
  <c r="BE95" i="191"/>
  <c r="BF95" i="191"/>
  <c r="BG95" i="191"/>
  <c r="BH95" i="191"/>
  <c r="BI95" i="191"/>
  <c r="BJ95" i="191"/>
  <c r="BK95" i="191"/>
  <c r="BD96" i="191"/>
  <c r="BE96" i="191"/>
  <c r="BF96" i="191"/>
  <c r="BG96" i="191"/>
  <c r="BH96" i="191"/>
  <c r="BI96" i="191"/>
  <c r="BJ96" i="191"/>
  <c r="BK96" i="191"/>
  <c r="BD97" i="191"/>
  <c r="BE97" i="191"/>
  <c r="BF97" i="191"/>
  <c r="BG97" i="191"/>
  <c r="BH97" i="191"/>
  <c r="BI97" i="191"/>
  <c r="BJ97" i="191"/>
  <c r="BK97" i="191"/>
  <c r="BD98" i="191"/>
  <c r="BE98" i="191"/>
  <c r="BF98" i="191"/>
  <c r="BG98" i="191"/>
  <c r="BH98" i="191"/>
  <c r="BI98" i="191"/>
  <c r="BJ98" i="191"/>
  <c r="BK98" i="191"/>
  <c r="BD99" i="191"/>
  <c r="BE99" i="191"/>
  <c r="BF99" i="191"/>
  <c r="BG99" i="191"/>
  <c r="BH99" i="191"/>
  <c r="BI99" i="191"/>
  <c r="BJ99" i="191"/>
  <c r="BK99" i="191"/>
  <c r="BD100" i="191"/>
  <c r="BE100" i="191"/>
  <c r="BF100" i="191"/>
  <c r="BG100" i="191"/>
  <c r="BH100" i="191"/>
  <c r="BI100" i="191"/>
  <c r="BJ100" i="191"/>
  <c r="BK100" i="191"/>
  <c r="BD101" i="191"/>
  <c r="BE101" i="191"/>
  <c r="BF101" i="191"/>
  <c r="BG101" i="191"/>
  <c r="BH101" i="191"/>
  <c r="BI101" i="191"/>
  <c r="BJ101" i="191"/>
  <c r="BK101" i="191"/>
  <c r="BD102" i="191"/>
  <c r="BE102" i="191"/>
  <c r="BF102" i="191"/>
  <c r="BG102" i="191"/>
  <c r="BH102" i="191"/>
  <c r="BI102" i="191"/>
  <c r="BJ102" i="191"/>
  <c r="BK102" i="191"/>
  <c r="BD103" i="191"/>
  <c r="BE103" i="191"/>
  <c r="BF103" i="191"/>
  <c r="BG103" i="191"/>
  <c r="BH103" i="191"/>
  <c r="BI103" i="191"/>
  <c r="BJ103" i="191"/>
  <c r="BK103" i="191"/>
  <c r="BD104" i="191"/>
  <c r="BE104" i="191"/>
  <c r="BF104" i="191"/>
  <c r="BG104" i="191"/>
  <c r="BH104" i="191"/>
  <c r="BI104" i="191"/>
  <c r="BJ104" i="191"/>
  <c r="BK104" i="191"/>
  <c r="BD105" i="191"/>
  <c r="BE105" i="191"/>
  <c r="BF105" i="191"/>
  <c r="BG105" i="191"/>
  <c r="BH105" i="191"/>
  <c r="BI105" i="191"/>
  <c r="BJ105" i="191"/>
  <c r="BK105" i="191"/>
  <c r="BD106" i="191"/>
  <c r="BE106" i="191"/>
  <c r="BF106" i="191"/>
  <c r="BG106" i="191"/>
  <c r="BH106" i="191"/>
  <c r="BI106" i="191"/>
  <c r="BJ106" i="191"/>
  <c r="BK106" i="191"/>
  <c r="BD107" i="191"/>
  <c r="BE107" i="191"/>
  <c r="BF107" i="191"/>
  <c r="BG107" i="191"/>
  <c r="BH107" i="191"/>
  <c r="BI107" i="191"/>
  <c r="BJ107" i="191"/>
  <c r="BK107" i="191"/>
  <c r="BD108" i="191"/>
  <c r="BE108" i="191"/>
  <c r="BF108" i="191"/>
  <c r="BG108" i="191"/>
  <c r="BH108" i="191"/>
  <c r="BI108" i="191"/>
  <c r="BJ108" i="191"/>
  <c r="BK108" i="191"/>
  <c r="BD109" i="191"/>
  <c r="BE109" i="191"/>
  <c r="BF109" i="191"/>
  <c r="BG109" i="191"/>
  <c r="BH109" i="191"/>
  <c r="BI109" i="191"/>
  <c r="BJ109" i="191"/>
  <c r="BK109" i="191"/>
  <c r="BD110" i="191"/>
  <c r="BE110" i="191"/>
  <c r="BF110" i="191"/>
  <c r="BG110" i="191"/>
  <c r="BH110" i="191"/>
  <c r="BI110" i="191"/>
  <c r="BJ110" i="191"/>
  <c r="BK110" i="191"/>
  <c r="BD111" i="191"/>
  <c r="BE111" i="191"/>
  <c r="BF111" i="191"/>
  <c r="BG111" i="191"/>
  <c r="BH111" i="191"/>
  <c r="BI111" i="191"/>
  <c r="BJ111" i="191"/>
  <c r="BK111" i="191"/>
  <c r="BD112" i="191"/>
  <c r="BE112" i="191"/>
  <c r="BF112" i="191"/>
  <c r="BG112" i="191"/>
  <c r="BH112" i="191"/>
  <c r="BI112" i="191"/>
  <c r="BJ112" i="191"/>
  <c r="BK112" i="191"/>
  <c r="BD113" i="191"/>
  <c r="BE113" i="191"/>
  <c r="BF113" i="191"/>
  <c r="BG113" i="191"/>
  <c r="BH113" i="191"/>
  <c r="BI113" i="191"/>
  <c r="BJ113" i="191"/>
  <c r="BK113" i="191"/>
  <c r="BD114" i="191"/>
  <c r="BE114" i="191"/>
  <c r="BF114" i="191"/>
  <c r="BG114" i="191"/>
  <c r="BH114" i="191"/>
  <c r="BI114" i="191"/>
  <c r="BJ114" i="191"/>
  <c r="BK114" i="191"/>
  <c r="BD115" i="191"/>
  <c r="BE115" i="191"/>
  <c r="BF115" i="191"/>
  <c r="BG115" i="191"/>
  <c r="BH115" i="191"/>
  <c r="BI115" i="191"/>
  <c r="BJ115" i="191"/>
  <c r="BK115" i="191"/>
  <c r="BD116" i="191"/>
  <c r="BE116" i="191"/>
  <c r="BF116" i="191"/>
  <c r="BG116" i="191"/>
  <c r="BH116" i="191"/>
  <c r="BI116" i="191"/>
  <c r="BJ116" i="191"/>
  <c r="BK116" i="191"/>
  <c r="BD117" i="191"/>
  <c r="BE117" i="191"/>
  <c r="BF117" i="191"/>
  <c r="BG117" i="191"/>
  <c r="BH117" i="191"/>
  <c r="BI117" i="191"/>
  <c r="BJ117" i="191"/>
  <c r="BK117" i="191"/>
  <c r="BD118" i="191"/>
  <c r="BE118" i="191"/>
  <c r="BF118" i="191"/>
  <c r="BG118" i="191"/>
  <c r="BH118" i="191"/>
  <c r="BI118" i="191"/>
  <c r="BJ118" i="191"/>
  <c r="BK118" i="191"/>
  <c r="BD119" i="191"/>
  <c r="BE119" i="191"/>
  <c r="BF119" i="191"/>
  <c r="BG119" i="191"/>
  <c r="BH119" i="191"/>
  <c r="BI119" i="191"/>
  <c r="BJ119" i="191"/>
  <c r="BK119" i="191"/>
  <c r="BD120" i="191"/>
  <c r="BE120" i="191"/>
  <c r="BF120" i="191"/>
  <c r="BG120" i="191"/>
  <c r="BH120" i="191"/>
  <c r="BI120" i="191"/>
  <c r="BJ120" i="191"/>
  <c r="BK120" i="191"/>
  <c r="BD121" i="191"/>
  <c r="BE121" i="191"/>
  <c r="BF121" i="191"/>
  <c r="BG121" i="191"/>
  <c r="BH121" i="191"/>
  <c r="BI121" i="191"/>
  <c r="BJ121" i="191"/>
  <c r="BK121" i="191"/>
  <c r="BD122" i="191"/>
  <c r="BE122" i="191"/>
  <c r="BF122" i="191"/>
  <c r="BG122" i="191"/>
  <c r="BH122" i="191"/>
  <c r="BI122" i="191"/>
  <c r="BJ122" i="191"/>
  <c r="BK122" i="191"/>
  <c r="BD123" i="191"/>
  <c r="BE123" i="191"/>
  <c r="BF123" i="191"/>
  <c r="BG123" i="191"/>
  <c r="BH123" i="191"/>
  <c r="BI123" i="191"/>
  <c r="BJ123" i="191"/>
  <c r="BK123" i="191"/>
  <c r="BD124" i="191"/>
  <c r="BE124" i="191"/>
  <c r="BF124" i="191"/>
  <c r="BG124" i="191"/>
  <c r="BH124" i="191"/>
  <c r="BI124" i="191"/>
  <c r="BJ124" i="191"/>
  <c r="BK124" i="191"/>
  <c r="BD125" i="191"/>
  <c r="BE125" i="191"/>
  <c r="BF125" i="191"/>
  <c r="BG125" i="191"/>
  <c r="BH125" i="191"/>
  <c r="BI125" i="191"/>
  <c r="BJ125" i="191"/>
  <c r="BK125" i="191"/>
  <c r="BD126" i="191"/>
  <c r="BE126" i="191"/>
  <c r="BF126" i="191"/>
  <c r="BG126" i="191"/>
  <c r="BH126" i="191"/>
  <c r="BI126" i="191"/>
  <c r="BJ126" i="191"/>
  <c r="BK126" i="191"/>
  <c r="BD127" i="191"/>
  <c r="BE127" i="191"/>
  <c r="BF127" i="191"/>
  <c r="BG127" i="191"/>
  <c r="BH127" i="191"/>
  <c r="BI127" i="191"/>
  <c r="BJ127" i="191"/>
  <c r="BK127" i="191"/>
  <c r="BD128" i="191"/>
  <c r="BE128" i="191"/>
  <c r="BF128" i="191"/>
  <c r="BG128" i="191"/>
  <c r="BH128" i="191"/>
  <c r="BI128" i="191"/>
  <c r="BJ128" i="191"/>
  <c r="BK128" i="191"/>
  <c r="BD129" i="191"/>
  <c r="BE129" i="191"/>
  <c r="BF129" i="191"/>
  <c r="BG129" i="191"/>
  <c r="BH129" i="191"/>
  <c r="BI129" i="191"/>
  <c r="BJ129" i="191"/>
  <c r="BK129" i="191"/>
  <c r="BD130" i="191"/>
  <c r="BE130" i="191"/>
  <c r="BF130" i="191"/>
  <c r="BG130" i="191"/>
  <c r="BH130" i="191"/>
  <c r="BI130" i="191"/>
  <c r="BJ130" i="191"/>
  <c r="BK130" i="191"/>
  <c r="BD131" i="191"/>
  <c r="BE131" i="191"/>
  <c r="BF131" i="191"/>
  <c r="BG131" i="191"/>
  <c r="BH131" i="191"/>
  <c r="BI131" i="191"/>
  <c r="BJ131" i="191"/>
  <c r="BK131" i="191"/>
  <c r="BD132" i="191"/>
  <c r="BE132" i="191"/>
  <c r="BF132" i="191"/>
  <c r="BG132" i="191"/>
  <c r="BH132" i="191"/>
  <c r="BI132" i="191"/>
  <c r="BJ132" i="191"/>
  <c r="BK132" i="191"/>
  <c r="BD133" i="191"/>
  <c r="BE133" i="191"/>
  <c r="BF133" i="191"/>
  <c r="BG133" i="191"/>
  <c r="BH133" i="191"/>
  <c r="BI133" i="191"/>
  <c r="BJ133" i="191"/>
  <c r="BK133" i="191"/>
  <c r="BD134" i="191"/>
  <c r="BE134" i="191"/>
  <c r="BF134" i="191"/>
  <c r="BG134" i="191"/>
  <c r="BH134" i="191"/>
  <c r="BI134" i="191"/>
  <c r="BJ134" i="191"/>
  <c r="BK134" i="191"/>
  <c r="BD135" i="191"/>
  <c r="BE135" i="191"/>
  <c r="BF135" i="191"/>
  <c r="BG135" i="191"/>
  <c r="BH135" i="191"/>
  <c r="BI135" i="191"/>
  <c r="BJ135" i="191"/>
  <c r="BK135" i="191"/>
  <c r="BD136" i="191"/>
  <c r="BE136" i="191"/>
  <c r="BF136" i="191"/>
  <c r="BG136" i="191"/>
  <c r="BH136" i="191"/>
  <c r="BI136" i="191"/>
  <c r="BJ136" i="191"/>
  <c r="BK136" i="191"/>
  <c r="BD137" i="191"/>
  <c r="BE137" i="191"/>
  <c r="BF137" i="191"/>
  <c r="BG137" i="191"/>
  <c r="BH137" i="191"/>
  <c r="BI137" i="191"/>
  <c r="BJ137" i="191"/>
  <c r="BK137" i="191"/>
  <c r="BD138" i="191"/>
  <c r="BE138" i="191"/>
  <c r="BF138" i="191"/>
  <c r="BG138" i="191"/>
  <c r="BH138" i="191"/>
  <c r="BI138" i="191"/>
  <c r="BJ138" i="191"/>
  <c r="BK138" i="191"/>
  <c r="BD139" i="191"/>
  <c r="BE139" i="191"/>
  <c r="BF139" i="191"/>
  <c r="BG139" i="191"/>
  <c r="BH139" i="191"/>
  <c r="BI139" i="191"/>
  <c r="BJ139" i="191"/>
  <c r="BK139" i="191"/>
  <c r="BD140" i="191"/>
  <c r="BE140" i="191"/>
  <c r="BF140" i="191"/>
  <c r="BG140" i="191"/>
  <c r="BH140" i="191"/>
  <c r="BI140" i="191"/>
  <c r="BJ140" i="191"/>
  <c r="BK140" i="191"/>
  <c r="BD141" i="191"/>
  <c r="BE141" i="191"/>
  <c r="BF141" i="191"/>
  <c r="BG141" i="191"/>
  <c r="BH141" i="191"/>
  <c r="BI141" i="191"/>
  <c r="BJ141" i="191"/>
  <c r="BK141" i="191"/>
  <c r="BD142" i="191"/>
  <c r="BE142" i="191"/>
  <c r="BF142" i="191"/>
  <c r="BG142" i="191"/>
  <c r="BH142" i="191"/>
  <c r="BI142" i="191"/>
  <c r="BJ142" i="191"/>
  <c r="BK142" i="191"/>
  <c r="BD143" i="191"/>
  <c r="BE143" i="191"/>
  <c r="BF143" i="191"/>
  <c r="BG143" i="191"/>
  <c r="BH143" i="191"/>
  <c r="BI143" i="191"/>
  <c r="BJ143" i="191"/>
  <c r="BK143" i="191"/>
  <c r="BD144" i="191"/>
  <c r="BE144" i="191"/>
  <c r="BF144" i="191"/>
  <c r="BG144" i="191"/>
  <c r="BH144" i="191"/>
  <c r="BI144" i="191"/>
  <c r="BJ144" i="191"/>
  <c r="BK144" i="191"/>
  <c r="BD145" i="191"/>
  <c r="BE145" i="191"/>
  <c r="BF145" i="191"/>
  <c r="BG145" i="191"/>
  <c r="BH145" i="191"/>
  <c r="BI145" i="191"/>
  <c r="BJ145" i="191"/>
  <c r="BK145" i="191"/>
  <c r="BD146" i="191"/>
  <c r="BE146" i="191"/>
  <c r="BF146" i="191"/>
  <c r="BG146" i="191"/>
  <c r="BH146" i="191"/>
  <c r="BI146" i="191"/>
  <c r="BJ146" i="191"/>
  <c r="BK146" i="191"/>
  <c r="BD147" i="191"/>
  <c r="BE147" i="191"/>
  <c r="BF147" i="191"/>
  <c r="BG147" i="191"/>
  <c r="BH147" i="191"/>
  <c r="BI147" i="191"/>
  <c r="BJ147" i="191"/>
  <c r="BK147" i="191"/>
  <c r="BD148" i="191"/>
  <c r="BE148" i="191"/>
  <c r="BF148" i="191"/>
  <c r="BG148" i="191"/>
  <c r="BH148" i="191"/>
  <c r="BI148" i="191"/>
  <c r="BJ148" i="191"/>
  <c r="BK148" i="191"/>
  <c r="BD149" i="191"/>
  <c r="BE149" i="191"/>
  <c r="BF149" i="191"/>
  <c r="BG149" i="191"/>
  <c r="BH149" i="191"/>
  <c r="BI149" i="191"/>
  <c r="BJ149" i="191"/>
  <c r="BK149" i="191"/>
  <c r="BD150" i="191"/>
  <c r="BE150" i="191"/>
  <c r="BF150" i="191"/>
  <c r="BG150" i="191"/>
  <c r="BH150" i="191"/>
  <c r="BI150" i="191"/>
  <c r="BJ150" i="191"/>
  <c r="BK150" i="191"/>
  <c r="BD151" i="191"/>
  <c r="BE151" i="191"/>
  <c r="BF151" i="191"/>
  <c r="BG151" i="191"/>
  <c r="BH151" i="191"/>
  <c r="BI151" i="191"/>
  <c r="BJ151" i="191"/>
  <c r="BK151" i="191"/>
  <c r="BD152" i="191"/>
  <c r="BE152" i="191"/>
  <c r="BF152" i="191"/>
  <c r="BG152" i="191"/>
  <c r="BH152" i="191"/>
  <c r="BI152" i="191"/>
  <c r="BJ152" i="191"/>
  <c r="BK152" i="191"/>
  <c r="BD153" i="191"/>
  <c r="BE153" i="191"/>
  <c r="BF153" i="191"/>
  <c r="BG153" i="191"/>
  <c r="BH153" i="191"/>
  <c r="BI153" i="191"/>
  <c r="BJ153" i="191"/>
  <c r="BK153" i="191"/>
  <c r="BD154" i="191"/>
  <c r="BE154" i="191"/>
  <c r="BF154" i="191"/>
  <c r="BG154" i="191"/>
  <c r="BH154" i="191"/>
  <c r="BI154" i="191"/>
  <c r="BJ154" i="191"/>
  <c r="BK154" i="191"/>
  <c r="BD155" i="191"/>
  <c r="BE155" i="191"/>
  <c r="BF155" i="191"/>
  <c r="BG155" i="191"/>
  <c r="BH155" i="191"/>
  <c r="BI155" i="191"/>
  <c r="BJ155" i="191"/>
  <c r="BK155" i="191"/>
  <c r="BD156" i="191"/>
  <c r="BE156" i="191"/>
  <c r="BF156" i="191"/>
  <c r="BG156" i="191"/>
  <c r="BH156" i="191"/>
  <c r="BI156" i="191"/>
  <c r="BJ156" i="191"/>
  <c r="BK156" i="191"/>
  <c r="BD157" i="191"/>
  <c r="BE157" i="191"/>
  <c r="BF157" i="191"/>
  <c r="BG157" i="191"/>
  <c r="BH157" i="191"/>
  <c r="BI157" i="191"/>
  <c r="BJ157" i="191"/>
  <c r="BK157" i="191"/>
  <c r="BD158" i="191"/>
  <c r="BE158" i="191"/>
  <c r="BF158" i="191"/>
  <c r="BG158" i="191"/>
  <c r="BH158" i="191"/>
  <c r="BI158" i="191"/>
  <c r="BJ158" i="191"/>
  <c r="BK158" i="191"/>
  <c r="BD159" i="191"/>
  <c r="BE159" i="191"/>
  <c r="BF159" i="191"/>
  <c r="BG159" i="191"/>
  <c r="BH159" i="191"/>
  <c r="BI159" i="191"/>
  <c r="BJ159" i="191"/>
  <c r="BK159" i="191"/>
  <c r="BD160" i="191"/>
  <c r="BE160" i="191"/>
  <c r="BF160" i="191"/>
  <c r="BG160" i="191"/>
  <c r="BH160" i="191"/>
  <c r="BI160" i="191"/>
  <c r="BJ160" i="191"/>
  <c r="BK160" i="191"/>
  <c r="BD161" i="191"/>
  <c r="BE161" i="191"/>
  <c r="BF161" i="191"/>
  <c r="BG161" i="191"/>
  <c r="BH161" i="191"/>
  <c r="BI161" i="191"/>
  <c r="BJ161" i="191"/>
  <c r="BK161" i="191"/>
  <c r="BD162" i="191"/>
  <c r="BE162" i="191"/>
  <c r="BF162" i="191"/>
  <c r="BG162" i="191"/>
  <c r="BH162" i="191"/>
  <c r="BI162" i="191"/>
  <c r="BJ162" i="191"/>
  <c r="BK162" i="191"/>
  <c r="BD163" i="191"/>
  <c r="BE163" i="191"/>
  <c r="BF163" i="191"/>
  <c r="BG163" i="191"/>
  <c r="BH163" i="191"/>
  <c r="BI163" i="191"/>
  <c r="BJ163" i="191"/>
  <c r="BK163" i="191"/>
  <c r="BD164" i="191"/>
  <c r="BE164" i="191"/>
  <c r="BF164" i="191"/>
  <c r="BG164" i="191"/>
  <c r="BH164" i="191"/>
  <c r="BI164" i="191"/>
  <c r="BJ164" i="191"/>
  <c r="BK164" i="191"/>
  <c r="BD165" i="191"/>
  <c r="BE165" i="191"/>
  <c r="BF165" i="191"/>
  <c r="BG165" i="191"/>
  <c r="BH165" i="191"/>
  <c r="BI165" i="191"/>
  <c r="BJ165" i="191"/>
  <c r="BK165" i="191"/>
  <c r="BD166" i="191"/>
  <c r="BE166" i="191"/>
  <c r="BF166" i="191"/>
  <c r="BG166" i="191"/>
  <c r="BH166" i="191"/>
  <c r="BI166" i="191"/>
  <c r="BJ166" i="191"/>
  <c r="BK166" i="191"/>
  <c r="BD167" i="191"/>
  <c r="BE167" i="191"/>
  <c r="BF167" i="191"/>
  <c r="BG167" i="191"/>
  <c r="BH167" i="191"/>
  <c r="BI167" i="191"/>
  <c r="BJ167" i="191"/>
  <c r="BK167" i="191"/>
  <c r="BD168" i="191"/>
  <c r="BE168" i="191"/>
  <c r="BF168" i="191"/>
  <c r="BG168" i="191"/>
  <c r="BH168" i="191"/>
  <c r="BI168" i="191"/>
  <c r="BJ168" i="191"/>
  <c r="BK168" i="191"/>
  <c r="BD169" i="191"/>
  <c r="BE169" i="191"/>
  <c r="BF169" i="191"/>
  <c r="BG169" i="191"/>
  <c r="BH169" i="191"/>
  <c r="BI169" i="191"/>
  <c r="BJ169" i="191"/>
  <c r="BK169" i="191"/>
  <c r="BD170" i="191"/>
  <c r="BE170" i="191"/>
  <c r="BF170" i="191"/>
  <c r="BG170" i="191"/>
  <c r="BH170" i="191"/>
  <c r="BI170" i="191"/>
  <c r="BJ170" i="191"/>
  <c r="BK170" i="191"/>
  <c r="BD171" i="191"/>
  <c r="BE171" i="191"/>
  <c r="BF171" i="191"/>
  <c r="BG171" i="191"/>
  <c r="BH171" i="191"/>
  <c r="BI171" i="191"/>
  <c r="BJ171" i="191"/>
  <c r="BK171" i="191"/>
  <c r="BD172" i="191"/>
  <c r="BE172" i="191"/>
  <c r="BF172" i="191"/>
  <c r="BG172" i="191"/>
  <c r="BH172" i="191"/>
  <c r="BI172" i="191"/>
  <c r="BJ172" i="191"/>
  <c r="BK172" i="191"/>
  <c r="BD173" i="191"/>
  <c r="BE173" i="191"/>
  <c r="BF173" i="191"/>
  <c r="BG173" i="191"/>
  <c r="BH173" i="191"/>
  <c r="BI173" i="191"/>
  <c r="BJ173" i="191"/>
  <c r="BK173" i="191"/>
  <c r="BD174" i="191"/>
  <c r="BE174" i="191"/>
  <c r="BF174" i="191"/>
  <c r="BG174" i="191"/>
  <c r="BH174" i="191"/>
  <c r="BI174" i="191"/>
  <c r="BJ174" i="191"/>
  <c r="BK174" i="191"/>
  <c r="BD175" i="191"/>
  <c r="BE175" i="191"/>
  <c r="BF175" i="191"/>
  <c r="BG175" i="191"/>
  <c r="BH175" i="191"/>
  <c r="BI175" i="191"/>
  <c r="BJ175" i="191"/>
  <c r="BK175" i="191"/>
  <c r="BD176" i="191"/>
  <c r="BE176" i="191"/>
  <c r="BF176" i="191"/>
  <c r="BG176" i="191"/>
  <c r="BH176" i="191"/>
  <c r="BI176" i="191"/>
  <c r="BJ176" i="191"/>
  <c r="BK176" i="191"/>
  <c r="BD177" i="191"/>
  <c r="BE177" i="191"/>
  <c r="BF177" i="191"/>
  <c r="BG177" i="191"/>
  <c r="BH177" i="191"/>
  <c r="BI177" i="191"/>
  <c r="BJ177" i="191"/>
  <c r="BK177" i="191"/>
  <c r="BD178" i="191"/>
  <c r="BE178" i="191"/>
  <c r="BF178" i="191"/>
  <c r="BG178" i="191"/>
  <c r="BH178" i="191"/>
  <c r="BI178" i="191"/>
  <c r="BJ178" i="191"/>
  <c r="BK178" i="191"/>
  <c r="BD179" i="191"/>
  <c r="BE179" i="191"/>
  <c r="BF179" i="191"/>
  <c r="BG179" i="191"/>
  <c r="BH179" i="191"/>
  <c r="BI179" i="191"/>
  <c r="BJ179" i="191"/>
  <c r="BK179" i="191"/>
  <c r="BD180" i="191"/>
  <c r="BE180" i="191"/>
  <c r="BF180" i="191"/>
  <c r="BG180" i="191"/>
  <c r="BH180" i="191"/>
  <c r="BI180" i="191"/>
  <c r="BJ180" i="191"/>
  <c r="BK180" i="191"/>
  <c r="BD181" i="191"/>
  <c r="BE181" i="191"/>
  <c r="BF181" i="191"/>
  <c r="BG181" i="191"/>
  <c r="BH181" i="191"/>
  <c r="BI181" i="191"/>
  <c r="BJ181" i="191"/>
  <c r="BK181" i="191"/>
  <c r="BD182" i="191"/>
  <c r="BE182" i="191"/>
  <c r="BF182" i="191"/>
  <c r="BG182" i="191"/>
  <c r="BH182" i="191"/>
  <c r="BI182" i="191"/>
  <c r="BJ182" i="191"/>
  <c r="BK182" i="191"/>
  <c r="BD183" i="191"/>
  <c r="BE183" i="191"/>
  <c r="BF183" i="191"/>
  <c r="BG183" i="191"/>
  <c r="BH183" i="191"/>
  <c r="BI183" i="191"/>
  <c r="BJ183" i="191"/>
  <c r="BK183" i="191"/>
  <c r="BD184" i="191"/>
  <c r="BE184" i="191"/>
  <c r="BF184" i="191"/>
  <c r="BG184" i="191"/>
  <c r="BH184" i="191"/>
  <c r="BI184" i="191"/>
  <c r="BJ184" i="191"/>
  <c r="BK184" i="191"/>
  <c r="BD185" i="191"/>
  <c r="BE185" i="191"/>
  <c r="BF185" i="191"/>
  <c r="BG185" i="191"/>
  <c r="BH185" i="191"/>
  <c r="BI185" i="191"/>
  <c r="BJ185" i="191"/>
  <c r="BK185" i="191"/>
  <c r="BD186" i="191"/>
  <c r="BE186" i="191"/>
  <c r="BF186" i="191"/>
  <c r="BG186" i="191"/>
  <c r="BH186" i="191"/>
  <c r="BI186" i="191"/>
  <c r="BJ186" i="191"/>
  <c r="BK186" i="191"/>
  <c r="BD187" i="191"/>
  <c r="BE187" i="191"/>
  <c r="BF187" i="191"/>
  <c r="BG187" i="191"/>
  <c r="BH187" i="191"/>
  <c r="BI187" i="191"/>
  <c r="BJ187" i="191"/>
  <c r="BK187" i="191"/>
  <c r="BD188" i="191"/>
  <c r="BE188" i="191"/>
  <c r="BF188" i="191"/>
  <c r="BG188" i="191"/>
  <c r="BH188" i="191"/>
  <c r="BI188" i="191"/>
  <c r="BJ188" i="191"/>
  <c r="BK188" i="191"/>
  <c r="BD189" i="191"/>
  <c r="BE189" i="191"/>
  <c r="BF189" i="191"/>
  <c r="BG189" i="191"/>
  <c r="BH189" i="191"/>
  <c r="BI189" i="191"/>
  <c r="BJ189" i="191"/>
  <c r="BK189" i="191"/>
  <c r="BD190" i="191"/>
  <c r="BE190" i="191"/>
  <c r="BF190" i="191"/>
  <c r="BG190" i="191"/>
  <c r="BH190" i="191"/>
  <c r="BI190" i="191"/>
  <c r="BJ190" i="191"/>
  <c r="BK190" i="191"/>
  <c r="BD191" i="191"/>
  <c r="BE191" i="191"/>
  <c r="BF191" i="191"/>
  <c r="BG191" i="191"/>
  <c r="BH191" i="191"/>
  <c r="BI191" i="191"/>
  <c r="BJ191" i="191"/>
  <c r="BK191" i="191"/>
  <c r="BD192" i="191"/>
  <c r="BE192" i="191"/>
  <c r="BF192" i="191"/>
  <c r="BG192" i="191"/>
  <c r="BH192" i="191"/>
  <c r="BI192" i="191"/>
  <c r="BJ192" i="191"/>
  <c r="BK192" i="191"/>
  <c r="BD193" i="191"/>
  <c r="BE193" i="191"/>
  <c r="BF193" i="191"/>
  <c r="BG193" i="191"/>
  <c r="BH193" i="191"/>
  <c r="BI193" i="191"/>
  <c r="BJ193" i="191"/>
  <c r="BK193" i="191"/>
  <c r="BD194" i="191"/>
  <c r="BE194" i="191"/>
  <c r="BF194" i="191"/>
  <c r="BG194" i="191"/>
  <c r="BH194" i="191"/>
  <c r="BI194" i="191"/>
  <c r="BJ194" i="191"/>
  <c r="BK194" i="191"/>
  <c r="BD195" i="191"/>
  <c r="BE195" i="191"/>
  <c r="BF195" i="191"/>
  <c r="BG195" i="191"/>
  <c r="BH195" i="191"/>
  <c r="BI195" i="191"/>
  <c r="BJ195" i="191"/>
  <c r="BK195" i="191"/>
  <c r="BD196" i="191"/>
  <c r="BE196" i="191"/>
  <c r="BF196" i="191"/>
  <c r="BG196" i="191"/>
  <c r="BH196" i="191"/>
  <c r="BI196" i="191"/>
  <c r="BJ196" i="191"/>
  <c r="BK196" i="191"/>
  <c r="BD197" i="191"/>
  <c r="BE197" i="191"/>
  <c r="BF197" i="191"/>
  <c r="BG197" i="191"/>
  <c r="BH197" i="191"/>
  <c r="BI197" i="191"/>
  <c r="BJ197" i="191"/>
  <c r="BK197" i="191"/>
  <c r="BD198" i="191"/>
  <c r="BE198" i="191"/>
  <c r="BF198" i="191"/>
  <c r="BG198" i="191"/>
  <c r="BH198" i="191"/>
  <c r="BI198" i="191"/>
  <c r="BJ198" i="191"/>
  <c r="BK198" i="191"/>
  <c r="BD199" i="191"/>
  <c r="BE199" i="191"/>
  <c r="BF199" i="191"/>
  <c r="BG199" i="191"/>
  <c r="BH199" i="191"/>
  <c r="BI199" i="191"/>
  <c r="BJ199" i="191"/>
  <c r="BK199" i="191"/>
  <c r="BD200" i="191"/>
  <c r="BE200" i="191"/>
  <c r="BF200" i="191"/>
  <c r="BG200" i="191"/>
  <c r="BH200" i="191"/>
  <c r="BI200" i="191"/>
  <c r="BJ200" i="191"/>
  <c r="BK200" i="191"/>
  <c r="BD201" i="191"/>
  <c r="BE201" i="191"/>
  <c r="BF201" i="191"/>
  <c r="BG201" i="191"/>
  <c r="BH201" i="191"/>
  <c r="BI201" i="191"/>
  <c r="BJ201" i="191"/>
  <c r="BK201" i="191"/>
  <c r="BD202" i="191"/>
  <c r="BE202" i="191"/>
  <c r="BF202" i="191"/>
  <c r="BG202" i="191"/>
  <c r="BH202" i="191"/>
  <c r="BI202" i="191"/>
  <c r="BJ202" i="191"/>
  <c r="BK202" i="191"/>
  <c r="BD203" i="191"/>
  <c r="BE203" i="191"/>
  <c r="BF203" i="191"/>
  <c r="BG203" i="191"/>
  <c r="BH203" i="191"/>
  <c r="BI203" i="191"/>
  <c r="BJ203" i="191"/>
  <c r="BK203" i="191"/>
  <c r="BD204" i="191"/>
  <c r="BE204" i="191"/>
  <c r="BF204" i="191"/>
  <c r="BG204" i="191"/>
  <c r="BH204" i="191"/>
  <c r="BI204" i="191"/>
  <c r="BJ204" i="191"/>
  <c r="BK204" i="191"/>
  <c r="BD205" i="191"/>
  <c r="BE205" i="191"/>
  <c r="BF205" i="191"/>
  <c r="BG205" i="191"/>
  <c r="BH205" i="191"/>
  <c r="BI205" i="191"/>
  <c r="BJ205" i="191"/>
  <c r="BK205" i="191"/>
  <c r="BD206" i="191"/>
  <c r="BE206" i="191"/>
  <c r="BF206" i="191"/>
  <c r="BG206" i="191"/>
  <c r="BH206" i="191"/>
  <c r="BI206" i="191"/>
  <c r="BJ206" i="191"/>
  <c r="BK206" i="191"/>
  <c r="BD207" i="191"/>
  <c r="BE207" i="191"/>
  <c r="BF207" i="191"/>
  <c r="BG207" i="191"/>
  <c r="BH207" i="191"/>
  <c r="BI207" i="191"/>
  <c r="BJ207" i="191"/>
  <c r="BK207" i="191"/>
  <c r="BD208" i="191"/>
  <c r="BE208" i="191"/>
  <c r="BF208" i="191"/>
  <c r="BG208" i="191"/>
  <c r="BH208" i="191"/>
  <c r="BI208" i="191"/>
  <c r="BJ208" i="191"/>
  <c r="BK208" i="191"/>
  <c r="BD209" i="191"/>
  <c r="BE209" i="191"/>
  <c r="BF209" i="191"/>
  <c r="BG209" i="191"/>
  <c r="BH209" i="191"/>
  <c r="BI209" i="191"/>
  <c r="BJ209" i="191"/>
  <c r="BK209" i="191"/>
  <c r="BD210" i="191"/>
  <c r="BE210" i="191"/>
  <c r="BF210" i="191"/>
  <c r="BG210" i="191"/>
  <c r="BH210" i="191"/>
  <c r="BI210" i="191"/>
  <c r="BJ210" i="191"/>
  <c r="BK210" i="191"/>
  <c r="BD211" i="191"/>
  <c r="BE211" i="191"/>
  <c r="BF211" i="191"/>
  <c r="BG211" i="191"/>
  <c r="BH211" i="191"/>
  <c r="BI211" i="191"/>
  <c r="BJ211" i="191"/>
  <c r="BK211" i="191"/>
  <c r="BD212" i="191"/>
  <c r="BE212" i="191"/>
  <c r="BF212" i="191"/>
  <c r="BG212" i="191"/>
  <c r="BH212" i="191"/>
  <c r="BI212" i="191"/>
  <c r="BJ212" i="191"/>
  <c r="BK212" i="191"/>
  <c r="BD213" i="191"/>
  <c r="BE213" i="191"/>
  <c r="BF213" i="191"/>
  <c r="BG213" i="191"/>
  <c r="BH213" i="191"/>
  <c r="BI213" i="191"/>
  <c r="BJ213" i="191"/>
  <c r="BK213" i="191"/>
  <c r="BD214" i="191"/>
  <c r="BE214" i="191"/>
  <c r="BF214" i="191"/>
  <c r="BG214" i="191"/>
  <c r="BH214" i="191"/>
  <c r="BI214" i="191"/>
  <c r="BJ214" i="191"/>
  <c r="BK214" i="191"/>
  <c r="BD215" i="191"/>
  <c r="BE215" i="191"/>
  <c r="BF215" i="191"/>
  <c r="BG215" i="191"/>
  <c r="BH215" i="191"/>
  <c r="BI215" i="191"/>
  <c r="BJ215" i="191"/>
  <c r="BK215" i="191"/>
  <c r="BD216" i="191"/>
  <c r="BE216" i="191"/>
  <c r="BF216" i="191"/>
  <c r="BG216" i="191"/>
  <c r="BH216" i="191"/>
  <c r="BI216" i="191"/>
  <c r="BJ216" i="191"/>
  <c r="BK216" i="191"/>
  <c r="BD217" i="191"/>
  <c r="BE217" i="191"/>
  <c r="BF217" i="191"/>
  <c r="BG217" i="191"/>
  <c r="BH217" i="191"/>
  <c r="BI217" i="191"/>
  <c r="BJ217" i="191"/>
  <c r="BK217" i="191"/>
  <c r="BD218" i="191"/>
  <c r="BE218" i="191"/>
  <c r="BF218" i="191"/>
  <c r="BG218" i="191"/>
  <c r="BH218" i="191"/>
  <c r="BI218" i="191"/>
  <c r="BJ218" i="191"/>
  <c r="BK218" i="191"/>
  <c r="BD219" i="191"/>
  <c r="BE219" i="191"/>
  <c r="BF219" i="191"/>
  <c r="BG219" i="191"/>
  <c r="BH219" i="191"/>
  <c r="BI219" i="191"/>
  <c r="BJ219" i="191"/>
  <c r="BK219" i="191"/>
  <c r="BD220" i="191"/>
  <c r="BE220" i="191"/>
  <c r="BF220" i="191"/>
  <c r="BG220" i="191"/>
  <c r="BH220" i="191"/>
  <c r="BI220" i="191"/>
  <c r="BJ220" i="191"/>
  <c r="BK220" i="191"/>
  <c r="BD221" i="191"/>
  <c r="BE221" i="191"/>
  <c r="BF221" i="191"/>
  <c r="BG221" i="191"/>
  <c r="BH221" i="191"/>
  <c r="BI221" i="191"/>
  <c r="BJ221" i="191"/>
  <c r="BK221" i="191"/>
  <c r="BD222" i="191"/>
  <c r="BE222" i="191"/>
  <c r="BF222" i="191"/>
  <c r="BG222" i="191"/>
  <c r="BH222" i="191"/>
  <c r="BI222" i="191"/>
  <c r="BJ222" i="191"/>
  <c r="BK222" i="191"/>
  <c r="BD223" i="191"/>
  <c r="BE223" i="191"/>
  <c r="BF223" i="191"/>
  <c r="BG223" i="191"/>
  <c r="BH223" i="191"/>
  <c r="BI223" i="191"/>
  <c r="BJ223" i="191"/>
  <c r="BK223" i="191"/>
  <c r="BD224" i="191"/>
  <c r="BE224" i="191"/>
  <c r="BF224" i="191"/>
  <c r="BG224" i="191"/>
  <c r="BH224" i="191"/>
  <c r="BI224" i="191"/>
  <c r="BJ224" i="191"/>
  <c r="BK224" i="191"/>
  <c r="BD225" i="191"/>
  <c r="BE225" i="191"/>
  <c r="BF225" i="191"/>
  <c r="BG225" i="191"/>
  <c r="BH225" i="191"/>
  <c r="BI225" i="191"/>
  <c r="BJ225" i="191"/>
  <c r="BK225" i="191"/>
  <c r="BD226" i="191"/>
  <c r="BE226" i="191"/>
  <c r="BF226" i="191"/>
  <c r="BG226" i="191"/>
  <c r="BH226" i="191"/>
  <c r="BI226" i="191"/>
  <c r="BJ226" i="191"/>
  <c r="BK226" i="191"/>
  <c r="BD227" i="191"/>
  <c r="BE227" i="191"/>
  <c r="BF227" i="191"/>
  <c r="BG227" i="191"/>
  <c r="BH227" i="191"/>
  <c r="BI227" i="191"/>
  <c r="BJ227" i="191"/>
  <c r="BK227" i="191"/>
  <c r="BD228" i="191"/>
  <c r="BE228" i="191"/>
  <c r="BF228" i="191"/>
  <c r="BG228" i="191"/>
  <c r="BH228" i="191"/>
  <c r="BI228" i="191"/>
  <c r="BJ228" i="191"/>
  <c r="BK228" i="191"/>
  <c r="BD229" i="191"/>
  <c r="BE229" i="191"/>
  <c r="BF229" i="191"/>
  <c r="BG229" i="191"/>
  <c r="BH229" i="191"/>
  <c r="BI229" i="191"/>
  <c r="BJ229" i="191"/>
  <c r="BK229" i="191"/>
  <c r="BD230" i="191"/>
  <c r="BE230" i="191"/>
  <c r="BF230" i="191"/>
  <c r="BG230" i="191"/>
  <c r="BH230" i="191"/>
  <c r="BI230" i="191"/>
  <c r="BJ230" i="191"/>
  <c r="BK230" i="191"/>
  <c r="BD231" i="191"/>
  <c r="BE231" i="191"/>
  <c r="BF231" i="191"/>
  <c r="BG231" i="191"/>
  <c r="BH231" i="191"/>
  <c r="BI231" i="191"/>
  <c r="BJ231" i="191"/>
  <c r="BK231" i="191"/>
  <c r="BD232" i="191"/>
  <c r="BE232" i="191"/>
  <c r="BF232" i="191"/>
  <c r="BG232" i="191"/>
  <c r="BH232" i="191"/>
  <c r="BI232" i="191"/>
  <c r="BJ232" i="191"/>
  <c r="BK232" i="191"/>
  <c r="BD233" i="191"/>
  <c r="BE233" i="191"/>
  <c r="BF233" i="191"/>
  <c r="BG233" i="191"/>
  <c r="BH233" i="191"/>
  <c r="BI233" i="191"/>
  <c r="BJ233" i="191"/>
  <c r="BK233" i="191"/>
  <c r="BD234" i="191"/>
  <c r="BE234" i="191"/>
  <c r="BF234" i="191"/>
  <c r="BG234" i="191"/>
  <c r="BH234" i="191"/>
  <c r="BI234" i="191"/>
  <c r="BJ234" i="191"/>
  <c r="BK234" i="191"/>
  <c r="BD235" i="191"/>
  <c r="BE235" i="191"/>
  <c r="BF235" i="191"/>
  <c r="BG235" i="191"/>
  <c r="BH235" i="191"/>
  <c r="BI235" i="191"/>
  <c r="BJ235" i="191"/>
  <c r="BK235" i="191"/>
  <c r="BD236" i="191"/>
  <c r="BE236" i="191"/>
  <c r="BF236" i="191"/>
  <c r="BG236" i="191"/>
  <c r="BH236" i="191"/>
  <c r="BI236" i="191"/>
  <c r="BJ236" i="191"/>
  <c r="BK236" i="191"/>
  <c r="BD237" i="191"/>
  <c r="BE237" i="191"/>
  <c r="BF237" i="191"/>
  <c r="BG237" i="191"/>
  <c r="BH237" i="191"/>
  <c r="BI237" i="191"/>
  <c r="BJ237" i="191"/>
  <c r="BK237" i="191"/>
  <c r="BD238" i="191"/>
  <c r="BE238" i="191"/>
  <c r="BF238" i="191"/>
  <c r="BG238" i="191"/>
  <c r="BH238" i="191"/>
  <c r="BI238" i="191"/>
  <c r="BJ238" i="191"/>
  <c r="BK238" i="191"/>
  <c r="BD239" i="191"/>
  <c r="BE239" i="191"/>
  <c r="BF239" i="191"/>
  <c r="BG239" i="191"/>
  <c r="BH239" i="191"/>
  <c r="BI239" i="191"/>
  <c r="BJ239" i="191"/>
  <c r="BK239" i="191"/>
  <c r="BD240" i="191"/>
  <c r="BE240" i="191"/>
  <c r="BF240" i="191"/>
  <c r="BG240" i="191"/>
  <c r="BH240" i="191"/>
  <c r="BI240" i="191"/>
  <c r="BJ240" i="191"/>
  <c r="BK240" i="191"/>
  <c r="BD241" i="191"/>
  <c r="BE241" i="191"/>
  <c r="BF241" i="191"/>
  <c r="BG241" i="191"/>
  <c r="BH241" i="191"/>
  <c r="BI241" i="191"/>
  <c r="BJ241" i="191"/>
  <c r="BK241" i="191"/>
  <c r="BD242" i="191"/>
  <c r="BE242" i="191"/>
  <c r="BF242" i="191"/>
  <c r="BG242" i="191"/>
  <c r="BH242" i="191"/>
  <c r="BI242" i="191"/>
  <c r="BJ242" i="191"/>
  <c r="BK242" i="191"/>
  <c r="BD243" i="191"/>
  <c r="BE243" i="191"/>
  <c r="BF243" i="191"/>
  <c r="BG243" i="191"/>
  <c r="BH243" i="191"/>
  <c r="BI243" i="191"/>
  <c r="BJ243" i="191"/>
  <c r="BK243" i="191"/>
  <c r="BD244" i="191"/>
  <c r="BE244" i="191"/>
  <c r="BF244" i="191"/>
  <c r="BG244" i="191"/>
  <c r="BH244" i="191"/>
  <c r="BI244" i="191"/>
  <c r="BJ244" i="191"/>
  <c r="BK244" i="191"/>
  <c r="BD245" i="191"/>
  <c r="BE245" i="191"/>
  <c r="BF245" i="191"/>
  <c r="BG245" i="191"/>
  <c r="BH245" i="191"/>
  <c r="BI245" i="191"/>
  <c r="BJ245" i="191"/>
  <c r="BK245" i="191"/>
  <c r="BD246" i="191"/>
  <c r="BE246" i="191"/>
  <c r="BF246" i="191"/>
  <c r="BG246" i="191"/>
  <c r="BH246" i="191"/>
  <c r="BI246" i="191"/>
  <c r="BJ246" i="191"/>
  <c r="BK246" i="191"/>
  <c r="BD247" i="191"/>
  <c r="BE247" i="191"/>
  <c r="BF247" i="191"/>
  <c r="BG247" i="191"/>
  <c r="BH247" i="191"/>
  <c r="BI247" i="191"/>
  <c r="BJ247" i="191"/>
  <c r="BK247" i="191"/>
  <c r="BD248" i="191"/>
  <c r="BE248" i="191"/>
  <c r="BF248" i="191"/>
  <c r="BG248" i="191"/>
  <c r="BH248" i="191"/>
  <c r="BI248" i="191"/>
  <c r="BJ248" i="191"/>
  <c r="BK248" i="191"/>
  <c r="BD249" i="191"/>
  <c r="BE249" i="191"/>
  <c r="BF249" i="191"/>
  <c r="BG249" i="191"/>
  <c r="BH249" i="191"/>
  <c r="BI249" i="191"/>
  <c r="BJ249" i="191"/>
  <c r="BK249" i="191"/>
  <c r="BD250" i="191"/>
  <c r="BE250" i="191"/>
  <c r="BF250" i="191"/>
  <c r="BG250" i="191"/>
  <c r="BH250" i="191"/>
  <c r="BI250" i="191"/>
  <c r="BJ250" i="191"/>
  <c r="BK250" i="191"/>
  <c r="BD251" i="191"/>
  <c r="BE251" i="191"/>
  <c r="BF251" i="191"/>
  <c r="BG251" i="191"/>
  <c r="BH251" i="191"/>
  <c r="BI251" i="191"/>
  <c r="BJ251" i="191"/>
  <c r="BK251" i="191"/>
  <c r="BD252" i="191"/>
  <c r="BE252" i="191"/>
  <c r="BF252" i="191"/>
  <c r="BG252" i="191"/>
  <c r="BH252" i="191"/>
  <c r="BI252" i="191"/>
  <c r="BJ252" i="191"/>
  <c r="BK252" i="191"/>
  <c r="BD253" i="191"/>
  <c r="BE253" i="191"/>
  <c r="BF253" i="191"/>
  <c r="BG253" i="191"/>
  <c r="BH253" i="191"/>
  <c r="BI253" i="191"/>
  <c r="BJ253" i="191"/>
  <c r="BK253" i="191"/>
  <c r="BD254" i="191"/>
  <c r="BE254" i="191"/>
  <c r="BF254" i="191"/>
  <c r="BG254" i="191"/>
  <c r="BH254" i="191"/>
  <c r="BI254" i="191"/>
  <c r="BJ254" i="191"/>
  <c r="BK254" i="191"/>
  <c r="BD255" i="191"/>
  <c r="BE255" i="191"/>
  <c r="BF255" i="191"/>
  <c r="BG255" i="191"/>
  <c r="BH255" i="191"/>
  <c r="BI255" i="191"/>
  <c r="BJ255" i="191"/>
  <c r="BK255" i="191"/>
  <c r="BD256" i="191"/>
  <c r="BE256" i="191"/>
  <c r="BF256" i="191"/>
  <c r="BG256" i="191"/>
  <c r="BH256" i="191"/>
  <c r="BI256" i="191"/>
  <c r="BJ256" i="191"/>
  <c r="BK256" i="191"/>
  <c r="BD257" i="191"/>
  <c r="BE257" i="191"/>
  <c r="BF257" i="191"/>
  <c r="BG257" i="191"/>
  <c r="BH257" i="191"/>
  <c r="BI257" i="191"/>
  <c r="BJ257" i="191"/>
  <c r="BK257" i="191"/>
  <c r="BD258" i="191"/>
  <c r="BE258" i="191"/>
  <c r="BF258" i="191"/>
  <c r="BG258" i="191"/>
  <c r="BH258" i="191"/>
  <c r="BI258" i="191"/>
  <c r="BJ258" i="191"/>
  <c r="BK258" i="191"/>
  <c r="BD259" i="191"/>
  <c r="BE259" i="191"/>
  <c r="BF259" i="191"/>
  <c r="BG259" i="191"/>
  <c r="BH259" i="191"/>
  <c r="BI259" i="191"/>
  <c r="BJ259" i="191"/>
  <c r="BK259" i="191"/>
  <c r="BD260" i="191"/>
  <c r="BE260" i="191"/>
  <c r="BF260" i="191"/>
  <c r="BG260" i="191"/>
  <c r="BH260" i="191"/>
  <c r="BI260" i="191"/>
  <c r="BJ260" i="191"/>
  <c r="BK260" i="191"/>
  <c r="BD261" i="191"/>
  <c r="BE261" i="191"/>
  <c r="BF261" i="191"/>
  <c r="BG261" i="191"/>
  <c r="BH261" i="191"/>
  <c r="BI261" i="191"/>
  <c r="BJ261" i="191"/>
  <c r="BK261" i="191"/>
  <c r="BD262" i="191"/>
  <c r="BE262" i="191"/>
  <c r="BF262" i="191"/>
  <c r="BG262" i="191"/>
  <c r="BH262" i="191"/>
  <c r="BI262" i="191"/>
  <c r="BJ262" i="191"/>
  <c r="BK262" i="191"/>
  <c r="BD263" i="191"/>
  <c r="BE263" i="191"/>
  <c r="BF263" i="191"/>
  <c r="BG263" i="191"/>
  <c r="BH263" i="191"/>
  <c r="BI263" i="191"/>
  <c r="BJ263" i="191"/>
  <c r="BK263" i="191"/>
  <c r="BD264" i="191"/>
  <c r="BE264" i="191"/>
  <c r="BF264" i="191"/>
  <c r="BG264" i="191"/>
  <c r="BH264" i="191"/>
  <c r="BI264" i="191"/>
  <c r="BJ264" i="191"/>
  <c r="BK264" i="191"/>
  <c r="BD265" i="191"/>
  <c r="BE265" i="191"/>
  <c r="BF265" i="191"/>
  <c r="BG265" i="191"/>
  <c r="BH265" i="191"/>
  <c r="BI265" i="191"/>
  <c r="BJ265" i="191"/>
  <c r="BK265" i="191"/>
  <c r="BD266" i="191"/>
  <c r="BE266" i="191"/>
  <c r="BF266" i="191"/>
  <c r="BG266" i="191"/>
  <c r="BH266" i="191"/>
  <c r="BI266" i="191"/>
  <c r="BJ266" i="191"/>
  <c r="BK266" i="191"/>
  <c r="BD267" i="191"/>
  <c r="BE267" i="191"/>
  <c r="BF267" i="191"/>
  <c r="BG267" i="191"/>
  <c r="BH267" i="191"/>
  <c r="BI267" i="191"/>
  <c r="BJ267" i="191"/>
  <c r="BK267" i="191"/>
  <c r="BD268" i="191"/>
  <c r="BE268" i="191"/>
  <c r="BF268" i="191"/>
  <c r="BG268" i="191"/>
  <c r="BH268" i="191"/>
  <c r="BI268" i="191"/>
  <c r="BJ268" i="191"/>
  <c r="BK268" i="191"/>
  <c r="BD269" i="191"/>
  <c r="BE269" i="191"/>
  <c r="BF269" i="191"/>
  <c r="BG269" i="191"/>
  <c r="BH269" i="191"/>
  <c r="BI269" i="191"/>
  <c r="BJ269" i="191"/>
  <c r="BK269" i="191"/>
  <c r="BD270" i="191"/>
  <c r="BE270" i="191"/>
  <c r="BF270" i="191"/>
  <c r="BG270" i="191"/>
  <c r="BH270" i="191"/>
  <c r="BI270" i="191"/>
  <c r="BJ270" i="191"/>
  <c r="BK270" i="191"/>
  <c r="BD271" i="191"/>
  <c r="BE271" i="191"/>
  <c r="BF271" i="191"/>
  <c r="BG271" i="191"/>
  <c r="BH271" i="191"/>
  <c r="BI271" i="191"/>
  <c r="BJ271" i="191"/>
  <c r="BK271" i="191"/>
  <c r="BD272" i="191"/>
  <c r="BE272" i="191"/>
  <c r="BF272" i="191"/>
  <c r="BG272" i="191"/>
  <c r="BH272" i="191"/>
  <c r="BI272" i="191"/>
  <c r="BJ272" i="191"/>
  <c r="BK272" i="191"/>
  <c r="BD273" i="191"/>
  <c r="BE273" i="191"/>
  <c r="BF273" i="191"/>
  <c r="BG273" i="191"/>
  <c r="BH273" i="191"/>
  <c r="BI273" i="191"/>
  <c r="BJ273" i="191"/>
  <c r="BK273" i="191"/>
  <c r="BD274" i="191"/>
  <c r="BE274" i="191"/>
  <c r="BF274" i="191"/>
  <c r="BG274" i="191"/>
  <c r="BH274" i="191"/>
  <c r="BI274" i="191"/>
  <c r="BJ274" i="191"/>
  <c r="BK274" i="191"/>
  <c r="BD275" i="191"/>
  <c r="BE275" i="191"/>
  <c r="BF275" i="191"/>
  <c r="BG275" i="191"/>
  <c r="BH275" i="191"/>
  <c r="BI275" i="191"/>
  <c r="BJ275" i="191"/>
  <c r="BK275" i="191"/>
  <c r="BD276" i="191"/>
  <c r="BE276" i="191"/>
  <c r="BF276" i="191"/>
  <c r="BG276" i="191"/>
  <c r="BH276" i="191"/>
  <c r="BI276" i="191"/>
  <c r="BJ276" i="191"/>
  <c r="BK276" i="191"/>
  <c r="BD277" i="191"/>
  <c r="BE277" i="191"/>
  <c r="BF277" i="191"/>
  <c r="BG277" i="191"/>
  <c r="BH277" i="191"/>
  <c r="BI277" i="191"/>
  <c r="BJ277" i="191"/>
  <c r="BK277" i="191"/>
  <c r="BD278" i="191"/>
  <c r="BE278" i="191"/>
  <c r="BF278" i="191"/>
  <c r="BG278" i="191"/>
  <c r="BH278" i="191"/>
  <c r="BI278" i="191"/>
  <c r="BJ278" i="191"/>
  <c r="BK278" i="191"/>
  <c r="BD279" i="191"/>
  <c r="BE279" i="191"/>
  <c r="BF279" i="191"/>
  <c r="BG279" i="191"/>
  <c r="BH279" i="191"/>
  <c r="BI279" i="191"/>
  <c r="BJ279" i="191"/>
  <c r="BK279" i="191"/>
  <c r="BD280" i="191"/>
  <c r="BE280" i="191"/>
  <c r="BF280" i="191"/>
  <c r="BG280" i="191"/>
  <c r="BH280" i="191"/>
  <c r="BI280" i="191"/>
  <c r="BJ280" i="191"/>
  <c r="BK280" i="191"/>
  <c r="BD281" i="191"/>
  <c r="BE281" i="191"/>
  <c r="BF281" i="191"/>
  <c r="BG281" i="191"/>
  <c r="BH281" i="191"/>
  <c r="BI281" i="191"/>
  <c r="BJ281" i="191"/>
  <c r="BK281" i="191"/>
  <c r="BD282" i="191"/>
  <c r="BE282" i="191"/>
  <c r="BF282" i="191"/>
  <c r="BG282" i="191"/>
  <c r="BH282" i="191"/>
  <c r="BI282" i="191"/>
  <c r="BJ282" i="191"/>
  <c r="BK282" i="191"/>
  <c r="BD283" i="191"/>
  <c r="BE283" i="191"/>
  <c r="BF283" i="191"/>
  <c r="BG283" i="191"/>
  <c r="BH283" i="191"/>
  <c r="BI283" i="191"/>
  <c r="BJ283" i="191"/>
  <c r="BK283" i="191"/>
  <c r="BD284" i="191"/>
  <c r="BE284" i="191"/>
  <c r="BF284" i="191"/>
  <c r="BG284" i="191"/>
  <c r="BH284" i="191"/>
  <c r="BI284" i="191"/>
  <c r="BJ284" i="191"/>
  <c r="BK284" i="191"/>
  <c r="BD285" i="191"/>
  <c r="BE285" i="191"/>
  <c r="BF285" i="191"/>
  <c r="BG285" i="191"/>
  <c r="BH285" i="191"/>
  <c r="BI285" i="191"/>
  <c r="BJ285" i="191"/>
  <c r="BK285" i="191"/>
  <c r="BD286" i="191"/>
  <c r="BE286" i="191"/>
  <c r="BF286" i="191"/>
  <c r="BG286" i="191"/>
  <c r="BH286" i="191"/>
  <c r="BI286" i="191"/>
  <c r="BJ286" i="191"/>
  <c r="BK286" i="191"/>
  <c r="BD287" i="191"/>
  <c r="BE287" i="191"/>
  <c r="BF287" i="191"/>
  <c r="BG287" i="191"/>
  <c r="BH287" i="191"/>
  <c r="BI287" i="191"/>
  <c r="BJ287" i="191"/>
  <c r="BK287" i="191"/>
  <c r="BD288" i="191"/>
  <c r="BE288" i="191"/>
  <c r="BF288" i="191"/>
  <c r="BG288" i="191"/>
  <c r="BH288" i="191"/>
  <c r="BI288" i="191"/>
  <c r="BJ288" i="191"/>
  <c r="BK288" i="191"/>
  <c r="BD289" i="191"/>
  <c r="BE289" i="191"/>
  <c r="BF289" i="191"/>
  <c r="BG289" i="191"/>
  <c r="BH289" i="191"/>
  <c r="BI289" i="191"/>
  <c r="BJ289" i="191"/>
  <c r="BK289" i="191"/>
  <c r="BD290" i="191"/>
  <c r="BE290" i="191"/>
  <c r="BF290" i="191"/>
  <c r="BG290" i="191"/>
  <c r="BH290" i="191"/>
  <c r="BI290" i="191"/>
  <c r="BJ290" i="191"/>
  <c r="BK290" i="191"/>
  <c r="BD291" i="191"/>
  <c r="BE291" i="191"/>
  <c r="BF291" i="191"/>
  <c r="BG291" i="191"/>
  <c r="BH291" i="191"/>
  <c r="BI291" i="191"/>
  <c r="BJ291" i="191"/>
  <c r="BK291" i="191"/>
  <c r="BD292" i="191"/>
  <c r="BE292" i="191"/>
  <c r="BF292" i="191"/>
  <c r="BG292" i="191"/>
  <c r="BH292" i="191"/>
  <c r="BI292" i="191"/>
  <c r="BJ292" i="191"/>
  <c r="BK292" i="191"/>
  <c r="BD293" i="191"/>
  <c r="BE293" i="191"/>
  <c r="BF293" i="191"/>
  <c r="BG293" i="191"/>
  <c r="BH293" i="191"/>
  <c r="BI293" i="191"/>
  <c r="BJ293" i="191"/>
  <c r="BK293" i="191"/>
  <c r="BD294" i="191"/>
  <c r="BE294" i="191"/>
  <c r="BF294" i="191"/>
  <c r="BG294" i="191"/>
  <c r="BH294" i="191"/>
  <c r="BI294" i="191"/>
  <c r="BJ294" i="191"/>
  <c r="BK294" i="191"/>
  <c r="BD295" i="191"/>
  <c r="BE295" i="191"/>
  <c r="BF295" i="191"/>
  <c r="BG295" i="191"/>
  <c r="BH295" i="191"/>
  <c r="BI295" i="191"/>
  <c r="BJ295" i="191"/>
  <c r="BK295" i="191"/>
  <c r="BD296" i="191"/>
  <c r="BE296" i="191"/>
  <c r="BF296" i="191"/>
  <c r="BG296" i="191"/>
  <c r="BH296" i="191"/>
  <c r="BI296" i="191"/>
  <c r="BJ296" i="191"/>
  <c r="BK296" i="191"/>
  <c r="BD297" i="191"/>
  <c r="BE297" i="191"/>
  <c r="BF297" i="191"/>
  <c r="BG297" i="191"/>
  <c r="BH297" i="191"/>
  <c r="BI297" i="191"/>
  <c r="BJ297" i="191"/>
  <c r="BK297" i="191"/>
  <c r="BD298" i="191"/>
  <c r="BE298" i="191"/>
  <c r="BF298" i="191"/>
  <c r="BG298" i="191"/>
  <c r="BH298" i="191"/>
  <c r="BI298" i="191"/>
  <c r="BJ298" i="191"/>
  <c r="BK298" i="191"/>
  <c r="BD299" i="191"/>
  <c r="BE299" i="191"/>
  <c r="BF299" i="191"/>
  <c r="BG299" i="191"/>
  <c r="BH299" i="191"/>
  <c r="BI299" i="191"/>
  <c r="BJ299" i="191"/>
  <c r="BK299" i="191"/>
  <c r="BD300" i="191"/>
  <c r="BE300" i="191"/>
  <c r="BF300" i="191"/>
  <c r="BG300" i="191"/>
  <c r="BH300" i="191"/>
  <c r="BI300" i="191"/>
  <c r="BJ300" i="191"/>
  <c r="BK300" i="191"/>
  <c r="BD301" i="191"/>
  <c r="BE301" i="191"/>
  <c r="BF301" i="191"/>
  <c r="BG301" i="191"/>
  <c r="BH301" i="191"/>
  <c r="BI301" i="191"/>
  <c r="BJ301" i="191"/>
  <c r="BK301" i="191"/>
  <c r="BD302" i="191"/>
  <c r="BE302" i="191"/>
  <c r="BF302" i="191"/>
  <c r="BG302" i="191"/>
  <c r="BH302" i="191"/>
  <c r="BI302" i="191"/>
  <c r="BJ302" i="191"/>
  <c r="BK302" i="191"/>
  <c r="BD303" i="191"/>
  <c r="BE303" i="191"/>
  <c r="BF303" i="191"/>
  <c r="BG303" i="191"/>
  <c r="BH303" i="191"/>
  <c r="BI303" i="191"/>
  <c r="BJ303" i="191"/>
  <c r="BK303" i="191"/>
  <c r="BD304" i="191"/>
  <c r="BE304" i="191"/>
  <c r="BF304" i="191"/>
  <c r="BG304" i="191"/>
  <c r="BH304" i="191"/>
  <c r="BI304" i="191"/>
  <c r="BJ304" i="191"/>
  <c r="BK304" i="191"/>
  <c r="BD305" i="191"/>
  <c r="BE305" i="191"/>
  <c r="BF305" i="191"/>
  <c r="BG305" i="191"/>
  <c r="BH305" i="191"/>
  <c r="BI305" i="191"/>
  <c r="BJ305" i="191"/>
  <c r="BK305" i="191"/>
  <c r="BD306" i="191"/>
  <c r="BE306" i="191"/>
  <c r="BF306" i="191"/>
  <c r="BG306" i="191"/>
  <c r="BH306" i="191"/>
  <c r="BI306" i="191"/>
  <c r="BJ306" i="191"/>
  <c r="BK306" i="191"/>
  <c r="BD307" i="191"/>
  <c r="BE307" i="191"/>
  <c r="BF307" i="191"/>
  <c r="BG307" i="191"/>
  <c r="BH307" i="191"/>
  <c r="BI307" i="191"/>
  <c r="BJ307" i="191"/>
  <c r="BK307" i="191"/>
  <c r="BD308" i="191"/>
  <c r="BE308" i="191"/>
  <c r="BF308" i="191"/>
  <c r="BG308" i="191"/>
  <c r="BH308" i="191"/>
  <c r="BI308" i="191"/>
  <c r="BJ308" i="191"/>
  <c r="BK308" i="191"/>
  <c r="BD309" i="191"/>
  <c r="BE309" i="191"/>
  <c r="BF309" i="191"/>
  <c r="BG309" i="191"/>
  <c r="BH309" i="191"/>
  <c r="BI309" i="191"/>
  <c r="BJ309" i="191"/>
  <c r="BK309" i="191"/>
  <c r="BD310" i="191"/>
  <c r="BE310" i="191"/>
  <c r="BF310" i="191"/>
  <c r="BG310" i="191"/>
  <c r="BH310" i="191"/>
  <c r="BI310" i="191"/>
  <c r="BJ310" i="191"/>
  <c r="BK310" i="191"/>
  <c r="BD311" i="191"/>
  <c r="BE311" i="191"/>
  <c r="BF311" i="191"/>
  <c r="BG311" i="191"/>
  <c r="BH311" i="191"/>
  <c r="BI311" i="191"/>
  <c r="BJ311" i="191"/>
  <c r="BK311" i="191"/>
  <c r="BD312" i="191"/>
  <c r="BE312" i="191"/>
  <c r="BF312" i="191"/>
  <c r="BG312" i="191"/>
  <c r="BH312" i="191"/>
  <c r="BI312" i="191"/>
  <c r="BJ312" i="191"/>
  <c r="BK312" i="191"/>
  <c r="BD313" i="191"/>
  <c r="BE313" i="191"/>
  <c r="BF313" i="191"/>
  <c r="BG313" i="191"/>
  <c r="BH313" i="191"/>
  <c r="BI313" i="191"/>
  <c r="BJ313" i="191"/>
  <c r="BK313" i="191"/>
  <c r="BD314" i="191"/>
  <c r="BE314" i="191"/>
  <c r="BF314" i="191"/>
  <c r="BG314" i="191"/>
  <c r="BH314" i="191"/>
  <c r="BI314" i="191"/>
  <c r="BJ314" i="191"/>
  <c r="BK314" i="191"/>
  <c r="BD315" i="191"/>
  <c r="BE315" i="191"/>
  <c r="BF315" i="191"/>
  <c r="BG315" i="191"/>
  <c r="BH315" i="191"/>
  <c r="BI315" i="191"/>
  <c r="BJ315" i="191"/>
  <c r="BK315" i="191"/>
  <c r="BD316" i="191"/>
  <c r="BE316" i="191"/>
  <c r="BF316" i="191"/>
  <c r="BG316" i="191"/>
  <c r="BH316" i="191"/>
  <c r="BI316" i="191"/>
  <c r="BJ316" i="191"/>
  <c r="BK316" i="191"/>
  <c r="BD317" i="191"/>
  <c r="BE317" i="191"/>
  <c r="BF317" i="191"/>
  <c r="BG317" i="191"/>
  <c r="BH317" i="191"/>
  <c r="BI317" i="191"/>
  <c r="BJ317" i="191"/>
  <c r="BK317" i="191"/>
  <c r="BD318" i="191"/>
  <c r="BE318" i="191"/>
  <c r="BF318" i="191"/>
  <c r="BG318" i="191"/>
  <c r="BH318" i="191"/>
  <c r="BI318" i="191"/>
  <c r="BJ318" i="191"/>
  <c r="BK318" i="191"/>
  <c r="BD319" i="191"/>
  <c r="BE319" i="191"/>
  <c r="BF319" i="191"/>
  <c r="BG319" i="191"/>
  <c r="BH319" i="191"/>
  <c r="BI319" i="191"/>
  <c r="BJ319" i="191"/>
  <c r="BK319" i="191"/>
  <c r="BD320" i="191"/>
  <c r="BE320" i="191"/>
  <c r="BF320" i="191"/>
  <c r="BG320" i="191"/>
  <c r="BH320" i="191"/>
  <c r="BI320" i="191"/>
  <c r="BJ320" i="191"/>
  <c r="BK320" i="191"/>
  <c r="BD321" i="191"/>
  <c r="BE321" i="191"/>
  <c r="BF321" i="191"/>
  <c r="BG321" i="191"/>
  <c r="BH321" i="191"/>
  <c r="BI321" i="191"/>
  <c r="BJ321" i="191"/>
  <c r="BK321" i="191"/>
  <c r="BD322" i="191"/>
  <c r="BE322" i="191"/>
  <c r="BF322" i="191"/>
  <c r="BG322" i="191"/>
  <c r="BH322" i="191"/>
  <c r="BI322" i="191"/>
  <c r="BJ322" i="191"/>
  <c r="BK322" i="191"/>
  <c r="BD323" i="191"/>
  <c r="BE323" i="191"/>
  <c r="BF323" i="191"/>
  <c r="BG323" i="191"/>
  <c r="BH323" i="191"/>
  <c r="BI323" i="191"/>
  <c r="BJ323" i="191"/>
  <c r="BK323" i="191"/>
  <c r="BD324" i="191"/>
  <c r="BE324" i="191"/>
  <c r="BF324" i="191"/>
  <c r="BG324" i="191"/>
  <c r="BH324" i="191"/>
  <c r="BI324" i="191"/>
  <c r="BJ324" i="191"/>
  <c r="BK324" i="191"/>
  <c r="BD325" i="191"/>
  <c r="BE325" i="191"/>
  <c r="BF325" i="191"/>
  <c r="BG325" i="191"/>
  <c r="BH325" i="191"/>
  <c r="BI325" i="191"/>
  <c r="BJ325" i="191"/>
  <c r="BK325" i="191"/>
  <c r="BD326" i="191"/>
  <c r="BE326" i="191"/>
  <c r="BF326" i="191"/>
  <c r="BG326" i="191"/>
  <c r="BH326" i="191"/>
  <c r="BI326" i="191"/>
  <c r="BJ326" i="191"/>
  <c r="BK326" i="191"/>
  <c r="BD327" i="191"/>
  <c r="BE327" i="191"/>
  <c r="BF327" i="191"/>
  <c r="BG327" i="191"/>
  <c r="BH327" i="191"/>
  <c r="BI327" i="191"/>
  <c r="BJ327" i="191"/>
  <c r="BK327" i="191"/>
  <c r="BD328" i="191"/>
  <c r="BE328" i="191"/>
  <c r="BF328" i="191"/>
  <c r="BG328" i="191"/>
  <c r="BH328" i="191"/>
  <c r="BI328" i="191"/>
  <c r="BJ328" i="191"/>
  <c r="BK328" i="191"/>
  <c r="BD329" i="191"/>
  <c r="BE329" i="191"/>
  <c r="BF329" i="191"/>
  <c r="BG329" i="191"/>
  <c r="BH329" i="191"/>
  <c r="BI329" i="191"/>
  <c r="BJ329" i="191"/>
  <c r="BK329" i="191"/>
  <c r="BD330" i="191"/>
  <c r="BE330" i="191"/>
  <c r="BF330" i="191"/>
  <c r="BG330" i="191"/>
  <c r="BH330" i="191"/>
  <c r="BI330" i="191"/>
  <c r="BJ330" i="191"/>
  <c r="BK330" i="191"/>
  <c r="BD331" i="191"/>
  <c r="BE331" i="191"/>
  <c r="BF331" i="191"/>
  <c r="BG331" i="191"/>
  <c r="BH331" i="191"/>
  <c r="BI331" i="191"/>
  <c r="BJ331" i="191"/>
  <c r="BK331" i="191"/>
  <c r="BD332" i="191"/>
  <c r="BE332" i="191"/>
  <c r="BF332" i="191"/>
  <c r="BG332" i="191"/>
  <c r="BH332" i="191"/>
  <c r="BI332" i="191"/>
  <c r="BJ332" i="191"/>
  <c r="BK332" i="191"/>
  <c r="BD333" i="191"/>
  <c r="BE333" i="191"/>
  <c r="BF333" i="191"/>
  <c r="BG333" i="191"/>
  <c r="BH333" i="191"/>
  <c r="BI333" i="191"/>
  <c r="BJ333" i="191"/>
  <c r="BK333" i="191"/>
  <c r="BD334" i="191"/>
  <c r="BE334" i="191"/>
  <c r="BF334" i="191"/>
  <c r="BG334" i="191"/>
  <c r="BH334" i="191"/>
  <c r="BI334" i="191"/>
  <c r="BJ334" i="191"/>
  <c r="BK334" i="191"/>
  <c r="BD335" i="191"/>
  <c r="BE335" i="191"/>
  <c r="BF335" i="191"/>
  <c r="BG335" i="191"/>
  <c r="BH335" i="191"/>
  <c r="BI335" i="191"/>
  <c r="BJ335" i="191"/>
  <c r="BK335" i="191"/>
  <c r="BD336" i="191"/>
  <c r="BE336" i="191"/>
  <c r="BF336" i="191"/>
  <c r="BG336" i="191"/>
  <c r="BH336" i="191"/>
  <c r="BI336" i="191"/>
  <c r="BJ336" i="191"/>
  <c r="BK336" i="191"/>
  <c r="BD337" i="191"/>
  <c r="BE337" i="191"/>
  <c r="BF337" i="191"/>
  <c r="BG337" i="191"/>
  <c r="BH337" i="191"/>
  <c r="BI337" i="191"/>
  <c r="BJ337" i="191"/>
  <c r="BK337" i="191"/>
  <c r="BD338" i="191"/>
  <c r="BE338" i="191"/>
  <c r="BF338" i="191"/>
  <c r="BG338" i="191"/>
  <c r="BH338" i="191"/>
  <c r="BI338" i="191"/>
  <c r="BJ338" i="191"/>
  <c r="BK338" i="191"/>
  <c r="BD339" i="191"/>
  <c r="BE339" i="191"/>
  <c r="BF339" i="191"/>
  <c r="BG339" i="191"/>
  <c r="BH339" i="191"/>
  <c r="BI339" i="191"/>
  <c r="BJ339" i="191"/>
  <c r="BK339" i="191"/>
  <c r="BD340" i="191"/>
  <c r="BE340" i="191"/>
  <c r="BF340" i="191"/>
  <c r="BG340" i="191"/>
  <c r="BH340" i="191"/>
  <c r="BI340" i="191"/>
  <c r="BJ340" i="191"/>
  <c r="BK340" i="191"/>
  <c r="BD341" i="191"/>
  <c r="BE341" i="191"/>
  <c r="BF341" i="191"/>
  <c r="BG341" i="191"/>
  <c r="BH341" i="191"/>
  <c r="BI341" i="191"/>
  <c r="BJ341" i="191"/>
  <c r="BK341" i="191"/>
  <c r="BD342" i="191"/>
  <c r="BE342" i="191"/>
  <c r="BF342" i="191"/>
  <c r="BG342" i="191"/>
  <c r="BH342" i="191"/>
  <c r="BI342" i="191"/>
  <c r="BJ342" i="191"/>
  <c r="BK342" i="191"/>
  <c r="BD343" i="191"/>
  <c r="BE343" i="191"/>
  <c r="BF343" i="191"/>
  <c r="BG343" i="191"/>
  <c r="BH343" i="191"/>
  <c r="BI343" i="191"/>
  <c r="BJ343" i="191"/>
  <c r="BK343" i="191"/>
  <c r="BD344" i="191"/>
  <c r="BE344" i="191"/>
  <c r="BF344" i="191"/>
  <c r="BG344" i="191"/>
  <c r="BH344" i="191"/>
  <c r="BI344" i="191"/>
  <c r="BJ344" i="191"/>
  <c r="BK344" i="191"/>
  <c r="BD345" i="191"/>
  <c r="BE345" i="191"/>
  <c r="BF345" i="191"/>
  <c r="BG345" i="191"/>
  <c r="BH345" i="191"/>
  <c r="BI345" i="191"/>
  <c r="BJ345" i="191"/>
  <c r="BK345" i="191"/>
  <c r="BD346" i="191"/>
  <c r="BE346" i="191"/>
  <c r="BF346" i="191"/>
  <c r="BG346" i="191"/>
  <c r="BH346" i="191"/>
  <c r="BI346" i="191"/>
  <c r="BJ346" i="191"/>
  <c r="BK346" i="191"/>
  <c r="BD347" i="191"/>
  <c r="BE347" i="191"/>
  <c r="BF347" i="191"/>
  <c r="BG347" i="191"/>
  <c r="BH347" i="191"/>
  <c r="BI347" i="191"/>
  <c r="BJ347" i="191"/>
  <c r="BK347" i="191"/>
  <c r="BD348" i="191"/>
  <c r="BE348" i="191"/>
  <c r="BF348" i="191"/>
  <c r="BG348" i="191"/>
  <c r="BH348" i="191"/>
  <c r="BI348" i="191"/>
  <c r="BJ348" i="191"/>
  <c r="BK348" i="191"/>
  <c r="BD349" i="191"/>
  <c r="BE349" i="191"/>
  <c r="BF349" i="191"/>
  <c r="BG349" i="191"/>
  <c r="BH349" i="191"/>
  <c r="BI349" i="191"/>
  <c r="BJ349" i="191"/>
  <c r="BK349" i="191"/>
  <c r="BD350" i="191"/>
  <c r="BE350" i="191"/>
  <c r="BF350" i="191"/>
  <c r="BG350" i="191"/>
  <c r="BH350" i="191"/>
  <c r="BI350" i="191"/>
  <c r="BJ350" i="191"/>
  <c r="BK350" i="191"/>
  <c r="BD351" i="191"/>
  <c r="BE351" i="191"/>
  <c r="BF351" i="191"/>
  <c r="BG351" i="191"/>
  <c r="BH351" i="191"/>
  <c r="BI351" i="191"/>
  <c r="BJ351" i="191"/>
  <c r="BK351" i="191"/>
  <c r="BD352" i="191"/>
  <c r="BE352" i="191"/>
  <c r="BF352" i="191"/>
  <c r="BG352" i="191"/>
  <c r="BH352" i="191"/>
  <c r="BI352" i="191"/>
  <c r="BJ352" i="191"/>
  <c r="BK352" i="191"/>
  <c r="BD353" i="191"/>
  <c r="BE353" i="191"/>
  <c r="BF353" i="191"/>
  <c r="BG353" i="191"/>
  <c r="BH353" i="191"/>
  <c r="BI353" i="191"/>
  <c r="BJ353" i="191"/>
  <c r="BK353" i="191"/>
  <c r="BD354" i="191"/>
  <c r="BE354" i="191"/>
  <c r="BF354" i="191"/>
  <c r="BG354" i="191"/>
  <c r="BH354" i="191"/>
  <c r="BI354" i="191"/>
  <c r="BJ354" i="191"/>
  <c r="BK354" i="191"/>
  <c r="BD355" i="191"/>
  <c r="BE355" i="191"/>
  <c r="BF355" i="191"/>
  <c r="BG355" i="191"/>
  <c r="BH355" i="191"/>
  <c r="BI355" i="191"/>
  <c r="BJ355" i="191"/>
  <c r="BK355" i="191"/>
  <c r="BD356" i="191"/>
  <c r="BE356" i="191"/>
  <c r="BF356" i="191"/>
  <c r="BG356" i="191"/>
  <c r="BH356" i="191"/>
  <c r="BI356" i="191"/>
  <c r="BJ356" i="191"/>
  <c r="BK356" i="191"/>
  <c r="BD357" i="191"/>
  <c r="BE357" i="191"/>
  <c r="BF357" i="191"/>
  <c r="BG357" i="191"/>
  <c r="BH357" i="191"/>
  <c r="BI357" i="191"/>
  <c r="BJ357" i="191"/>
  <c r="BK357" i="191"/>
  <c r="BD358" i="191"/>
  <c r="BE358" i="191"/>
  <c r="BF358" i="191"/>
  <c r="BG358" i="191"/>
  <c r="BH358" i="191"/>
  <c r="BI358" i="191"/>
  <c r="BJ358" i="191"/>
  <c r="BK358" i="191"/>
  <c r="BD359" i="191"/>
  <c r="BE359" i="191"/>
  <c r="BF359" i="191"/>
  <c r="BG359" i="191"/>
  <c r="BH359" i="191"/>
  <c r="BI359" i="191"/>
  <c r="BJ359" i="191"/>
  <c r="BK359" i="191"/>
  <c r="BD360" i="191"/>
  <c r="BE360" i="191"/>
  <c r="BF360" i="191"/>
  <c r="BG360" i="191"/>
  <c r="BH360" i="191"/>
  <c r="BI360" i="191"/>
  <c r="BJ360" i="191"/>
  <c r="BK360" i="191"/>
  <c r="BD361" i="191"/>
  <c r="BE361" i="191"/>
  <c r="BF361" i="191"/>
  <c r="BG361" i="191"/>
  <c r="BH361" i="191"/>
  <c r="BI361" i="191"/>
  <c r="BJ361" i="191"/>
  <c r="BK361" i="191"/>
  <c r="BD362" i="191"/>
  <c r="BE362" i="191"/>
  <c r="BF362" i="191"/>
  <c r="BG362" i="191"/>
  <c r="BH362" i="191"/>
  <c r="BI362" i="191"/>
  <c r="BJ362" i="191"/>
  <c r="BK362" i="191"/>
  <c r="BD363" i="191"/>
  <c r="BE363" i="191"/>
  <c r="BF363" i="191"/>
  <c r="BG363" i="191"/>
  <c r="BH363" i="191"/>
  <c r="BI363" i="191"/>
  <c r="BJ363" i="191"/>
  <c r="BK363" i="191"/>
  <c r="BD364" i="191"/>
  <c r="BE364" i="191"/>
  <c r="BF364" i="191"/>
  <c r="BG364" i="191"/>
  <c r="BH364" i="191"/>
  <c r="BI364" i="191"/>
  <c r="BJ364" i="191"/>
  <c r="BK364" i="191"/>
  <c r="BD365" i="191"/>
  <c r="BE365" i="191"/>
  <c r="BF365" i="191"/>
  <c r="BG365" i="191"/>
  <c r="BH365" i="191"/>
  <c r="BI365" i="191"/>
  <c r="BJ365" i="191"/>
  <c r="BK365" i="191"/>
  <c r="BD366" i="191"/>
  <c r="BE366" i="191"/>
  <c r="BF366" i="191"/>
  <c r="BG366" i="191"/>
  <c r="BH366" i="191"/>
  <c r="BI366" i="191"/>
  <c r="BJ366" i="191"/>
  <c r="BK366" i="191"/>
  <c r="BD367" i="191"/>
  <c r="BE367" i="191"/>
  <c r="BF367" i="191"/>
  <c r="BG367" i="191"/>
  <c r="BH367" i="191"/>
  <c r="BI367" i="191"/>
  <c r="BJ367" i="191"/>
  <c r="BK367" i="191"/>
  <c r="BD368" i="191"/>
  <c r="BE368" i="191"/>
  <c r="BF368" i="191"/>
  <c r="BG368" i="191"/>
  <c r="BH368" i="191"/>
  <c r="BI368" i="191"/>
  <c r="BJ368" i="191"/>
  <c r="BK368" i="191"/>
  <c r="BD369" i="191"/>
  <c r="BE369" i="191"/>
  <c r="BF369" i="191"/>
  <c r="BG369" i="191"/>
  <c r="BH369" i="191"/>
  <c r="BI369" i="191"/>
  <c r="BJ369" i="191"/>
  <c r="BK369" i="191"/>
  <c r="BD370" i="191"/>
  <c r="BE370" i="191"/>
  <c r="BF370" i="191"/>
  <c r="BG370" i="191"/>
  <c r="BH370" i="191"/>
  <c r="BI370" i="191"/>
  <c r="BJ370" i="191"/>
  <c r="BK370" i="191"/>
  <c r="BD371" i="191"/>
  <c r="BE371" i="191"/>
  <c r="BF371" i="191"/>
  <c r="BG371" i="191"/>
  <c r="BH371" i="191"/>
  <c r="BI371" i="191"/>
  <c r="BJ371" i="191"/>
  <c r="BK371" i="191"/>
  <c r="BD372" i="191"/>
  <c r="BE372" i="191"/>
  <c r="BF372" i="191"/>
  <c r="BG372" i="191"/>
  <c r="BH372" i="191"/>
  <c r="BI372" i="191"/>
  <c r="BJ372" i="191"/>
  <c r="BK372" i="191"/>
  <c r="BD373" i="191"/>
  <c r="BE373" i="191"/>
  <c r="BF373" i="191"/>
  <c r="BG373" i="191"/>
  <c r="BH373" i="191"/>
  <c r="BI373" i="191"/>
  <c r="BJ373" i="191"/>
  <c r="BK373" i="191"/>
  <c r="BD374" i="191"/>
  <c r="BE374" i="191"/>
  <c r="BF374" i="191"/>
  <c r="BG374" i="191"/>
  <c r="BH374" i="191"/>
  <c r="BI374" i="191"/>
  <c r="BJ374" i="191"/>
  <c r="BK374" i="191"/>
  <c r="BD375" i="191"/>
  <c r="BE375" i="191"/>
  <c r="BF375" i="191"/>
  <c r="BG375" i="191"/>
  <c r="BH375" i="191"/>
  <c r="BI375" i="191"/>
  <c r="BJ375" i="191"/>
  <c r="BK375" i="191"/>
  <c r="BD376" i="191"/>
  <c r="BE376" i="191"/>
  <c r="BF376" i="191"/>
  <c r="BG376" i="191"/>
  <c r="BH376" i="191"/>
  <c r="BI376" i="191"/>
  <c r="BJ376" i="191"/>
  <c r="BK376" i="191"/>
  <c r="BD377" i="191"/>
  <c r="BE377" i="191"/>
  <c r="BF377" i="191"/>
  <c r="BG377" i="191"/>
  <c r="BH377" i="191"/>
  <c r="BI377" i="191"/>
  <c r="BJ377" i="191"/>
  <c r="BK377" i="191"/>
  <c r="BD378" i="191"/>
  <c r="BE378" i="191"/>
  <c r="BF378" i="191"/>
  <c r="BG378" i="191"/>
  <c r="BH378" i="191"/>
  <c r="BI378" i="191"/>
  <c r="BJ378" i="191"/>
  <c r="BK378" i="191"/>
  <c r="BD379" i="191"/>
  <c r="BE379" i="191"/>
  <c r="BF379" i="191"/>
  <c r="BG379" i="191"/>
  <c r="BH379" i="191"/>
  <c r="BI379" i="191"/>
  <c r="BJ379" i="191"/>
  <c r="BK379" i="191"/>
  <c r="BD380" i="191"/>
  <c r="BE380" i="191"/>
  <c r="BF380" i="191"/>
  <c r="BG380" i="191"/>
  <c r="BH380" i="191"/>
  <c r="BI380" i="191"/>
  <c r="BJ380" i="191"/>
  <c r="BK380" i="191"/>
  <c r="BD381" i="191"/>
  <c r="BE381" i="191"/>
  <c r="BF381" i="191"/>
  <c r="BG381" i="191"/>
  <c r="BH381" i="191"/>
  <c r="BI381" i="191"/>
  <c r="BJ381" i="191"/>
  <c r="BK381" i="191"/>
  <c r="BD382" i="191"/>
  <c r="BE382" i="191"/>
  <c r="BF382" i="191"/>
  <c r="BG382" i="191"/>
  <c r="BH382" i="191"/>
  <c r="BI382" i="191"/>
  <c r="BJ382" i="191"/>
  <c r="BK382" i="191"/>
  <c r="BD383" i="191"/>
  <c r="BE383" i="191"/>
  <c r="BF383" i="191"/>
  <c r="BG383" i="191"/>
  <c r="BH383" i="191"/>
  <c r="BI383" i="191"/>
  <c r="BJ383" i="191"/>
  <c r="BK383" i="191"/>
  <c r="BD384" i="191"/>
  <c r="BE384" i="191"/>
  <c r="BF384" i="191"/>
  <c r="BG384" i="191"/>
  <c r="BH384" i="191"/>
  <c r="BI384" i="191"/>
  <c r="BJ384" i="191"/>
  <c r="BK384" i="191"/>
  <c r="BD385" i="191"/>
  <c r="BE385" i="191"/>
  <c r="BF385" i="191"/>
  <c r="BG385" i="191"/>
  <c r="BH385" i="191"/>
  <c r="BI385" i="191"/>
  <c r="BJ385" i="191"/>
  <c r="BK385" i="191"/>
  <c r="BD386" i="191"/>
  <c r="BE386" i="191"/>
  <c r="BF386" i="191"/>
  <c r="BG386" i="191"/>
  <c r="BH386" i="191"/>
  <c r="BI386" i="191"/>
  <c r="BJ386" i="191"/>
  <c r="BK386" i="191"/>
  <c r="BD387" i="191"/>
  <c r="BE387" i="191"/>
  <c r="BF387" i="191"/>
  <c r="BG387" i="191"/>
  <c r="BH387" i="191"/>
  <c r="BI387" i="191"/>
  <c r="BJ387" i="191"/>
  <c r="BK387" i="191"/>
  <c r="BD388" i="191"/>
  <c r="BE388" i="191"/>
  <c r="BF388" i="191"/>
  <c r="BG388" i="191"/>
  <c r="BH388" i="191"/>
  <c r="BI388" i="191"/>
  <c r="BJ388" i="191"/>
  <c r="BK388" i="191"/>
  <c r="BD389" i="191"/>
  <c r="BE389" i="191"/>
  <c r="BF389" i="191"/>
  <c r="BG389" i="191"/>
  <c r="BH389" i="191"/>
  <c r="BI389" i="191"/>
  <c r="BJ389" i="191"/>
  <c r="BK389" i="191"/>
  <c r="BD390" i="191"/>
  <c r="BE390" i="191"/>
  <c r="BF390" i="191"/>
  <c r="BG390" i="191"/>
  <c r="BH390" i="191"/>
  <c r="BI390" i="191"/>
  <c r="BJ390" i="191"/>
  <c r="BK390" i="191"/>
  <c r="BD391" i="191"/>
  <c r="BE391" i="191"/>
  <c r="BF391" i="191"/>
  <c r="BG391" i="191"/>
  <c r="BH391" i="191"/>
  <c r="BI391" i="191"/>
  <c r="BJ391" i="191"/>
  <c r="BK391" i="191"/>
  <c r="BD392" i="191"/>
  <c r="BE392" i="191"/>
  <c r="BF392" i="191"/>
  <c r="BG392" i="191"/>
  <c r="BH392" i="191"/>
  <c r="BI392" i="191"/>
  <c r="BJ392" i="191"/>
  <c r="BK392" i="191"/>
  <c r="BD393" i="191"/>
  <c r="BE393" i="191"/>
  <c r="BF393" i="191"/>
  <c r="BG393" i="191"/>
  <c r="BH393" i="191"/>
  <c r="BI393" i="191"/>
  <c r="BJ393" i="191"/>
  <c r="BK393" i="191"/>
  <c r="BD394" i="191"/>
  <c r="BE394" i="191"/>
  <c r="BF394" i="191"/>
  <c r="BG394" i="191"/>
  <c r="BH394" i="191"/>
  <c r="BI394" i="191"/>
  <c r="BJ394" i="191"/>
  <c r="BK394" i="191"/>
  <c r="BD395" i="191"/>
  <c r="BE395" i="191"/>
  <c r="BF395" i="191"/>
  <c r="BG395" i="191"/>
  <c r="BH395" i="191"/>
  <c r="BI395" i="191"/>
  <c r="BJ395" i="191"/>
  <c r="BK395" i="191"/>
  <c r="BD396" i="191"/>
  <c r="BE396" i="191"/>
  <c r="BF396" i="191"/>
  <c r="BG396" i="191"/>
  <c r="BH396" i="191"/>
  <c r="BI396" i="191"/>
  <c r="BJ396" i="191"/>
  <c r="BK396" i="191"/>
  <c r="BD397" i="191"/>
  <c r="BE397" i="191"/>
  <c r="BF397" i="191"/>
  <c r="BG397" i="191"/>
  <c r="BH397" i="191"/>
  <c r="BI397" i="191"/>
  <c r="BJ397" i="191"/>
  <c r="BK397" i="191"/>
  <c r="BD398" i="191"/>
  <c r="BE398" i="191"/>
  <c r="BF398" i="191"/>
  <c r="BG398" i="191"/>
  <c r="BH398" i="191"/>
  <c r="BI398" i="191"/>
  <c r="BJ398" i="191"/>
  <c r="BK398" i="191"/>
  <c r="BD399" i="191"/>
  <c r="BE399" i="191"/>
  <c r="BF399" i="191"/>
  <c r="BG399" i="191"/>
  <c r="BH399" i="191"/>
  <c r="BI399" i="191"/>
  <c r="BJ399" i="191"/>
  <c r="BK399" i="191"/>
  <c r="BD400" i="191"/>
  <c r="BE400" i="191"/>
  <c r="BF400" i="191"/>
  <c r="BG400" i="191"/>
  <c r="BH400" i="191"/>
  <c r="BI400" i="191"/>
  <c r="BJ400" i="191"/>
  <c r="BK400" i="191"/>
  <c r="BD401" i="191"/>
  <c r="BE401" i="191"/>
  <c r="BF401" i="191"/>
  <c r="BG401" i="191"/>
  <c r="BH401" i="191"/>
  <c r="BI401" i="191"/>
  <c r="BJ401" i="191"/>
  <c r="BK401" i="191"/>
  <c r="BD402" i="191"/>
  <c r="BE402" i="191"/>
  <c r="BF402" i="191"/>
  <c r="BG402" i="191"/>
  <c r="BH402" i="191"/>
  <c r="BI402" i="191"/>
  <c r="BJ402" i="191"/>
  <c r="BK402" i="191"/>
  <c r="BD403" i="191"/>
  <c r="BE403" i="191"/>
  <c r="BF403" i="191"/>
  <c r="BG403" i="191"/>
  <c r="BH403" i="191"/>
  <c r="BI403" i="191"/>
  <c r="BJ403" i="191"/>
  <c r="BK403" i="191"/>
  <c r="BD404" i="191"/>
  <c r="BE404" i="191"/>
  <c r="BF404" i="191"/>
  <c r="BG404" i="191"/>
  <c r="BH404" i="191"/>
  <c r="BI404" i="191"/>
  <c r="BJ404" i="191"/>
  <c r="BK404" i="191"/>
  <c r="BD405" i="191"/>
  <c r="BE405" i="191"/>
  <c r="BF405" i="191"/>
  <c r="BG405" i="191"/>
  <c r="BH405" i="191"/>
  <c r="BI405" i="191"/>
  <c r="BJ405" i="191"/>
  <c r="BK405" i="191"/>
  <c r="BD406" i="191"/>
  <c r="BE406" i="191"/>
  <c r="BF406" i="191"/>
  <c r="BG406" i="191"/>
  <c r="BH406" i="191"/>
  <c r="BI406" i="191"/>
  <c r="BJ406" i="191"/>
  <c r="BK406" i="191"/>
  <c r="BD407" i="191"/>
  <c r="BE407" i="191"/>
  <c r="BF407" i="191"/>
  <c r="BG407" i="191"/>
  <c r="BH407" i="191"/>
  <c r="BI407" i="191"/>
  <c r="BJ407" i="191"/>
  <c r="BK407" i="191"/>
  <c r="BD408" i="191"/>
  <c r="BE408" i="191"/>
  <c r="BF408" i="191"/>
  <c r="BG408" i="191"/>
  <c r="BH408" i="191"/>
  <c r="BI408" i="191"/>
  <c r="BJ408" i="191"/>
  <c r="BK408" i="191"/>
  <c r="BD409" i="191"/>
  <c r="BE409" i="191"/>
  <c r="BF409" i="191"/>
  <c r="BG409" i="191"/>
  <c r="BH409" i="191"/>
  <c r="BI409" i="191"/>
  <c r="BJ409" i="191"/>
  <c r="BK409" i="191"/>
  <c r="BD410" i="191"/>
  <c r="BE410" i="191"/>
  <c r="BF410" i="191"/>
  <c r="BG410" i="191"/>
  <c r="BH410" i="191"/>
  <c r="BI410" i="191"/>
  <c r="BJ410" i="191"/>
  <c r="BK410" i="191"/>
  <c r="BD411" i="191"/>
  <c r="BE411" i="191"/>
  <c r="BF411" i="191"/>
  <c r="BG411" i="191"/>
  <c r="BH411" i="191"/>
  <c r="BI411" i="191"/>
  <c r="BJ411" i="191"/>
  <c r="BK411" i="191"/>
  <c r="BD412" i="191"/>
  <c r="BE412" i="191"/>
  <c r="BF412" i="191"/>
  <c r="BG412" i="191"/>
  <c r="BH412" i="191"/>
  <c r="BI412" i="191"/>
  <c r="BJ412" i="191"/>
  <c r="BK412" i="191"/>
  <c r="BD413" i="191"/>
  <c r="BE413" i="191"/>
  <c r="BF413" i="191"/>
  <c r="BG413" i="191"/>
  <c r="BH413" i="191"/>
  <c r="BI413" i="191"/>
  <c r="BJ413" i="191"/>
  <c r="BK413" i="191"/>
  <c r="BD414" i="191"/>
  <c r="BE414" i="191"/>
  <c r="BF414" i="191"/>
  <c r="BG414" i="191"/>
  <c r="BH414" i="191"/>
  <c r="BI414" i="191"/>
  <c r="BJ414" i="191"/>
  <c r="BK414" i="191"/>
  <c r="BD415" i="191"/>
  <c r="BE415" i="191"/>
  <c r="BF415" i="191"/>
  <c r="BG415" i="191"/>
  <c r="BH415" i="191"/>
  <c r="BI415" i="191"/>
  <c r="BJ415" i="191"/>
  <c r="BK415" i="191"/>
  <c r="BD416" i="191"/>
  <c r="BE416" i="191"/>
  <c r="BF416" i="191"/>
  <c r="BG416" i="191"/>
  <c r="BH416" i="191"/>
  <c r="BI416" i="191"/>
  <c r="BJ416" i="191"/>
  <c r="BK416" i="191"/>
  <c r="BD417" i="191"/>
  <c r="BE417" i="191"/>
  <c r="BF417" i="191"/>
  <c r="BG417" i="191"/>
  <c r="BH417" i="191"/>
  <c r="BI417" i="191"/>
  <c r="BJ417" i="191"/>
  <c r="BK417" i="191"/>
  <c r="BD418" i="191"/>
  <c r="BE418" i="191"/>
  <c r="BF418" i="191"/>
  <c r="BG418" i="191"/>
  <c r="BH418" i="191"/>
  <c r="BI418" i="191"/>
  <c r="BJ418" i="191"/>
  <c r="BK418" i="191"/>
  <c r="BD419" i="191"/>
  <c r="BE419" i="191"/>
  <c r="BF419" i="191"/>
  <c r="BG419" i="191"/>
  <c r="BH419" i="191"/>
  <c r="BI419" i="191"/>
  <c r="BJ419" i="191"/>
  <c r="BK419" i="191"/>
  <c r="BD420" i="191"/>
  <c r="BE420" i="191"/>
  <c r="BF420" i="191"/>
  <c r="BG420" i="191"/>
  <c r="BH420" i="191"/>
  <c r="BI420" i="191"/>
  <c r="BJ420" i="191"/>
  <c r="BK420" i="191"/>
  <c r="BD421" i="191"/>
  <c r="BE421" i="191"/>
  <c r="BF421" i="191"/>
  <c r="BG421" i="191"/>
  <c r="BH421" i="191"/>
  <c r="BI421" i="191"/>
  <c r="BJ421" i="191"/>
  <c r="BK421" i="191"/>
  <c r="BD422" i="191"/>
  <c r="BE422" i="191"/>
  <c r="BF422" i="191"/>
  <c r="BG422" i="191"/>
  <c r="BH422" i="191"/>
  <c r="BI422" i="191"/>
  <c r="BJ422" i="191"/>
  <c r="BK422" i="191"/>
  <c r="BD423" i="191"/>
  <c r="BE423" i="191"/>
  <c r="BF423" i="191"/>
  <c r="BG423" i="191"/>
  <c r="BH423" i="191"/>
  <c r="BI423" i="191"/>
  <c r="BJ423" i="191"/>
  <c r="BK423" i="191"/>
  <c r="BD424" i="191"/>
  <c r="BE424" i="191"/>
  <c r="BF424" i="191"/>
  <c r="BG424" i="191"/>
  <c r="BH424" i="191"/>
  <c r="BI424" i="191"/>
  <c r="BJ424" i="191"/>
  <c r="BK424" i="191"/>
  <c r="BD425" i="191"/>
  <c r="BE425" i="191"/>
  <c r="BF425" i="191"/>
  <c r="BG425" i="191"/>
  <c r="BH425" i="191"/>
  <c r="BI425" i="191"/>
  <c r="BJ425" i="191"/>
  <c r="BK425" i="191"/>
  <c r="BD426" i="191"/>
  <c r="BE426" i="191"/>
  <c r="BF426" i="191"/>
  <c r="BG426" i="191"/>
  <c r="BH426" i="191"/>
  <c r="BI426" i="191"/>
  <c r="BJ426" i="191"/>
  <c r="BK426" i="191"/>
  <c r="BD427" i="191"/>
  <c r="BE427" i="191"/>
  <c r="BF427" i="191"/>
  <c r="BG427" i="191"/>
  <c r="BH427" i="191"/>
  <c r="BI427" i="191"/>
  <c r="BJ427" i="191"/>
  <c r="BK427" i="191"/>
  <c r="BD428" i="191"/>
  <c r="BE428" i="191"/>
  <c r="BF428" i="191"/>
  <c r="BG428" i="191"/>
  <c r="BH428" i="191"/>
  <c r="BI428" i="191"/>
  <c r="BJ428" i="191"/>
  <c r="BK428" i="191"/>
  <c r="BD429" i="191"/>
  <c r="BE429" i="191"/>
  <c r="BF429" i="191"/>
  <c r="BG429" i="191"/>
  <c r="BH429" i="191"/>
  <c r="BI429" i="191"/>
  <c r="BJ429" i="191"/>
  <c r="BK429" i="191"/>
  <c r="BD430" i="191"/>
  <c r="BE430" i="191"/>
  <c r="BF430" i="191"/>
  <c r="BG430" i="191"/>
  <c r="BH430" i="191"/>
  <c r="BI430" i="191"/>
  <c r="BJ430" i="191"/>
  <c r="BK430" i="191"/>
  <c r="BD431" i="191"/>
  <c r="BE431" i="191"/>
  <c r="BF431" i="191"/>
  <c r="BG431" i="191"/>
  <c r="BH431" i="191"/>
  <c r="BI431" i="191"/>
  <c r="BJ431" i="191"/>
  <c r="BK431" i="191"/>
  <c r="BD432" i="191"/>
  <c r="BE432" i="191"/>
  <c r="BF432" i="191"/>
  <c r="BG432" i="191"/>
  <c r="BH432" i="191"/>
  <c r="BI432" i="191"/>
  <c r="BJ432" i="191"/>
  <c r="BK432" i="191"/>
  <c r="BD433" i="191"/>
  <c r="BE433" i="191"/>
  <c r="BF433" i="191"/>
  <c r="BG433" i="191"/>
  <c r="BH433" i="191"/>
  <c r="BI433" i="191"/>
  <c r="BJ433" i="191"/>
  <c r="BK433" i="191"/>
  <c r="BD434" i="191"/>
  <c r="BE434" i="191"/>
  <c r="BF434" i="191"/>
  <c r="BG434" i="191"/>
  <c r="BH434" i="191"/>
  <c r="BI434" i="191"/>
  <c r="BJ434" i="191"/>
  <c r="BK434" i="191"/>
  <c r="BD435" i="191"/>
  <c r="BE435" i="191"/>
  <c r="BF435" i="191"/>
  <c r="BG435" i="191"/>
  <c r="BH435" i="191"/>
  <c r="BI435" i="191"/>
  <c r="BJ435" i="191"/>
  <c r="BK435" i="191"/>
  <c r="BD436" i="191"/>
  <c r="BE436" i="191"/>
  <c r="BF436" i="191"/>
  <c r="BG436" i="191"/>
  <c r="BH436" i="191"/>
  <c r="BI436" i="191"/>
  <c r="BJ436" i="191"/>
  <c r="BK436" i="191"/>
  <c r="BD437" i="191"/>
  <c r="BE437" i="191"/>
  <c r="BF437" i="191"/>
  <c r="BG437" i="191"/>
  <c r="BH437" i="191"/>
  <c r="BI437" i="191"/>
  <c r="BJ437" i="191"/>
  <c r="BK437" i="191"/>
  <c r="BD438" i="191"/>
  <c r="BE438" i="191"/>
  <c r="BF438" i="191"/>
  <c r="BG438" i="191"/>
  <c r="BH438" i="191"/>
  <c r="BI438" i="191"/>
  <c r="BJ438" i="191"/>
  <c r="BK438" i="191"/>
  <c r="BD439" i="191"/>
  <c r="BE439" i="191"/>
  <c r="BF439" i="191"/>
  <c r="BG439" i="191"/>
  <c r="BH439" i="191"/>
  <c r="BI439" i="191"/>
  <c r="BJ439" i="191"/>
  <c r="BK439" i="191"/>
  <c r="BD440" i="191"/>
  <c r="BE440" i="191"/>
  <c r="BF440" i="191"/>
  <c r="BG440" i="191"/>
  <c r="BH440" i="191"/>
  <c r="BI440" i="191"/>
  <c r="BJ440" i="191"/>
  <c r="BK440" i="191"/>
  <c r="BD441" i="191"/>
  <c r="BE441" i="191"/>
  <c r="BF441" i="191"/>
  <c r="BG441" i="191"/>
  <c r="BH441" i="191"/>
  <c r="BI441" i="191"/>
  <c r="BJ441" i="191"/>
  <c r="BK441" i="191"/>
  <c r="BD442" i="191"/>
  <c r="BE442" i="191"/>
  <c r="BF442" i="191"/>
  <c r="BG442" i="191"/>
  <c r="BH442" i="191"/>
  <c r="BI442" i="191"/>
  <c r="BJ442" i="191"/>
  <c r="BK442" i="191"/>
  <c r="BD443" i="191"/>
  <c r="BE443" i="191"/>
  <c r="BF443" i="191"/>
  <c r="BG443" i="191"/>
  <c r="BH443" i="191"/>
  <c r="BI443" i="191"/>
  <c r="BJ443" i="191"/>
  <c r="BK443" i="191"/>
  <c r="BD444" i="191"/>
  <c r="BE444" i="191"/>
  <c r="BF444" i="191"/>
  <c r="BG444" i="191"/>
  <c r="BH444" i="191"/>
  <c r="BI444" i="191"/>
  <c r="BJ444" i="191"/>
  <c r="BK444" i="191"/>
  <c r="BD445" i="191"/>
  <c r="BE445" i="191"/>
  <c r="BF445" i="191"/>
  <c r="BG445" i="191"/>
  <c r="BH445" i="191"/>
  <c r="BI445" i="191"/>
  <c r="BJ445" i="191"/>
  <c r="BK445" i="191"/>
  <c r="BD446" i="191"/>
  <c r="BE446" i="191"/>
  <c r="BF446" i="191"/>
  <c r="BG446" i="191"/>
  <c r="BH446" i="191"/>
  <c r="BI446" i="191"/>
  <c r="BJ446" i="191"/>
  <c r="BK446" i="191"/>
  <c r="BD447" i="191"/>
  <c r="BE447" i="191"/>
  <c r="BF447" i="191"/>
  <c r="BG447" i="191"/>
  <c r="BH447" i="191"/>
  <c r="BI447" i="191"/>
  <c r="BJ447" i="191"/>
  <c r="BK447" i="191"/>
  <c r="BD448" i="191"/>
  <c r="BE448" i="191"/>
  <c r="BF448" i="191"/>
  <c r="BG448" i="191"/>
  <c r="BH448" i="191"/>
  <c r="BI448" i="191"/>
  <c r="BJ448" i="191"/>
  <c r="BK448" i="191"/>
  <c r="BD449" i="191"/>
  <c r="BE449" i="191"/>
  <c r="BF449" i="191"/>
  <c r="BG449" i="191"/>
  <c r="BH449" i="191"/>
  <c r="BI449" i="191"/>
  <c r="BJ449" i="191"/>
  <c r="BK449" i="191"/>
  <c r="BD450" i="191"/>
  <c r="BE450" i="191"/>
  <c r="BF450" i="191"/>
  <c r="BG450" i="191"/>
  <c r="BH450" i="191"/>
  <c r="BI450" i="191"/>
  <c r="BJ450" i="191"/>
  <c r="BK450" i="191"/>
  <c r="BD451" i="191"/>
  <c r="BE451" i="191"/>
  <c r="BF451" i="191"/>
  <c r="BG451" i="191"/>
  <c r="BH451" i="191"/>
  <c r="BI451" i="191"/>
  <c r="BJ451" i="191"/>
  <c r="BK451" i="191"/>
  <c r="BD452" i="191"/>
  <c r="BE452" i="191"/>
  <c r="BF452" i="191"/>
  <c r="BG452" i="191"/>
  <c r="BH452" i="191"/>
  <c r="BI452" i="191"/>
  <c r="BJ452" i="191"/>
  <c r="BK452" i="191"/>
  <c r="BD453" i="191"/>
  <c r="BE453" i="191"/>
  <c r="BF453" i="191"/>
  <c r="BG453" i="191"/>
  <c r="BH453" i="191"/>
  <c r="BI453" i="191"/>
  <c r="BJ453" i="191"/>
  <c r="BK453" i="191"/>
  <c r="BD454" i="191"/>
  <c r="BE454" i="191"/>
  <c r="BF454" i="191"/>
  <c r="BG454" i="191"/>
  <c r="BH454" i="191"/>
  <c r="BI454" i="191"/>
  <c r="BJ454" i="191"/>
  <c r="BK454" i="191"/>
  <c r="BD455" i="191"/>
  <c r="BE455" i="191"/>
  <c r="BF455" i="191"/>
  <c r="BG455" i="191"/>
  <c r="BH455" i="191"/>
  <c r="BI455" i="191"/>
  <c r="BJ455" i="191"/>
  <c r="BK455" i="191"/>
  <c r="BD456" i="191"/>
  <c r="BE456" i="191"/>
  <c r="BF456" i="191"/>
  <c r="BG456" i="191"/>
  <c r="BH456" i="191"/>
  <c r="BI456" i="191"/>
  <c r="BJ456" i="191"/>
  <c r="BK456" i="191"/>
  <c r="BD457" i="191"/>
  <c r="BE457" i="191"/>
  <c r="BF457" i="191"/>
  <c r="BG457" i="191"/>
  <c r="BH457" i="191"/>
  <c r="BI457" i="191"/>
  <c r="BJ457" i="191"/>
  <c r="BK457" i="191"/>
  <c r="BD458" i="191"/>
  <c r="BE458" i="191"/>
  <c r="BF458" i="191"/>
  <c r="BG458" i="191"/>
  <c r="BH458" i="191"/>
  <c r="BI458" i="191"/>
  <c r="BJ458" i="191"/>
  <c r="BK458" i="191"/>
  <c r="BD459" i="191"/>
  <c r="BE459" i="191"/>
  <c r="BF459" i="191"/>
  <c r="BG459" i="191"/>
  <c r="BH459" i="191"/>
  <c r="BI459" i="191"/>
  <c r="BJ459" i="191"/>
  <c r="BK459" i="191"/>
  <c r="BD460" i="191"/>
  <c r="BE460" i="191"/>
  <c r="BF460" i="191"/>
  <c r="BG460" i="191"/>
  <c r="BH460" i="191"/>
  <c r="BI460" i="191"/>
  <c r="BJ460" i="191"/>
  <c r="BK460" i="191"/>
  <c r="BD461" i="191"/>
  <c r="BE461" i="191"/>
  <c r="BF461" i="191"/>
  <c r="BG461" i="191"/>
  <c r="BH461" i="191"/>
  <c r="BI461" i="191"/>
  <c r="BJ461" i="191"/>
  <c r="BK461" i="191"/>
  <c r="BD462" i="191"/>
  <c r="BE462" i="191"/>
  <c r="BF462" i="191"/>
  <c r="BG462" i="191"/>
  <c r="BH462" i="191"/>
  <c r="BI462" i="191"/>
  <c r="BJ462" i="191"/>
  <c r="BK462" i="191"/>
  <c r="BD463" i="191"/>
  <c r="BE463" i="191"/>
  <c r="BF463" i="191"/>
  <c r="BG463" i="191"/>
  <c r="BH463" i="191"/>
  <c r="BI463" i="191"/>
  <c r="BJ463" i="191"/>
  <c r="BK463" i="191"/>
  <c r="BD464" i="191"/>
  <c r="BE464" i="191"/>
  <c r="BF464" i="191"/>
  <c r="BG464" i="191"/>
  <c r="BH464" i="191"/>
  <c r="BI464" i="191"/>
  <c r="BJ464" i="191"/>
  <c r="BK464" i="191"/>
  <c r="BD465" i="191"/>
  <c r="BE465" i="191"/>
  <c r="BF465" i="191"/>
  <c r="BG465" i="191"/>
  <c r="BH465" i="191"/>
  <c r="BI465" i="191"/>
  <c r="BJ465" i="191"/>
  <c r="BK465" i="191"/>
  <c r="BD466" i="191"/>
  <c r="BE466" i="191"/>
  <c r="BF466" i="191"/>
  <c r="BG466" i="191"/>
  <c r="BH466" i="191"/>
  <c r="BI466" i="191"/>
  <c r="BJ466" i="191"/>
  <c r="BK466" i="191"/>
  <c r="BD467" i="191"/>
  <c r="BE467" i="191"/>
  <c r="BF467" i="191"/>
  <c r="BG467" i="191"/>
  <c r="BH467" i="191"/>
  <c r="BI467" i="191"/>
  <c r="BJ467" i="191"/>
  <c r="BK467" i="191"/>
  <c r="BD468" i="191"/>
  <c r="BE468" i="191"/>
  <c r="BF468" i="191"/>
  <c r="BG468" i="191"/>
  <c r="BH468" i="191"/>
  <c r="BI468" i="191"/>
  <c r="BJ468" i="191"/>
  <c r="BK468" i="191"/>
  <c r="BD469" i="191"/>
  <c r="BE469" i="191"/>
  <c r="BF469" i="191"/>
  <c r="BG469" i="191"/>
  <c r="BH469" i="191"/>
  <c r="BI469" i="191"/>
  <c r="BJ469" i="191"/>
  <c r="BK469" i="191"/>
  <c r="BD470" i="191"/>
  <c r="BE470" i="191"/>
  <c r="BF470" i="191"/>
  <c r="BG470" i="191"/>
  <c r="BH470" i="191"/>
  <c r="BI470" i="191"/>
  <c r="BJ470" i="191"/>
  <c r="BK470" i="191"/>
  <c r="BD471" i="191"/>
  <c r="BE471" i="191"/>
  <c r="BF471" i="191"/>
  <c r="BG471" i="191"/>
  <c r="BH471" i="191"/>
  <c r="BI471" i="191"/>
  <c r="BJ471" i="191"/>
  <c r="BK471" i="191"/>
  <c r="BD472" i="191"/>
  <c r="BE472" i="191"/>
  <c r="BF472" i="191"/>
  <c r="BG472" i="191"/>
  <c r="BH472" i="191"/>
  <c r="BI472" i="191"/>
  <c r="BJ472" i="191"/>
  <c r="BK472" i="191"/>
  <c r="BD473" i="191"/>
  <c r="BE473" i="191"/>
  <c r="BF473" i="191"/>
  <c r="BG473" i="191"/>
  <c r="BH473" i="191"/>
  <c r="BI473" i="191"/>
  <c r="BJ473" i="191"/>
  <c r="BK473" i="191"/>
  <c r="BD474" i="191"/>
  <c r="BE474" i="191"/>
  <c r="BF474" i="191"/>
  <c r="BG474" i="191"/>
  <c r="BH474" i="191"/>
  <c r="BI474" i="191"/>
  <c r="BJ474" i="191"/>
  <c r="BK474" i="191"/>
  <c r="BD475" i="191"/>
  <c r="BE475" i="191"/>
  <c r="BF475" i="191"/>
  <c r="BG475" i="191"/>
  <c r="BH475" i="191"/>
  <c r="BI475" i="191"/>
  <c r="BJ475" i="191"/>
  <c r="BK475" i="191"/>
  <c r="BD476" i="191"/>
  <c r="BE476" i="191"/>
  <c r="BF476" i="191"/>
  <c r="BG476" i="191"/>
  <c r="BH476" i="191"/>
  <c r="BI476" i="191"/>
  <c r="BJ476" i="191"/>
  <c r="BK476" i="191"/>
  <c r="BD477" i="191"/>
  <c r="BE477" i="191"/>
  <c r="BF477" i="191"/>
  <c r="BG477" i="191"/>
  <c r="BH477" i="191"/>
  <c r="BI477" i="191"/>
  <c r="BJ477" i="191"/>
  <c r="BK477" i="191"/>
  <c r="BD478" i="191"/>
  <c r="BE478" i="191"/>
  <c r="BF478" i="191"/>
  <c r="BG478" i="191"/>
  <c r="BH478" i="191"/>
  <c r="BI478" i="191"/>
  <c r="BJ478" i="191"/>
  <c r="BK478" i="191"/>
  <c r="BD479" i="191"/>
  <c r="BE479" i="191"/>
  <c r="BF479" i="191"/>
  <c r="BG479" i="191"/>
  <c r="BH479" i="191"/>
  <c r="BI479" i="191"/>
  <c r="BJ479" i="191"/>
  <c r="BK479" i="191"/>
  <c r="BD480" i="191"/>
  <c r="BE480" i="191"/>
  <c r="BF480" i="191"/>
  <c r="BG480" i="191"/>
  <c r="BH480" i="191"/>
  <c r="BI480" i="191"/>
  <c r="BJ480" i="191"/>
  <c r="BK480" i="191"/>
  <c r="BD481" i="191"/>
  <c r="BE481" i="191"/>
  <c r="BF481" i="191"/>
  <c r="BG481" i="191"/>
  <c r="BH481" i="191"/>
  <c r="BI481" i="191"/>
  <c r="BJ481" i="191"/>
  <c r="BK481" i="191"/>
  <c r="BD482" i="191"/>
  <c r="BE482" i="191"/>
  <c r="BF482" i="191"/>
  <c r="BG482" i="191"/>
  <c r="BH482" i="191"/>
  <c r="BI482" i="191"/>
  <c r="BJ482" i="191"/>
  <c r="BK482" i="191"/>
  <c r="BD483" i="191"/>
  <c r="BE483" i="191"/>
  <c r="BF483" i="191"/>
  <c r="BG483" i="191"/>
  <c r="BH483" i="191"/>
  <c r="BI483" i="191"/>
  <c r="BJ483" i="191"/>
  <c r="BK483" i="191"/>
  <c r="BD484" i="191"/>
  <c r="BE484" i="191"/>
  <c r="BF484" i="191"/>
  <c r="BG484" i="191"/>
  <c r="BH484" i="191"/>
  <c r="BI484" i="191"/>
  <c r="BJ484" i="191"/>
  <c r="BK484" i="191"/>
  <c r="BD485" i="191"/>
  <c r="BE485" i="191"/>
  <c r="BF485" i="191"/>
  <c r="BG485" i="191"/>
  <c r="BH485" i="191"/>
  <c r="BI485" i="191"/>
  <c r="BJ485" i="191"/>
  <c r="BK485" i="191"/>
  <c r="BD486" i="191"/>
  <c r="BE486" i="191"/>
  <c r="BF486" i="191"/>
  <c r="BG486" i="191"/>
  <c r="BH486" i="191"/>
  <c r="BI486" i="191"/>
  <c r="BJ486" i="191"/>
  <c r="BK486" i="191"/>
  <c r="BD487" i="191"/>
  <c r="BE487" i="191"/>
  <c r="BF487" i="191"/>
  <c r="BG487" i="191"/>
  <c r="BH487" i="191"/>
  <c r="BI487" i="191"/>
  <c r="BJ487" i="191"/>
  <c r="BK487" i="191"/>
  <c r="BD488" i="191"/>
  <c r="BE488" i="191"/>
  <c r="BF488" i="191"/>
  <c r="BG488" i="191"/>
  <c r="BH488" i="191"/>
  <c r="BI488" i="191"/>
  <c r="BJ488" i="191"/>
  <c r="BK488" i="191"/>
  <c r="BD489" i="191"/>
  <c r="BE489" i="191"/>
  <c r="BF489" i="191"/>
  <c r="BG489" i="191"/>
  <c r="BH489" i="191"/>
  <c r="BI489" i="191"/>
  <c r="BJ489" i="191"/>
  <c r="BK489" i="191"/>
  <c r="BD490" i="191"/>
  <c r="BE490" i="191"/>
  <c r="BF490" i="191"/>
  <c r="BG490" i="191"/>
  <c r="BH490" i="191"/>
  <c r="BI490" i="191"/>
  <c r="BJ490" i="191"/>
  <c r="BK490" i="191"/>
  <c r="BD491" i="191"/>
  <c r="BE491" i="191"/>
  <c r="BF491" i="191"/>
  <c r="BG491" i="191"/>
  <c r="BH491" i="191"/>
  <c r="BI491" i="191"/>
  <c r="BJ491" i="191"/>
  <c r="BK491" i="191"/>
  <c r="BD492" i="191"/>
  <c r="BE492" i="191"/>
  <c r="BF492" i="191"/>
  <c r="BG492" i="191"/>
  <c r="BH492" i="191"/>
  <c r="BI492" i="191"/>
  <c r="BJ492" i="191"/>
  <c r="BK492" i="191"/>
  <c r="BD493" i="191"/>
  <c r="BE493" i="191"/>
  <c r="BF493" i="191"/>
  <c r="BG493" i="191"/>
  <c r="BH493" i="191"/>
  <c r="BI493" i="191"/>
  <c r="BJ493" i="191"/>
  <c r="BK493" i="191"/>
  <c r="BD494" i="191"/>
  <c r="BE494" i="191"/>
  <c r="BF494" i="191"/>
  <c r="BG494" i="191"/>
  <c r="BH494" i="191"/>
  <c r="BI494" i="191"/>
  <c r="BJ494" i="191"/>
  <c r="BK494" i="191"/>
  <c r="BD495" i="191"/>
  <c r="BE495" i="191"/>
  <c r="BF495" i="191"/>
  <c r="BG495" i="191"/>
  <c r="BH495" i="191"/>
  <c r="BI495" i="191"/>
  <c r="BJ495" i="191"/>
  <c r="BK495" i="191"/>
  <c r="BD496" i="191"/>
  <c r="BE496" i="191"/>
  <c r="BF496" i="191"/>
  <c r="BG496" i="191"/>
  <c r="BH496" i="191"/>
  <c r="BI496" i="191"/>
  <c r="BJ496" i="191"/>
  <c r="BK496" i="191"/>
  <c r="BD497" i="191"/>
  <c r="BE497" i="191"/>
  <c r="BF497" i="191"/>
  <c r="BG497" i="191"/>
  <c r="BH497" i="191"/>
  <c r="BI497" i="191"/>
  <c r="BJ497" i="191"/>
  <c r="BK497" i="191"/>
  <c r="BD498" i="191"/>
  <c r="BE498" i="191"/>
  <c r="BF498" i="191"/>
  <c r="BG498" i="191"/>
  <c r="BH498" i="191"/>
  <c r="BI498" i="191"/>
  <c r="BJ498" i="191"/>
  <c r="BK498" i="191"/>
  <c r="BD499" i="191"/>
  <c r="BE499" i="191"/>
  <c r="BF499" i="191"/>
  <c r="BG499" i="191"/>
  <c r="BH499" i="191"/>
  <c r="BI499" i="191"/>
  <c r="BJ499" i="191"/>
  <c r="BK499" i="191"/>
  <c r="BD500" i="191"/>
  <c r="BE500" i="191"/>
  <c r="BF500" i="191"/>
  <c r="BG500" i="191"/>
  <c r="BH500" i="191"/>
  <c r="BI500" i="191"/>
  <c r="BJ500" i="191"/>
  <c r="BK500" i="191"/>
  <c r="BD501" i="191"/>
  <c r="BE501" i="191"/>
  <c r="BF501" i="191"/>
  <c r="BG501" i="191"/>
  <c r="BH501" i="191"/>
  <c r="BI501" i="191"/>
  <c r="BJ501" i="191"/>
  <c r="BK501" i="191"/>
  <c r="BD502" i="191"/>
  <c r="BE502" i="191"/>
  <c r="BF502" i="191"/>
  <c r="BG502" i="191"/>
  <c r="BH502" i="191"/>
  <c r="BI502" i="191"/>
  <c r="BJ502" i="191"/>
  <c r="BK502" i="191"/>
  <c r="BD503" i="191"/>
  <c r="BE503" i="191"/>
  <c r="BF503" i="191"/>
  <c r="BG503" i="191"/>
  <c r="BH503" i="191"/>
  <c r="BI503" i="191"/>
  <c r="BJ503" i="191"/>
  <c r="BK503" i="191"/>
  <c r="BD504" i="191"/>
  <c r="BE504" i="191"/>
  <c r="BF504" i="191"/>
  <c r="BG504" i="191"/>
  <c r="BH504" i="191"/>
  <c r="BI504" i="191"/>
  <c r="BJ504" i="191"/>
  <c r="BK504" i="191"/>
  <c r="BD505" i="191"/>
  <c r="BE505" i="191"/>
  <c r="BF505" i="191"/>
  <c r="BG505" i="191"/>
  <c r="BH505" i="191"/>
  <c r="BI505" i="191"/>
  <c r="BJ505" i="191"/>
  <c r="BK505" i="191"/>
  <c r="BD506" i="191"/>
  <c r="BE506" i="191"/>
  <c r="BF506" i="191"/>
  <c r="BG506" i="191"/>
  <c r="BH506" i="191"/>
  <c r="BI506" i="191"/>
  <c r="BJ506" i="191"/>
  <c r="BK506" i="191"/>
  <c r="BD507" i="191"/>
  <c r="BE507" i="191"/>
  <c r="BF507" i="191"/>
  <c r="BG507" i="191"/>
  <c r="BH507" i="191"/>
  <c r="BI507" i="191"/>
  <c r="BJ507" i="191"/>
  <c r="BK507" i="191"/>
  <c r="BD508" i="191"/>
  <c r="BE508" i="191"/>
  <c r="BF508" i="191"/>
  <c r="BG508" i="191"/>
  <c r="BH508" i="191"/>
  <c r="BI508" i="191"/>
  <c r="BJ508" i="191"/>
  <c r="BK508" i="191"/>
  <c r="BD509" i="191"/>
  <c r="BE509" i="191"/>
  <c r="BF509" i="191"/>
  <c r="BG509" i="191"/>
  <c r="BH509" i="191"/>
  <c r="BI509" i="191"/>
  <c r="BJ509" i="191"/>
  <c r="BK509" i="191"/>
  <c r="BD510" i="191"/>
  <c r="BE510" i="191"/>
  <c r="BF510" i="191"/>
  <c r="BG510" i="191"/>
  <c r="BH510" i="191"/>
  <c r="BI510" i="191"/>
  <c r="BJ510" i="191"/>
  <c r="BK510" i="191"/>
  <c r="BD511" i="191"/>
  <c r="BE511" i="191"/>
  <c r="BF511" i="191"/>
  <c r="BG511" i="191"/>
  <c r="BH511" i="191"/>
  <c r="BI511" i="191"/>
  <c r="BJ511" i="191"/>
  <c r="BK511" i="191"/>
  <c r="BD512" i="191"/>
  <c r="BE512" i="191"/>
  <c r="BF512" i="191"/>
  <c r="BG512" i="191"/>
  <c r="BH512" i="191"/>
  <c r="BI512" i="191"/>
  <c r="BJ512" i="191"/>
  <c r="BK512" i="191"/>
  <c r="BD513" i="191"/>
  <c r="BE513" i="191"/>
  <c r="BF513" i="191"/>
  <c r="BG513" i="191"/>
  <c r="BH513" i="191"/>
  <c r="BI513" i="191"/>
  <c r="BJ513" i="191"/>
  <c r="BK513" i="191"/>
  <c r="BD514" i="191"/>
  <c r="BE514" i="191"/>
  <c r="BF514" i="191"/>
  <c r="BG514" i="191"/>
  <c r="BH514" i="191"/>
  <c r="BI514" i="191"/>
  <c r="BJ514" i="191"/>
  <c r="BK514" i="191"/>
  <c r="BD515" i="191"/>
  <c r="BE515" i="191"/>
  <c r="BF515" i="191"/>
  <c r="BG515" i="191"/>
  <c r="BH515" i="191"/>
  <c r="BI515" i="191"/>
  <c r="BJ515" i="191"/>
  <c r="BK515" i="191"/>
  <c r="BD516" i="191"/>
  <c r="BE516" i="191"/>
  <c r="BF516" i="191"/>
  <c r="BG516" i="191"/>
  <c r="BH516" i="191"/>
  <c r="BI516" i="191"/>
  <c r="BJ516" i="191"/>
  <c r="BK516" i="191"/>
  <c r="BD517" i="191"/>
  <c r="BE517" i="191"/>
  <c r="BF517" i="191"/>
  <c r="BG517" i="191"/>
  <c r="BH517" i="191"/>
  <c r="BI517" i="191"/>
  <c r="BJ517" i="191"/>
  <c r="BK517" i="191"/>
  <c r="BD518" i="191"/>
  <c r="BE518" i="191"/>
  <c r="BF518" i="191"/>
  <c r="BG518" i="191"/>
  <c r="BH518" i="191"/>
  <c r="BI518" i="191"/>
  <c r="BJ518" i="191"/>
  <c r="BK518" i="191"/>
  <c r="BD519" i="191"/>
  <c r="BE519" i="191"/>
  <c r="BF519" i="191"/>
  <c r="BG519" i="191"/>
  <c r="BH519" i="191"/>
  <c r="BI519" i="191"/>
  <c r="BJ519" i="191"/>
  <c r="BK519" i="191"/>
  <c r="BD520" i="191"/>
  <c r="BE520" i="191"/>
  <c r="BF520" i="191"/>
  <c r="BG520" i="191"/>
  <c r="BH520" i="191"/>
  <c r="BI520" i="191"/>
  <c r="BJ520" i="191"/>
  <c r="BK520" i="191"/>
  <c r="BD521" i="191"/>
  <c r="BE521" i="191"/>
  <c r="BF521" i="191"/>
  <c r="BG521" i="191"/>
  <c r="BH521" i="191"/>
  <c r="BI521" i="191"/>
  <c r="BJ521" i="191"/>
  <c r="BK521" i="191"/>
  <c r="BD522" i="191"/>
  <c r="BE522" i="191"/>
  <c r="BF522" i="191"/>
  <c r="BG522" i="191"/>
  <c r="BH522" i="191"/>
  <c r="BI522" i="191"/>
  <c r="BJ522" i="191"/>
  <c r="BK522" i="191"/>
  <c r="BD523" i="191"/>
  <c r="BE523" i="191"/>
  <c r="BF523" i="191"/>
  <c r="BG523" i="191"/>
  <c r="BH523" i="191"/>
  <c r="BI523" i="191"/>
  <c r="BJ523" i="191"/>
  <c r="BK523" i="191"/>
  <c r="BD524" i="191"/>
  <c r="BE524" i="191"/>
  <c r="BF524" i="191"/>
  <c r="BG524" i="191"/>
  <c r="BH524" i="191"/>
  <c r="BI524" i="191"/>
  <c r="BJ524" i="191"/>
  <c r="BK524" i="191"/>
  <c r="BD525" i="191"/>
  <c r="BE525" i="191"/>
  <c r="BF525" i="191"/>
  <c r="BG525" i="191"/>
  <c r="BH525" i="191"/>
  <c r="BI525" i="191"/>
  <c r="BJ525" i="191"/>
  <c r="BK525" i="191"/>
  <c r="BD526" i="191"/>
  <c r="BE526" i="191"/>
  <c r="BF526" i="191"/>
  <c r="BG526" i="191"/>
  <c r="BH526" i="191"/>
  <c r="BI526" i="191"/>
  <c r="BJ526" i="191"/>
  <c r="BK526" i="191"/>
  <c r="BD527" i="191"/>
  <c r="BE527" i="191"/>
  <c r="BF527" i="191"/>
  <c r="BG527" i="191"/>
  <c r="BH527" i="191"/>
  <c r="BI527" i="191"/>
  <c r="BJ527" i="191"/>
  <c r="BK527" i="191"/>
  <c r="BD528" i="191"/>
  <c r="BE528" i="191"/>
  <c r="BF528" i="191"/>
  <c r="BG528" i="191"/>
  <c r="BH528" i="191"/>
  <c r="BI528" i="191"/>
  <c r="BJ528" i="191"/>
  <c r="BK528" i="191"/>
  <c r="BD529" i="191"/>
  <c r="BE529" i="191"/>
  <c r="BF529" i="191"/>
  <c r="BG529" i="191"/>
  <c r="BH529" i="191"/>
  <c r="BI529" i="191"/>
  <c r="BJ529" i="191"/>
  <c r="BK529" i="191"/>
  <c r="BD530" i="191"/>
  <c r="BE530" i="191"/>
  <c r="BF530" i="191"/>
  <c r="BG530" i="191"/>
  <c r="BH530" i="191"/>
  <c r="BI530" i="191"/>
  <c r="BJ530" i="191"/>
  <c r="BK530" i="191"/>
  <c r="BD531" i="191"/>
  <c r="BE531" i="191"/>
  <c r="BF531" i="191"/>
  <c r="BG531" i="191"/>
  <c r="BH531" i="191"/>
  <c r="BI531" i="191"/>
  <c r="BJ531" i="191"/>
  <c r="BK531" i="191"/>
  <c r="BD532" i="191"/>
  <c r="BE532" i="191"/>
  <c r="BF532" i="191"/>
  <c r="BG532" i="191"/>
  <c r="BH532" i="191"/>
  <c r="BI532" i="191"/>
  <c r="BJ532" i="191"/>
  <c r="BK532" i="191"/>
  <c r="BD533" i="191"/>
  <c r="BE533" i="191"/>
  <c r="BF533" i="191"/>
  <c r="BG533" i="191"/>
  <c r="BH533" i="191"/>
  <c r="BI533" i="191"/>
  <c r="BJ533" i="191"/>
  <c r="BK533" i="191"/>
  <c r="BD534" i="191"/>
  <c r="BE534" i="191"/>
  <c r="BF534" i="191"/>
  <c r="BG534" i="191"/>
  <c r="BH534" i="191"/>
  <c r="BI534" i="191"/>
  <c r="BJ534" i="191"/>
  <c r="BK534" i="191"/>
  <c r="BD535" i="191"/>
  <c r="BE535" i="191"/>
  <c r="BF535" i="191"/>
  <c r="BG535" i="191"/>
  <c r="BH535" i="191"/>
  <c r="BI535" i="191"/>
  <c r="BJ535" i="191"/>
  <c r="BK535" i="191"/>
  <c r="BD536" i="191"/>
  <c r="BE536" i="191"/>
  <c r="BF536" i="191"/>
  <c r="BG536" i="191"/>
  <c r="BH536" i="191"/>
  <c r="BI536" i="191"/>
  <c r="BJ536" i="191"/>
  <c r="BK536" i="191"/>
  <c r="BD537" i="191"/>
  <c r="BE537" i="191"/>
  <c r="BF537" i="191"/>
  <c r="BG537" i="191"/>
  <c r="BH537" i="191"/>
  <c r="BI537" i="191"/>
  <c r="BJ537" i="191"/>
  <c r="BK537" i="191"/>
  <c r="BD538" i="191"/>
  <c r="BE538" i="191"/>
  <c r="BF538" i="191"/>
  <c r="BG538" i="191"/>
  <c r="BH538" i="191"/>
  <c r="BI538" i="191"/>
  <c r="BJ538" i="191"/>
  <c r="BK538" i="191"/>
  <c r="BD539" i="191"/>
  <c r="BE539" i="191"/>
  <c r="BF539" i="191"/>
  <c r="BG539" i="191"/>
  <c r="BH539" i="191"/>
  <c r="BI539" i="191"/>
  <c r="BJ539" i="191"/>
  <c r="BK539" i="191"/>
  <c r="BD540" i="191"/>
  <c r="BE540" i="191"/>
  <c r="BF540" i="191"/>
  <c r="BG540" i="191"/>
  <c r="BH540" i="191"/>
  <c r="BI540" i="191"/>
  <c r="BJ540" i="191"/>
  <c r="BK540" i="191"/>
  <c r="BD541" i="191"/>
  <c r="BE541" i="191"/>
  <c r="BF541" i="191"/>
  <c r="BG541" i="191"/>
  <c r="BH541" i="191"/>
  <c r="BI541" i="191"/>
  <c r="BJ541" i="191"/>
  <c r="BK541" i="191"/>
  <c r="BD542" i="191"/>
  <c r="BE542" i="191"/>
  <c r="BF542" i="191"/>
  <c r="BG542" i="191"/>
  <c r="BH542" i="191"/>
  <c r="BI542" i="191"/>
  <c r="BJ542" i="191"/>
  <c r="BK542" i="191"/>
  <c r="BD543" i="191"/>
  <c r="BE543" i="191"/>
  <c r="BF543" i="191"/>
  <c r="BG543" i="191"/>
  <c r="BH543" i="191"/>
  <c r="BI543" i="191"/>
  <c r="BJ543" i="191"/>
  <c r="BK543" i="191"/>
  <c r="BD544" i="191"/>
  <c r="BE544" i="191"/>
  <c r="BF544" i="191"/>
  <c r="BG544" i="191"/>
  <c r="BH544" i="191"/>
  <c r="BI544" i="191"/>
  <c r="BJ544" i="191"/>
  <c r="BK544" i="191"/>
  <c r="BD545" i="191"/>
  <c r="BE545" i="191"/>
  <c r="BF545" i="191"/>
  <c r="BG545" i="191"/>
  <c r="BH545" i="191"/>
  <c r="BI545" i="191"/>
  <c r="BJ545" i="191"/>
  <c r="BK545" i="191"/>
  <c r="BD546" i="191"/>
  <c r="BE546" i="191"/>
  <c r="BF546" i="191"/>
  <c r="BG546" i="191"/>
  <c r="BH546" i="191"/>
  <c r="BI546" i="191"/>
  <c r="BJ546" i="191"/>
  <c r="BK546" i="191"/>
  <c r="BD547" i="191"/>
  <c r="BE547" i="191"/>
  <c r="BF547" i="191"/>
  <c r="BG547" i="191"/>
  <c r="BH547" i="191"/>
  <c r="BI547" i="191"/>
  <c r="BJ547" i="191"/>
  <c r="BK547" i="191"/>
  <c r="BD548" i="191"/>
  <c r="BE548" i="191"/>
  <c r="BF548" i="191"/>
  <c r="BG548" i="191"/>
  <c r="BH548" i="191"/>
  <c r="BI548" i="191"/>
  <c r="BJ548" i="191"/>
  <c r="BK548" i="191"/>
  <c r="BD549" i="191"/>
  <c r="BE549" i="191"/>
  <c r="BF549" i="191"/>
  <c r="BG549" i="191"/>
  <c r="BH549" i="191"/>
  <c r="BI549" i="191"/>
  <c r="BJ549" i="191"/>
  <c r="BK549" i="191"/>
  <c r="BD550" i="191"/>
  <c r="BE550" i="191"/>
  <c r="BF550" i="191"/>
  <c r="BG550" i="191"/>
  <c r="BH550" i="191"/>
  <c r="BI550" i="191"/>
  <c r="BJ550" i="191"/>
  <c r="BK550" i="191"/>
  <c r="BD551" i="191"/>
  <c r="BE551" i="191"/>
  <c r="BF551" i="191"/>
  <c r="BG551" i="191"/>
  <c r="BH551" i="191"/>
  <c r="BI551" i="191"/>
  <c r="BJ551" i="191"/>
  <c r="BK551" i="191"/>
  <c r="BD552" i="191"/>
  <c r="BE552" i="191"/>
  <c r="BF552" i="191"/>
  <c r="BG552" i="191"/>
  <c r="BH552" i="191"/>
  <c r="BI552" i="191"/>
  <c r="BJ552" i="191"/>
  <c r="BK552" i="191"/>
  <c r="BD553" i="191"/>
  <c r="BE553" i="191"/>
  <c r="BF553" i="191"/>
  <c r="BG553" i="191"/>
  <c r="BH553" i="191"/>
  <c r="BI553" i="191"/>
  <c r="BJ553" i="191"/>
  <c r="BK553" i="191"/>
  <c r="BD554" i="191"/>
  <c r="BE554" i="191"/>
  <c r="BF554" i="191"/>
  <c r="BG554" i="191"/>
  <c r="BH554" i="191"/>
  <c r="BI554" i="191"/>
  <c r="BJ554" i="191"/>
  <c r="BK554" i="191"/>
  <c r="BD555" i="191"/>
  <c r="BE555" i="191"/>
  <c r="BF555" i="191"/>
  <c r="BG555" i="191"/>
  <c r="BH555" i="191"/>
  <c r="BI555" i="191"/>
  <c r="BJ555" i="191"/>
  <c r="BK555" i="191"/>
  <c r="BD556" i="191"/>
  <c r="BE556" i="191"/>
  <c r="BF556" i="191"/>
  <c r="BG556" i="191"/>
  <c r="BH556" i="191"/>
  <c r="BI556" i="191"/>
  <c r="BJ556" i="191"/>
  <c r="BK556" i="191"/>
  <c r="BD557" i="191"/>
  <c r="BE557" i="191"/>
  <c r="BF557" i="191"/>
  <c r="BG557" i="191"/>
  <c r="BH557" i="191"/>
  <c r="BI557" i="191"/>
  <c r="BJ557" i="191"/>
  <c r="BK557" i="191"/>
  <c r="BD558" i="191"/>
  <c r="BE558" i="191"/>
  <c r="BF558" i="191"/>
  <c r="BG558" i="191"/>
  <c r="BH558" i="191"/>
  <c r="BI558" i="191"/>
  <c r="BJ558" i="191"/>
  <c r="BK558" i="191"/>
  <c r="BD559" i="191"/>
  <c r="BE559" i="191"/>
  <c r="BF559" i="191"/>
  <c r="BG559" i="191"/>
  <c r="BH559" i="191"/>
  <c r="BI559" i="191"/>
  <c r="BJ559" i="191"/>
  <c r="BK559" i="191"/>
  <c r="BD560" i="191"/>
  <c r="BE560" i="191"/>
  <c r="BF560" i="191"/>
  <c r="BG560" i="191"/>
  <c r="BH560" i="191"/>
  <c r="BI560" i="191"/>
  <c r="BJ560" i="191"/>
  <c r="BK560" i="191"/>
  <c r="BD561" i="191"/>
  <c r="BE561" i="191"/>
  <c r="BF561" i="191"/>
  <c r="BG561" i="191"/>
  <c r="BH561" i="191"/>
  <c r="BI561" i="191"/>
  <c r="BJ561" i="191"/>
  <c r="BK561" i="191"/>
  <c r="BD562" i="191"/>
  <c r="BE562" i="191"/>
  <c r="BF562" i="191"/>
  <c r="BG562" i="191"/>
  <c r="BH562" i="191"/>
  <c r="BI562" i="191"/>
  <c r="BJ562" i="191"/>
  <c r="BK562" i="191"/>
  <c r="BD563" i="191"/>
  <c r="BE563" i="191"/>
  <c r="BF563" i="191"/>
  <c r="BG563" i="191"/>
  <c r="BH563" i="191"/>
  <c r="BI563" i="191"/>
  <c r="BJ563" i="191"/>
  <c r="BK563" i="191"/>
  <c r="BD564" i="191"/>
  <c r="BE564" i="191"/>
  <c r="BF564" i="191"/>
  <c r="BG564" i="191"/>
  <c r="BH564" i="191"/>
  <c r="BI564" i="191"/>
  <c r="BJ564" i="191"/>
  <c r="BK564" i="191"/>
  <c r="BD565" i="191"/>
  <c r="BE565" i="191"/>
  <c r="BF565" i="191"/>
  <c r="BG565" i="191"/>
  <c r="BH565" i="191"/>
  <c r="BI565" i="191"/>
  <c r="BJ565" i="191"/>
  <c r="BK565" i="191"/>
  <c r="BD566" i="191"/>
  <c r="BE566" i="191"/>
  <c r="BF566" i="191"/>
  <c r="BG566" i="191"/>
  <c r="BH566" i="191"/>
  <c r="BI566" i="191"/>
  <c r="BJ566" i="191"/>
  <c r="BK566" i="191"/>
  <c r="BD567" i="191"/>
  <c r="BE567" i="191"/>
  <c r="BF567" i="191"/>
  <c r="BG567" i="191"/>
  <c r="BH567" i="191"/>
  <c r="BI567" i="191"/>
  <c r="BJ567" i="191"/>
  <c r="BK567" i="191"/>
  <c r="BD568" i="191"/>
  <c r="BE568" i="191"/>
  <c r="BF568" i="191"/>
  <c r="BG568" i="191"/>
  <c r="BH568" i="191"/>
  <c r="BI568" i="191"/>
  <c r="BJ568" i="191"/>
  <c r="BK568" i="191"/>
  <c r="BD569" i="191"/>
  <c r="BE569" i="191"/>
  <c r="BF569" i="191"/>
  <c r="BG569" i="191"/>
  <c r="BH569" i="191"/>
  <c r="BI569" i="191"/>
  <c r="BJ569" i="191"/>
  <c r="BK569" i="191"/>
  <c r="BD570" i="191"/>
  <c r="BE570" i="191"/>
  <c r="BF570" i="191"/>
  <c r="BG570" i="191"/>
  <c r="BH570" i="191"/>
  <c r="BI570" i="191"/>
  <c r="BJ570" i="191"/>
  <c r="BK570" i="191"/>
  <c r="BD571" i="191"/>
  <c r="BE571" i="191"/>
  <c r="BF571" i="191"/>
  <c r="BG571" i="191"/>
  <c r="BH571" i="191"/>
  <c r="BI571" i="191"/>
  <c r="BJ571" i="191"/>
  <c r="BK571" i="191"/>
  <c r="BD572" i="191"/>
  <c r="BE572" i="191"/>
  <c r="BF572" i="191"/>
  <c r="BG572" i="191"/>
  <c r="BH572" i="191"/>
  <c r="BI572" i="191"/>
  <c r="BJ572" i="191"/>
  <c r="BK572" i="191"/>
  <c r="BD573" i="191"/>
  <c r="BE573" i="191"/>
  <c r="BF573" i="191"/>
  <c r="BG573" i="191"/>
  <c r="BH573" i="191"/>
  <c r="BI573" i="191"/>
  <c r="BJ573" i="191"/>
  <c r="BK573" i="191"/>
  <c r="BD574" i="191"/>
  <c r="BE574" i="191"/>
  <c r="BF574" i="191"/>
  <c r="BG574" i="191"/>
  <c r="BH574" i="191"/>
  <c r="BI574" i="191"/>
  <c r="BJ574" i="191"/>
  <c r="BK574" i="191"/>
  <c r="BD575" i="191"/>
  <c r="BE575" i="191"/>
  <c r="BF575" i="191"/>
  <c r="BG575" i="191"/>
  <c r="BH575" i="191"/>
  <c r="BI575" i="191"/>
  <c r="BJ575" i="191"/>
  <c r="BK575" i="191"/>
  <c r="BD576" i="191"/>
  <c r="BE576" i="191"/>
  <c r="BF576" i="191"/>
  <c r="BG576" i="191"/>
  <c r="BH576" i="191"/>
  <c r="BI576" i="191"/>
  <c r="BJ576" i="191"/>
  <c r="BK576" i="191"/>
  <c r="BD577" i="191"/>
  <c r="BE577" i="191"/>
  <c r="BF577" i="191"/>
  <c r="BG577" i="191"/>
  <c r="BH577" i="191"/>
  <c r="BI577" i="191"/>
  <c r="BJ577" i="191"/>
  <c r="BK577" i="191"/>
  <c r="BD578" i="191"/>
  <c r="BE578" i="191"/>
  <c r="BF578" i="191"/>
  <c r="BG578" i="191"/>
  <c r="BH578" i="191"/>
  <c r="BI578" i="191"/>
  <c r="BJ578" i="191"/>
  <c r="BK578" i="191"/>
  <c r="BD579" i="191"/>
  <c r="BE579" i="191"/>
  <c r="BF579" i="191"/>
  <c r="BG579" i="191"/>
  <c r="BH579" i="191"/>
  <c r="BI579" i="191"/>
  <c r="BJ579" i="191"/>
  <c r="BK579" i="191"/>
  <c r="BD580" i="191"/>
  <c r="BE580" i="191"/>
  <c r="BF580" i="191"/>
  <c r="BG580" i="191"/>
  <c r="BH580" i="191"/>
  <c r="BI580" i="191"/>
  <c r="BJ580" i="191"/>
  <c r="BK580" i="191"/>
  <c r="BD581" i="191"/>
  <c r="BE581" i="191"/>
  <c r="BF581" i="191"/>
  <c r="BG581" i="191"/>
  <c r="BH581" i="191"/>
  <c r="BI581" i="191"/>
  <c r="BJ581" i="191"/>
  <c r="BK581" i="191"/>
  <c r="BD582" i="191"/>
  <c r="BE582" i="191"/>
  <c r="BF582" i="191"/>
  <c r="BG582" i="191"/>
  <c r="BH582" i="191"/>
  <c r="BI582" i="191"/>
  <c r="BJ582" i="191"/>
  <c r="BK582" i="191"/>
  <c r="BD583" i="191"/>
  <c r="BE583" i="191"/>
  <c r="BF583" i="191"/>
  <c r="BG583" i="191"/>
  <c r="BH583" i="191"/>
  <c r="BI583" i="191"/>
  <c r="BJ583" i="191"/>
  <c r="BK583" i="191"/>
  <c r="BD584" i="191"/>
  <c r="BE584" i="191"/>
  <c r="BF584" i="191"/>
  <c r="BG584" i="191"/>
  <c r="BH584" i="191"/>
  <c r="BI584" i="191"/>
  <c r="BJ584" i="191"/>
  <c r="BK584" i="191"/>
  <c r="BD585" i="191"/>
  <c r="BE585" i="191"/>
  <c r="BF585" i="191"/>
  <c r="BG585" i="191"/>
  <c r="BH585" i="191"/>
  <c r="BI585" i="191"/>
  <c r="BJ585" i="191"/>
  <c r="BK585" i="191"/>
  <c r="BD586" i="191"/>
  <c r="BE586" i="191"/>
  <c r="BF586" i="191"/>
  <c r="BG586" i="191"/>
  <c r="BH586" i="191"/>
  <c r="BI586" i="191"/>
  <c r="BJ586" i="191"/>
  <c r="BK586" i="191"/>
  <c r="BD587" i="191"/>
  <c r="BE587" i="191"/>
  <c r="BF587" i="191"/>
  <c r="BG587" i="191"/>
  <c r="BH587" i="191"/>
  <c r="BI587" i="191"/>
  <c r="BJ587" i="191"/>
  <c r="BK587" i="191"/>
  <c r="BD588" i="191"/>
  <c r="BE588" i="191"/>
  <c r="BF588" i="191"/>
  <c r="BG588" i="191"/>
  <c r="BH588" i="191"/>
  <c r="BI588" i="191"/>
  <c r="BJ588" i="191"/>
  <c r="BK588" i="191"/>
  <c r="BD589" i="191"/>
  <c r="BE589" i="191"/>
  <c r="BF589" i="191"/>
  <c r="BG589" i="191"/>
  <c r="BH589" i="191"/>
  <c r="BI589" i="191"/>
  <c r="BJ589" i="191"/>
  <c r="BK589" i="191"/>
  <c r="BD590" i="191"/>
  <c r="BE590" i="191"/>
  <c r="BF590" i="191"/>
  <c r="BG590" i="191"/>
  <c r="BH590" i="191"/>
  <c r="BI590" i="191"/>
  <c r="BJ590" i="191"/>
  <c r="BK590" i="191"/>
  <c r="BD591" i="191"/>
  <c r="BE591" i="191"/>
  <c r="BF591" i="191"/>
  <c r="BG591" i="191"/>
  <c r="BH591" i="191"/>
  <c r="BI591" i="191"/>
  <c r="BJ591" i="191"/>
  <c r="BK591" i="191"/>
  <c r="BD592" i="191"/>
  <c r="BE592" i="191"/>
  <c r="BF592" i="191"/>
  <c r="BG592" i="191"/>
  <c r="BH592" i="191"/>
  <c r="BI592" i="191"/>
  <c r="BJ592" i="191"/>
  <c r="BK592" i="191"/>
  <c r="BD593" i="191"/>
  <c r="BE593" i="191"/>
  <c r="BF593" i="191"/>
  <c r="BG593" i="191"/>
  <c r="BH593" i="191"/>
  <c r="BI593" i="191"/>
  <c r="BJ593" i="191"/>
  <c r="BK593" i="191"/>
  <c r="BD594" i="191"/>
  <c r="BE594" i="191"/>
  <c r="BF594" i="191"/>
  <c r="BG594" i="191"/>
  <c r="BH594" i="191"/>
  <c r="BI594" i="191"/>
  <c r="BJ594" i="191"/>
  <c r="BK594" i="191"/>
  <c r="BD595" i="191"/>
  <c r="BE595" i="191"/>
  <c r="BF595" i="191"/>
  <c r="BG595" i="191"/>
  <c r="BH595" i="191"/>
  <c r="BI595" i="191"/>
  <c r="BJ595" i="191"/>
  <c r="BK595" i="191"/>
  <c r="BD596" i="191"/>
  <c r="BE596" i="191"/>
  <c r="BF596" i="191"/>
  <c r="BG596" i="191"/>
  <c r="BH596" i="191"/>
  <c r="BI596" i="191"/>
  <c r="BJ596" i="191"/>
  <c r="BK596" i="191"/>
  <c r="BD597" i="191"/>
  <c r="BE597" i="191"/>
  <c r="BF597" i="191"/>
  <c r="BG597" i="191"/>
  <c r="BH597" i="191"/>
  <c r="BI597" i="191"/>
  <c r="BJ597" i="191"/>
  <c r="BK597" i="191"/>
  <c r="BD598" i="191"/>
  <c r="BE598" i="191"/>
  <c r="BF598" i="191"/>
  <c r="BG598" i="191"/>
  <c r="BH598" i="191"/>
  <c r="BI598" i="191"/>
  <c r="BJ598" i="191"/>
  <c r="BK598" i="191"/>
  <c r="BD599" i="191"/>
  <c r="BE599" i="191"/>
  <c r="BF599" i="191"/>
  <c r="BG599" i="191"/>
  <c r="BH599" i="191"/>
  <c r="BI599" i="191"/>
  <c r="BJ599" i="191"/>
  <c r="BK599" i="191"/>
  <c r="BD600" i="191"/>
  <c r="BE600" i="191"/>
  <c r="BF600" i="191"/>
  <c r="BG600" i="191"/>
  <c r="BH600" i="191"/>
  <c r="BI600" i="191"/>
  <c r="BJ600" i="191"/>
  <c r="BK600" i="191"/>
  <c r="BD601" i="191"/>
  <c r="BE601" i="191"/>
  <c r="BF601" i="191"/>
  <c r="BG601" i="191"/>
  <c r="BH601" i="191"/>
  <c r="BI601" i="191"/>
  <c r="BJ601" i="191"/>
  <c r="BK601" i="191"/>
  <c r="BD602" i="191"/>
  <c r="BE602" i="191"/>
  <c r="BF602" i="191"/>
  <c r="BG602" i="191"/>
  <c r="BH602" i="191"/>
  <c r="BI602" i="191"/>
  <c r="BJ602" i="191"/>
  <c r="BK602" i="191"/>
  <c r="BD603" i="191"/>
  <c r="BE603" i="191"/>
  <c r="BF603" i="191"/>
  <c r="BG603" i="191"/>
  <c r="BH603" i="191"/>
  <c r="BI603" i="191"/>
  <c r="BJ603" i="191"/>
  <c r="BK603" i="191"/>
  <c r="BD604" i="191"/>
  <c r="BE604" i="191"/>
  <c r="BF604" i="191"/>
  <c r="BG604" i="191"/>
  <c r="BH604" i="191"/>
  <c r="BI604" i="191"/>
  <c r="BJ604" i="191"/>
  <c r="BK604" i="191"/>
  <c r="BD605" i="191"/>
  <c r="BE605" i="191"/>
  <c r="BF605" i="191"/>
  <c r="BG605" i="191"/>
  <c r="BH605" i="191"/>
  <c r="BI605" i="191"/>
  <c r="BJ605" i="191"/>
  <c r="BK605" i="191"/>
  <c r="BD606" i="191"/>
  <c r="BE606" i="191"/>
  <c r="BF606" i="191"/>
  <c r="BG606" i="191"/>
  <c r="BH606" i="191"/>
  <c r="BI606" i="191"/>
  <c r="BJ606" i="191"/>
  <c r="BK606" i="191"/>
  <c r="BD607" i="191"/>
  <c r="BE607" i="191"/>
  <c r="BF607" i="191"/>
  <c r="BG607" i="191"/>
  <c r="BH607" i="191"/>
  <c r="BI607" i="191"/>
  <c r="BJ607" i="191"/>
  <c r="BK607" i="191"/>
  <c r="BD608" i="191"/>
  <c r="BE608" i="191"/>
  <c r="BF608" i="191"/>
  <c r="BG608" i="191"/>
  <c r="BH608" i="191"/>
  <c r="BI608" i="191"/>
  <c r="BJ608" i="191"/>
  <c r="BK608" i="191"/>
  <c r="BD609" i="191"/>
  <c r="BE609" i="191"/>
  <c r="BF609" i="191"/>
  <c r="BG609" i="191"/>
  <c r="BH609" i="191"/>
  <c r="BI609" i="191"/>
  <c r="BJ609" i="191"/>
  <c r="BK609" i="191"/>
  <c r="BD610" i="191"/>
  <c r="BE610" i="191"/>
  <c r="BF610" i="191"/>
  <c r="BG610" i="191"/>
  <c r="BH610" i="191"/>
  <c r="BI610" i="191"/>
  <c r="BJ610" i="191"/>
  <c r="BK610" i="191"/>
  <c r="BD611" i="191"/>
  <c r="BE611" i="191"/>
  <c r="BF611" i="191"/>
  <c r="BG611" i="191"/>
  <c r="BH611" i="191"/>
  <c r="BI611" i="191"/>
  <c r="BJ611" i="191"/>
  <c r="BK611" i="191"/>
  <c r="BD612" i="191"/>
  <c r="BE612" i="191"/>
  <c r="BF612" i="191"/>
  <c r="BG612" i="191"/>
  <c r="BH612" i="191"/>
  <c r="BI612" i="191"/>
  <c r="BJ612" i="191"/>
  <c r="BK612" i="191"/>
  <c r="BD613" i="191"/>
  <c r="BE613" i="191"/>
  <c r="BF613" i="191"/>
  <c r="BG613" i="191"/>
  <c r="BH613" i="191"/>
  <c r="BI613" i="191"/>
  <c r="BJ613" i="191"/>
  <c r="BK613" i="191"/>
  <c r="BD614" i="191"/>
  <c r="BE614" i="191"/>
  <c r="BF614" i="191"/>
  <c r="BG614" i="191"/>
  <c r="BH614" i="191"/>
  <c r="BI614" i="191"/>
  <c r="BJ614" i="191"/>
  <c r="BK614" i="191"/>
  <c r="BD615" i="191"/>
  <c r="BE615" i="191"/>
  <c r="BF615" i="191"/>
  <c r="BG615" i="191"/>
  <c r="BH615" i="191"/>
  <c r="BI615" i="191"/>
  <c r="BJ615" i="191"/>
  <c r="BK615" i="191"/>
  <c r="BD616" i="191"/>
  <c r="BE616" i="191"/>
  <c r="BF616" i="191"/>
  <c r="BG616" i="191"/>
  <c r="BH616" i="191"/>
  <c r="BI616" i="191"/>
  <c r="BJ616" i="191"/>
  <c r="BK616" i="191"/>
  <c r="BD617" i="191"/>
  <c r="BE617" i="191"/>
  <c r="BF617" i="191"/>
  <c r="BG617" i="191"/>
  <c r="BH617" i="191"/>
  <c r="BI617" i="191"/>
  <c r="BJ617" i="191"/>
  <c r="BK617" i="191"/>
  <c r="BD618" i="191"/>
  <c r="BE618" i="191"/>
  <c r="BF618" i="191"/>
  <c r="BG618" i="191"/>
  <c r="BH618" i="191"/>
  <c r="BI618" i="191"/>
  <c r="BJ618" i="191"/>
  <c r="BK618" i="191"/>
  <c r="BD619" i="191"/>
  <c r="BE619" i="191"/>
  <c r="BF619" i="191"/>
  <c r="BG619" i="191"/>
  <c r="BH619" i="191"/>
  <c r="BI619" i="191"/>
  <c r="BJ619" i="191"/>
  <c r="BK619" i="191"/>
  <c r="BD620" i="191"/>
  <c r="BE620" i="191"/>
  <c r="BF620" i="191"/>
  <c r="BG620" i="191"/>
  <c r="BH620" i="191"/>
  <c r="BI620" i="191"/>
  <c r="BJ620" i="191"/>
  <c r="BK620" i="191"/>
  <c r="BD621" i="191"/>
  <c r="BE621" i="191"/>
  <c r="BF621" i="191"/>
  <c r="BG621" i="191"/>
  <c r="BH621" i="191"/>
  <c r="BI621" i="191"/>
  <c r="BJ621" i="191"/>
  <c r="BK621" i="191"/>
  <c r="BD622" i="191"/>
  <c r="BE622" i="191"/>
  <c r="BF622" i="191"/>
  <c r="BG622" i="191"/>
  <c r="BH622" i="191"/>
  <c r="BI622" i="191"/>
  <c r="BJ622" i="191"/>
  <c r="BK622" i="191"/>
  <c r="BD623" i="191"/>
  <c r="BE623" i="191"/>
  <c r="BF623" i="191"/>
  <c r="BG623" i="191"/>
  <c r="BH623" i="191"/>
  <c r="BI623" i="191"/>
  <c r="BJ623" i="191"/>
  <c r="BK623" i="191"/>
  <c r="BD624" i="191"/>
  <c r="BE624" i="191"/>
  <c r="BF624" i="191"/>
  <c r="BG624" i="191"/>
  <c r="BH624" i="191"/>
  <c r="BI624" i="191"/>
  <c r="BJ624" i="191"/>
  <c r="BK624" i="191"/>
  <c r="BD625" i="191"/>
  <c r="BE625" i="191"/>
  <c r="BF625" i="191"/>
  <c r="BG625" i="191"/>
  <c r="BH625" i="191"/>
  <c r="BI625" i="191"/>
  <c r="BJ625" i="191"/>
  <c r="BK625" i="191"/>
  <c r="BD626" i="191"/>
  <c r="BE626" i="191"/>
  <c r="BF626" i="191"/>
  <c r="BG626" i="191"/>
  <c r="BH626" i="191"/>
  <c r="BI626" i="191"/>
  <c r="BJ626" i="191"/>
  <c r="BK626" i="191"/>
  <c r="BD627" i="191"/>
  <c r="BE627" i="191"/>
  <c r="BF627" i="191"/>
  <c r="BG627" i="191"/>
  <c r="BH627" i="191"/>
  <c r="BI627" i="191"/>
  <c r="BJ627" i="191"/>
  <c r="BK627" i="191"/>
  <c r="BD628" i="191"/>
  <c r="BE628" i="191"/>
  <c r="BF628" i="191"/>
  <c r="BG628" i="191"/>
  <c r="BH628" i="191"/>
  <c r="BI628" i="191"/>
  <c r="BJ628" i="191"/>
  <c r="BK628" i="191"/>
  <c r="BD629" i="191"/>
  <c r="BE629" i="191"/>
  <c r="BF629" i="191"/>
  <c r="BG629" i="191"/>
  <c r="BH629" i="191"/>
  <c r="BI629" i="191"/>
  <c r="BJ629" i="191"/>
  <c r="BK629" i="191"/>
  <c r="BD630" i="191"/>
  <c r="BE630" i="191"/>
  <c r="BF630" i="191"/>
  <c r="BG630" i="191"/>
  <c r="BH630" i="191"/>
  <c r="BI630" i="191"/>
  <c r="BJ630" i="191"/>
  <c r="BK630" i="191"/>
  <c r="BD631" i="191"/>
  <c r="BE631" i="191"/>
  <c r="BF631" i="191"/>
  <c r="BG631" i="191"/>
  <c r="BH631" i="191"/>
  <c r="BI631" i="191"/>
  <c r="BJ631" i="191"/>
  <c r="BK631" i="191"/>
  <c r="BD632" i="191"/>
  <c r="BE632" i="191"/>
  <c r="BF632" i="191"/>
  <c r="BG632" i="191"/>
  <c r="BH632" i="191"/>
  <c r="BI632" i="191"/>
  <c r="BJ632" i="191"/>
  <c r="BK632" i="191"/>
  <c r="BD633" i="191"/>
  <c r="BE633" i="191"/>
  <c r="BF633" i="191"/>
  <c r="BG633" i="191"/>
  <c r="BH633" i="191"/>
  <c r="BI633" i="191"/>
  <c r="BJ633" i="191"/>
  <c r="BK633" i="191"/>
  <c r="BD634" i="191"/>
  <c r="BE634" i="191"/>
  <c r="BF634" i="191"/>
  <c r="BG634" i="191"/>
  <c r="BH634" i="191"/>
  <c r="BI634" i="191"/>
  <c r="BJ634" i="191"/>
  <c r="BK634" i="191"/>
  <c r="BD635" i="191"/>
  <c r="BE635" i="191"/>
  <c r="BF635" i="191"/>
  <c r="BG635" i="191"/>
  <c r="BH635" i="191"/>
  <c r="BI635" i="191"/>
  <c r="BJ635" i="191"/>
  <c r="BK635" i="191"/>
  <c r="BD636" i="191"/>
  <c r="BE636" i="191"/>
  <c r="BF636" i="191"/>
  <c r="BG636" i="191"/>
  <c r="BH636" i="191"/>
  <c r="BI636" i="191"/>
  <c r="BJ636" i="191"/>
  <c r="BK636" i="191"/>
  <c r="BD637" i="191"/>
  <c r="BE637" i="191"/>
  <c r="BF637" i="191"/>
  <c r="BG637" i="191"/>
  <c r="BH637" i="191"/>
  <c r="BI637" i="191"/>
  <c r="BJ637" i="191"/>
  <c r="BK637" i="191"/>
  <c r="BD638" i="191"/>
  <c r="BE638" i="191"/>
  <c r="BF638" i="191"/>
  <c r="BG638" i="191"/>
  <c r="BH638" i="191"/>
  <c r="BI638" i="191"/>
  <c r="BJ638" i="191"/>
  <c r="BK638" i="191"/>
  <c r="BD639" i="191"/>
  <c r="BE639" i="191"/>
  <c r="BF639" i="191"/>
  <c r="BG639" i="191"/>
  <c r="BH639" i="191"/>
  <c r="BI639" i="191"/>
  <c r="BJ639" i="191"/>
  <c r="BK639" i="191"/>
  <c r="BD640" i="191"/>
  <c r="BE640" i="191"/>
  <c r="BF640" i="191"/>
  <c r="BG640" i="191"/>
  <c r="BH640" i="191"/>
  <c r="BI640" i="191"/>
  <c r="BJ640" i="191"/>
  <c r="BK640" i="191"/>
  <c r="BD641" i="191"/>
  <c r="BE641" i="191"/>
  <c r="BF641" i="191"/>
  <c r="BG641" i="191"/>
  <c r="BH641" i="191"/>
  <c r="BI641" i="191"/>
  <c r="BJ641" i="191"/>
  <c r="BK641" i="191"/>
  <c r="BD642" i="191"/>
  <c r="BE642" i="191"/>
  <c r="BF642" i="191"/>
  <c r="BG642" i="191"/>
  <c r="BH642" i="191"/>
  <c r="BI642" i="191"/>
  <c r="BJ642" i="191"/>
  <c r="BK642" i="191"/>
  <c r="BD643" i="191"/>
  <c r="BE643" i="191"/>
  <c r="BF643" i="191"/>
  <c r="BG643" i="191"/>
  <c r="BH643" i="191"/>
  <c r="BI643" i="191"/>
  <c r="BJ643" i="191"/>
  <c r="BK643" i="191"/>
  <c r="BD644" i="191"/>
  <c r="BE644" i="191"/>
  <c r="BF644" i="191"/>
  <c r="BG644" i="191"/>
  <c r="BH644" i="191"/>
  <c r="BI644" i="191"/>
  <c r="BJ644" i="191"/>
  <c r="BK644" i="191"/>
  <c r="BD645" i="191"/>
  <c r="BE645" i="191"/>
  <c r="BF645" i="191"/>
  <c r="BG645" i="191"/>
  <c r="BH645" i="191"/>
  <c r="BI645" i="191"/>
  <c r="BJ645" i="191"/>
  <c r="BK645" i="191"/>
  <c r="BD646" i="191"/>
  <c r="BE646" i="191"/>
  <c r="BF646" i="191"/>
  <c r="BG646" i="191"/>
  <c r="BH646" i="191"/>
  <c r="BI646" i="191"/>
  <c r="BJ646" i="191"/>
  <c r="BK646" i="191"/>
  <c r="BD647" i="191"/>
  <c r="BE647" i="191"/>
  <c r="BF647" i="191"/>
  <c r="BG647" i="191"/>
  <c r="BH647" i="191"/>
  <c r="BI647" i="191"/>
  <c r="BJ647" i="191"/>
  <c r="BK647" i="191"/>
  <c r="BD648" i="191"/>
  <c r="BE648" i="191"/>
  <c r="BF648" i="191"/>
  <c r="BG648" i="191"/>
  <c r="BH648" i="191"/>
  <c r="BI648" i="191"/>
  <c r="BJ648" i="191"/>
  <c r="BK648" i="191"/>
  <c r="BD649" i="191"/>
  <c r="BE649" i="191"/>
  <c r="BF649" i="191"/>
  <c r="BG649" i="191"/>
  <c r="BH649" i="191"/>
  <c r="BI649" i="191"/>
  <c r="BJ649" i="191"/>
  <c r="BK649" i="191"/>
  <c r="BD650" i="191"/>
  <c r="BE650" i="191"/>
  <c r="BF650" i="191"/>
  <c r="BG650" i="191"/>
  <c r="BH650" i="191"/>
  <c r="BI650" i="191"/>
  <c r="BJ650" i="191"/>
  <c r="BK650" i="191"/>
  <c r="BD651" i="191"/>
  <c r="BE651" i="191"/>
  <c r="BF651" i="191"/>
  <c r="BG651" i="191"/>
  <c r="BH651" i="191"/>
  <c r="BI651" i="191"/>
  <c r="BJ651" i="191"/>
  <c r="BK651" i="191"/>
  <c r="BD652" i="191"/>
  <c r="BE652" i="191"/>
  <c r="BF652" i="191"/>
  <c r="BG652" i="191"/>
  <c r="BH652" i="191"/>
  <c r="BI652" i="191"/>
  <c r="BJ652" i="191"/>
  <c r="BK652" i="191"/>
  <c r="BD653" i="191"/>
  <c r="BE653" i="191"/>
  <c r="BF653" i="191"/>
  <c r="BG653" i="191"/>
  <c r="BH653" i="191"/>
  <c r="BI653" i="191"/>
  <c r="BJ653" i="191"/>
  <c r="BK653" i="191"/>
  <c r="BD654" i="191"/>
  <c r="BE654" i="191"/>
  <c r="BF654" i="191"/>
  <c r="BG654" i="191"/>
  <c r="BH654" i="191"/>
  <c r="BI654" i="191"/>
  <c r="BJ654" i="191"/>
  <c r="BK654" i="191"/>
  <c r="BD655" i="191"/>
  <c r="BE655" i="191"/>
  <c r="BF655" i="191"/>
  <c r="BG655" i="191"/>
  <c r="BH655" i="191"/>
  <c r="BI655" i="191"/>
  <c r="BJ655" i="191"/>
  <c r="BK655" i="191"/>
  <c r="BD656" i="191"/>
  <c r="BE656" i="191"/>
  <c r="BF656" i="191"/>
  <c r="BG656" i="191"/>
  <c r="BH656" i="191"/>
  <c r="BI656" i="191"/>
  <c r="BJ656" i="191"/>
  <c r="BK656" i="191"/>
  <c r="BD657" i="191"/>
  <c r="BE657" i="191"/>
  <c r="BF657" i="191"/>
  <c r="BG657" i="191"/>
  <c r="BH657" i="191"/>
  <c r="BI657" i="191"/>
  <c r="BJ657" i="191"/>
  <c r="BK657" i="191"/>
  <c r="BD658" i="191"/>
  <c r="BE658" i="191"/>
  <c r="BF658" i="191"/>
  <c r="BG658" i="191"/>
  <c r="BH658" i="191"/>
  <c r="BI658" i="191"/>
  <c r="BJ658" i="191"/>
  <c r="BK658" i="191"/>
  <c r="BD659" i="191"/>
  <c r="BE659" i="191"/>
  <c r="BF659" i="191"/>
  <c r="BG659" i="191"/>
  <c r="BH659" i="191"/>
  <c r="BI659" i="191"/>
  <c r="BJ659" i="191"/>
  <c r="BK659" i="191"/>
  <c r="BD660" i="191"/>
  <c r="BE660" i="191"/>
  <c r="BF660" i="191"/>
  <c r="BG660" i="191"/>
  <c r="BH660" i="191"/>
  <c r="BI660" i="191"/>
  <c r="BJ660" i="191"/>
  <c r="BK660" i="191"/>
  <c r="BD661" i="191"/>
  <c r="BE661" i="191"/>
  <c r="BF661" i="191"/>
  <c r="BG661" i="191"/>
  <c r="BH661" i="191"/>
  <c r="BI661" i="191"/>
  <c r="BJ661" i="191"/>
  <c r="BK661" i="191"/>
  <c r="BD662" i="191"/>
  <c r="BE662" i="191"/>
  <c r="BF662" i="191"/>
  <c r="BG662" i="191"/>
  <c r="BH662" i="191"/>
  <c r="BI662" i="191"/>
  <c r="BJ662" i="191"/>
  <c r="BK662" i="191"/>
  <c r="BD663" i="191"/>
  <c r="BE663" i="191"/>
  <c r="BF663" i="191"/>
  <c r="BG663" i="191"/>
  <c r="BH663" i="191"/>
  <c r="BI663" i="191"/>
  <c r="BJ663" i="191"/>
  <c r="BK663" i="191"/>
  <c r="BD664" i="191"/>
  <c r="BE664" i="191"/>
  <c r="BF664" i="191"/>
  <c r="BG664" i="191"/>
  <c r="BH664" i="191"/>
  <c r="BI664" i="191"/>
  <c r="BJ664" i="191"/>
  <c r="BK664" i="191"/>
  <c r="BD665" i="191"/>
  <c r="BE665" i="191"/>
  <c r="BF665" i="191"/>
  <c r="BG665" i="191"/>
  <c r="BH665" i="191"/>
  <c r="BI665" i="191"/>
  <c r="BJ665" i="191"/>
  <c r="BK665" i="191"/>
  <c r="BD666" i="191"/>
  <c r="BE666" i="191"/>
  <c r="BF666" i="191"/>
  <c r="BG666" i="191"/>
  <c r="BH666" i="191"/>
  <c r="BI666" i="191"/>
  <c r="BJ666" i="191"/>
  <c r="BK666" i="191"/>
  <c r="BD667" i="191"/>
  <c r="BE667" i="191"/>
  <c r="BF667" i="191"/>
  <c r="BG667" i="191"/>
  <c r="BH667" i="191"/>
  <c r="BI667" i="191"/>
  <c r="BJ667" i="191"/>
  <c r="BK667" i="191"/>
  <c r="BD668" i="191"/>
  <c r="BE668" i="191"/>
  <c r="BF668" i="191"/>
  <c r="BG668" i="191"/>
  <c r="BH668" i="191"/>
  <c r="BI668" i="191"/>
  <c r="BJ668" i="191"/>
  <c r="BK668" i="191"/>
  <c r="BD669" i="191"/>
  <c r="BE669" i="191"/>
  <c r="BF669" i="191"/>
  <c r="BG669" i="191"/>
  <c r="BH669" i="191"/>
  <c r="BI669" i="191"/>
  <c r="BJ669" i="191"/>
  <c r="BK669" i="191"/>
  <c r="BD670" i="191"/>
  <c r="BE670" i="191"/>
  <c r="BF670" i="191"/>
  <c r="BG670" i="191"/>
  <c r="BH670" i="191"/>
  <c r="BI670" i="191"/>
  <c r="BJ670" i="191"/>
  <c r="BK670" i="191"/>
  <c r="BD671" i="191"/>
  <c r="BE671" i="191"/>
  <c r="BF671" i="191"/>
  <c r="BG671" i="191"/>
  <c r="BH671" i="191"/>
  <c r="BI671" i="191"/>
  <c r="BJ671" i="191"/>
  <c r="BK671" i="191"/>
  <c r="BD672" i="191"/>
  <c r="BE672" i="191"/>
  <c r="BF672" i="191"/>
  <c r="BG672" i="191"/>
  <c r="BH672" i="191"/>
  <c r="BI672" i="191"/>
  <c r="BJ672" i="191"/>
  <c r="BK672" i="191"/>
  <c r="BD673" i="191"/>
  <c r="BE673" i="191"/>
  <c r="BF673" i="191"/>
  <c r="BG673" i="191"/>
  <c r="BH673" i="191"/>
  <c r="BI673" i="191"/>
  <c r="BJ673" i="191"/>
  <c r="BK673" i="191"/>
  <c r="BD674" i="191"/>
  <c r="BE674" i="191"/>
  <c r="BF674" i="191"/>
  <c r="BG674" i="191"/>
  <c r="BH674" i="191"/>
  <c r="BI674" i="191"/>
  <c r="BJ674" i="191"/>
  <c r="BK674" i="191"/>
  <c r="BD675" i="191"/>
  <c r="BE675" i="191"/>
  <c r="BF675" i="191"/>
  <c r="BG675" i="191"/>
  <c r="BH675" i="191"/>
  <c r="BI675" i="191"/>
  <c r="BJ675" i="191"/>
  <c r="BK675" i="191"/>
  <c r="BD676" i="191"/>
  <c r="BE676" i="191"/>
  <c r="BF676" i="191"/>
  <c r="BG676" i="191"/>
  <c r="BH676" i="191"/>
  <c r="BI676" i="191"/>
  <c r="BJ676" i="191"/>
  <c r="BK676" i="191"/>
  <c r="BD677" i="191"/>
  <c r="BE677" i="191"/>
  <c r="BF677" i="191"/>
  <c r="BG677" i="191"/>
  <c r="BH677" i="191"/>
  <c r="BI677" i="191"/>
  <c r="BJ677" i="191"/>
  <c r="BK677" i="191"/>
  <c r="BD678" i="191"/>
  <c r="BE678" i="191"/>
  <c r="BF678" i="191"/>
  <c r="BG678" i="191"/>
  <c r="BH678" i="191"/>
  <c r="BI678" i="191"/>
  <c r="BJ678" i="191"/>
  <c r="BK678" i="191"/>
  <c r="BD679" i="191"/>
  <c r="BE679" i="191"/>
  <c r="BF679" i="191"/>
  <c r="BG679" i="191"/>
  <c r="BH679" i="191"/>
  <c r="BI679" i="191"/>
  <c r="BJ679" i="191"/>
  <c r="BK679" i="191"/>
  <c r="BD680" i="191"/>
  <c r="BE680" i="191"/>
  <c r="BF680" i="191"/>
  <c r="BG680" i="191"/>
  <c r="BH680" i="191"/>
  <c r="BI680" i="191"/>
  <c r="BJ680" i="191"/>
  <c r="BK680" i="191"/>
  <c r="BD681" i="191"/>
  <c r="BE681" i="191"/>
  <c r="BF681" i="191"/>
  <c r="BG681" i="191"/>
  <c r="BH681" i="191"/>
  <c r="BI681" i="191"/>
  <c r="BJ681" i="191"/>
  <c r="BK681" i="191"/>
  <c r="BD682" i="191"/>
  <c r="BE682" i="191"/>
  <c r="BF682" i="191"/>
  <c r="BG682" i="191"/>
  <c r="BH682" i="191"/>
  <c r="BI682" i="191"/>
  <c r="BJ682" i="191"/>
  <c r="BK682" i="191"/>
  <c r="BD683" i="191"/>
  <c r="BE683" i="191"/>
  <c r="BF683" i="191"/>
  <c r="BG683" i="191"/>
  <c r="BH683" i="191"/>
  <c r="BI683" i="191"/>
  <c r="BJ683" i="191"/>
  <c r="BK683" i="191"/>
  <c r="BD684" i="191"/>
  <c r="BE684" i="191"/>
  <c r="BF684" i="191"/>
  <c r="BG684" i="191"/>
  <c r="BH684" i="191"/>
  <c r="BI684" i="191"/>
  <c r="BJ684" i="191"/>
  <c r="BK684" i="191"/>
  <c r="BD685" i="191"/>
  <c r="BE685" i="191"/>
  <c r="BF685" i="191"/>
  <c r="BG685" i="191"/>
  <c r="BH685" i="191"/>
  <c r="BI685" i="191"/>
  <c r="BJ685" i="191"/>
  <c r="BK685" i="191"/>
  <c r="BD686" i="191"/>
  <c r="BE686" i="191"/>
  <c r="BF686" i="191"/>
  <c r="BG686" i="191"/>
  <c r="BH686" i="191"/>
  <c r="BI686" i="191"/>
  <c r="BJ686" i="191"/>
  <c r="BK686" i="191"/>
  <c r="BD687" i="191"/>
  <c r="BE687" i="191"/>
  <c r="BF687" i="191"/>
  <c r="BG687" i="191"/>
  <c r="BH687" i="191"/>
  <c r="BI687" i="191"/>
  <c r="BJ687" i="191"/>
  <c r="BK687" i="191"/>
  <c r="BD688" i="191"/>
  <c r="BE688" i="191"/>
  <c r="BF688" i="191"/>
  <c r="BG688" i="191"/>
  <c r="BH688" i="191"/>
  <c r="BI688" i="191"/>
  <c r="BJ688" i="191"/>
  <c r="BK688" i="191"/>
  <c r="BD689" i="191"/>
  <c r="BE689" i="191"/>
  <c r="BF689" i="191"/>
  <c r="BG689" i="191"/>
  <c r="BH689" i="191"/>
  <c r="BI689" i="191"/>
  <c r="BJ689" i="191"/>
  <c r="BK689" i="191"/>
  <c r="BD690" i="191"/>
  <c r="BE690" i="191"/>
  <c r="BF690" i="191"/>
  <c r="BG690" i="191"/>
  <c r="BH690" i="191"/>
  <c r="BI690" i="191"/>
  <c r="BJ690" i="191"/>
  <c r="BK690" i="191"/>
  <c r="BD691" i="191"/>
  <c r="BE691" i="191"/>
  <c r="BF691" i="191"/>
  <c r="BG691" i="191"/>
  <c r="BH691" i="191"/>
  <c r="BI691" i="191"/>
  <c r="BJ691" i="191"/>
  <c r="BK691" i="191"/>
  <c r="BD692" i="191"/>
  <c r="BE692" i="191"/>
  <c r="BF692" i="191"/>
  <c r="BG692" i="191"/>
  <c r="BH692" i="191"/>
  <c r="BI692" i="191"/>
  <c r="BJ692" i="191"/>
  <c r="BK692" i="191"/>
  <c r="BD693" i="191"/>
  <c r="BE693" i="191"/>
  <c r="BF693" i="191"/>
  <c r="BG693" i="191"/>
  <c r="BH693" i="191"/>
  <c r="BI693" i="191"/>
  <c r="BJ693" i="191"/>
  <c r="BK693" i="191"/>
  <c r="BD694" i="191"/>
  <c r="BE694" i="191"/>
  <c r="BF694" i="191"/>
  <c r="BG694" i="191"/>
  <c r="BH694" i="191"/>
  <c r="BI694" i="191"/>
  <c r="BJ694" i="191"/>
  <c r="BK694" i="191"/>
  <c r="BD695" i="191"/>
  <c r="BE695" i="191"/>
  <c r="BF695" i="191"/>
  <c r="BG695" i="191"/>
  <c r="BH695" i="191"/>
  <c r="BI695" i="191"/>
  <c r="BJ695" i="191"/>
  <c r="BK695" i="191"/>
  <c r="BD696" i="191"/>
  <c r="BE696" i="191"/>
  <c r="BF696" i="191"/>
  <c r="BG696" i="191"/>
  <c r="BH696" i="191"/>
  <c r="BI696" i="191"/>
  <c r="BJ696" i="191"/>
  <c r="BK696" i="191"/>
  <c r="BD697" i="191"/>
  <c r="BE697" i="191"/>
  <c r="BF697" i="191"/>
  <c r="BG697" i="191"/>
  <c r="BH697" i="191"/>
  <c r="BI697" i="191"/>
  <c r="BJ697" i="191"/>
  <c r="BK697" i="191"/>
  <c r="BD698" i="191"/>
  <c r="BE698" i="191"/>
  <c r="BF698" i="191"/>
  <c r="BG698" i="191"/>
  <c r="BH698" i="191"/>
  <c r="BI698" i="191"/>
  <c r="BJ698" i="191"/>
  <c r="BK698" i="191"/>
  <c r="BD699" i="191"/>
  <c r="BE699" i="191"/>
  <c r="BF699" i="191"/>
  <c r="BG699" i="191"/>
  <c r="BH699" i="191"/>
  <c r="BI699" i="191"/>
  <c r="BJ699" i="191"/>
  <c r="BK699" i="191"/>
  <c r="BD700" i="191"/>
  <c r="BE700" i="191"/>
  <c r="BF700" i="191"/>
  <c r="BG700" i="191"/>
  <c r="BH700" i="191"/>
  <c r="BI700" i="191"/>
  <c r="BJ700" i="191"/>
  <c r="BK700" i="191"/>
  <c r="BD701" i="191"/>
  <c r="BE701" i="191"/>
  <c r="BF701" i="191"/>
  <c r="BG701" i="191"/>
  <c r="BH701" i="191"/>
  <c r="BI701" i="191"/>
  <c r="BJ701" i="191"/>
  <c r="BK701" i="191"/>
  <c r="BD702" i="191"/>
  <c r="BE702" i="191"/>
  <c r="BF702" i="191"/>
  <c r="BG702" i="191"/>
  <c r="BH702" i="191"/>
  <c r="BI702" i="191"/>
  <c r="BJ702" i="191"/>
  <c r="BK702" i="191"/>
  <c r="BD703" i="191"/>
  <c r="BE703" i="191"/>
  <c r="BF703" i="191"/>
  <c r="BG703" i="191"/>
  <c r="BH703" i="191"/>
  <c r="BI703" i="191"/>
  <c r="BJ703" i="191"/>
  <c r="BK703" i="191"/>
  <c r="BD704" i="191"/>
  <c r="BE704" i="191"/>
  <c r="BF704" i="191"/>
  <c r="BG704" i="191"/>
  <c r="BH704" i="191"/>
  <c r="BI704" i="191"/>
  <c r="BJ704" i="191"/>
  <c r="BK704" i="191"/>
  <c r="BD705" i="191"/>
  <c r="BE705" i="191"/>
  <c r="BF705" i="191"/>
  <c r="BG705" i="191"/>
  <c r="BH705" i="191"/>
  <c r="BI705" i="191"/>
  <c r="BJ705" i="191"/>
  <c r="BK705" i="191"/>
  <c r="BD706" i="191"/>
  <c r="BE706" i="191"/>
  <c r="BF706" i="191"/>
  <c r="BG706" i="191"/>
  <c r="BH706" i="191"/>
  <c r="BI706" i="191"/>
  <c r="BJ706" i="191"/>
  <c r="BK706" i="191"/>
  <c r="BD707" i="191"/>
  <c r="BE707" i="191"/>
  <c r="BF707" i="191"/>
  <c r="BG707" i="191"/>
  <c r="BH707" i="191"/>
  <c r="BI707" i="191"/>
  <c r="BJ707" i="191"/>
  <c r="BK707" i="191"/>
  <c r="BD708" i="191"/>
  <c r="BE708" i="191"/>
  <c r="BF708" i="191"/>
  <c r="BG708" i="191"/>
  <c r="BH708" i="191"/>
  <c r="BI708" i="191"/>
  <c r="BJ708" i="191"/>
  <c r="BK708" i="191"/>
  <c r="BD709" i="191"/>
  <c r="BE709" i="191"/>
  <c r="BF709" i="191"/>
  <c r="BG709" i="191"/>
  <c r="BH709" i="191"/>
  <c r="BI709" i="191"/>
  <c r="BJ709" i="191"/>
  <c r="BK709" i="191"/>
  <c r="BD710" i="191"/>
  <c r="BE710" i="191"/>
  <c r="BF710" i="191"/>
  <c r="BG710" i="191"/>
  <c r="BH710" i="191"/>
  <c r="BI710" i="191"/>
  <c r="BJ710" i="191"/>
  <c r="BK710" i="191"/>
  <c r="BD711" i="191"/>
  <c r="BE711" i="191"/>
  <c r="BF711" i="191"/>
  <c r="BG711" i="191"/>
  <c r="BH711" i="191"/>
  <c r="BI711" i="191"/>
  <c r="BJ711" i="191"/>
  <c r="BK711" i="191"/>
  <c r="BD712" i="191"/>
  <c r="BE712" i="191"/>
  <c r="BF712" i="191"/>
  <c r="BG712" i="191"/>
  <c r="BH712" i="191"/>
  <c r="BI712" i="191"/>
  <c r="BJ712" i="191"/>
  <c r="BK712" i="191"/>
  <c r="BD713" i="191"/>
  <c r="BE713" i="191"/>
  <c r="BF713" i="191"/>
  <c r="BG713" i="191"/>
  <c r="BH713" i="191"/>
  <c r="BI713" i="191"/>
  <c r="BJ713" i="191"/>
  <c r="BK713" i="191"/>
  <c r="BD714" i="191"/>
  <c r="BE714" i="191"/>
  <c r="BF714" i="191"/>
  <c r="BG714" i="191"/>
  <c r="BH714" i="191"/>
  <c r="BI714" i="191"/>
  <c r="BJ714" i="191"/>
  <c r="BK714" i="191"/>
  <c r="BD715" i="191"/>
  <c r="BE715" i="191"/>
  <c r="BF715" i="191"/>
  <c r="BG715" i="191"/>
  <c r="BH715" i="191"/>
  <c r="BI715" i="191"/>
  <c r="BJ715" i="191"/>
  <c r="BK715" i="191"/>
  <c r="BD716" i="191"/>
  <c r="BE716" i="191"/>
  <c r="BF716" i="191"/>
  <c r="BG716" i="191"/>
  <c r="BH716" i="191"/>
  <c r="BI716" i="191"/>
  <c r="BJ716" i="191"/>
  <c r="BK716" i="191"/>
  <c r="BD717" i="191"/>
  <c r="BE717" i="191"/>
  <c r="BF717" i="191"/>
  <c r="BG717" i="191"/>
  <c r="BH717" i="191"/>
  <c r="BI717" i="191"/>
  <c r="BJ717" i="191"/>
  <c r="BK717" i="191"/>
  <c r="BD718" i="191"/>
  <c r="BE718" i="191"/>
  <c r="BF718" i="191"/>
  <c r="BG718" i="191"/>
  <c r="BH718" i="191"/>
  <c r="BI718" i="191"/>
  <c r="BJ718" i="191"/>
  <c r="BK718" i="191"/>
  <c r="BD719" i="191"/>
  <c r="BE719" i="191"/>
  <c r="BF719" i="191"/>
  <c r="BG719" i="191"/>
  <c r="BH719" i="191"/>
  <c r="BI719" i="191"/>
  <c r="BJ719" i="191"/>
  <c r="BK719" i="191"/>
  <c r="BD720" i="191"/>
  <c r="BE720" i="191"/>
  <c r="BF720" i="191"/>
  <c r="BG720" i="191"/>
  <c r="BH720" i="191"/>
  <c r="BI720" i="191"/>
  <c r="BJ720" i="191"/>
  <c r="BK720" i="191"/>
  <c r="BD721" i="191"/>
  <c r="BE721" i="191"/>
  <c r="BF721" i="191"/>
  <c r="BG721" i="191"/>
  <c r="BH721" i="191"/>
  <c r="BI721" i="191"/>
  <c r="BJ721" i="191"/>
  <c r="BK721" i="191"/>
  <c r="BD722" i="191"/>
  <c r="BE722" i="191"/>
  <c r="BF722" i="191"/>
  <c r="BG722" i="191"/>
  <c r="BH722" i="191"/>
  <c r="BI722" i="191"/>
  <c r="BJ722" i="191"/>
  <c r="BK722" i="191"/>
  <c r="BD723" i="191"/>
  <c r="BE723" i="191"/>
  <c r="BF723" i="191"/>
  <c r="BG723" i="191"/>
  <c r="BH723" i="191"/>
  <c r="BI723" i="191"/>
  <c r="BJ723" i="191"/>
  <c r="BK723" i="191"/>
  <c r="BD724" i="191"/>
  <c r="BE724" i="191"/>
  <c r="BF724" i="191"/>
  <c r="BG724" i="191"/>
  <c r="BH724" i="191"/>
  <c r="BI724" i="191"/>
  <c r="BJ724" i="191"/>
  <c r="BK724" i="191"/>
  <c r="BD725" i="191"/>
  <c r="BE725" i="191"/>
  <c r="BF725" i="191"/>
  <c r="BG725" i="191"/>
  <c r="BH725" i="191"/>
  <c r="BI725" i="191"/>
  <c r="BJ725" i="191"/>
  <c r="BK725" i="191"/>
  <c r="BD726" i="191"/>
  <c r="BE726" i="191"/>
  <c r="BF726" i="191"/>
  <c r="BG726" i="191"/>
  <c r="BH726" i="191"/>
  <c r="BI726" i="191"/>
  <c r="BJ726" i="191"/>
  <c r="BK726" i="191"/>
  <c r="BD727" i="191"/>
  <c r="BE727" i="191"/>
  <c r="BF727" i="191"/>
  <c r="BG727" i="191"/>
  <c r="BH727" i="191"/>
  <c r="BI727" i="191"/>
  <c r="BJ727" i="191"/>
  <c r="BK727" i="191"/>
  <c r="BD728" i="191"/>
  <c r="BE728" i="191"/>
  <c r="BF728" i="191"/>
  <c r="BG728" i="191"/>
  <c r="BH728" i="191"/>
  <c r="BI728" i="191"/>
  <c r="BJ728" i="191"/>
  <c r="BK728" i="191"/>
  <c r="BD729" i="191"/>
  <c r="BE729" i="191"/>
  <c r="BF729" i="191"/>
  <c r="BG729" i="191"/>
  <c r="BH729" i="191"/>
  <c r="BI729" i="191"/>
  <c r="BJ729" i="191"/>
  <c r="BK729" i="191"/>
  <c r="BD730" i="191"/>
  <c r="BE730" i="191"/>
  <c r="BF730" i="191"/>
  <c r="BG730" i="191"/>
  <c r="BH730" i="191"/>
  <c r="BI730" i="191"/>
  <c r="BJ730" i="191"/>
  <c r="BK730" i="191"/>
  <c r="BD731" i="191"/>
  <c r="BE731" i="191"/>
  <c r="BF731" i="191"/>
  <c r="BG731" i="191"/>
  <c r="BH731" i="191"/>
  <c r="BI731" i="191"/>
  <c r="BJ731" i="191"/>
  <c r="BK731" i="191"/>
  <c r="BD732" i="191"/>
  <c r="BE732" i="191"/>
  <c r="BF732" i="191"/>
  <c r="BG732" i="191"/>
  <c r="BH732" i="191"/>
  <c r="BI732" i="191"/>
  <c r="BJ732" i="191"/>
  <c r="BK732" i="191"/>
  <c r="BD733" i="191"/>
  <c r="BE733" i="191"/>
  <c r="BF733" i="191"/>
  <c r="BG733" i="191"/>
  <c r="BH733" i="191"/>
  <c r="BI733" i="191"/>
  <c r="BJ733" i="191"/>
  <c r="BK733" i="191"/>
  <c r="BD734" i="191"/>
  <c r="BE734" i="191"/>
  <c r="BF734" i="191"/>
  <c r="BG734" i="191"/>
  <c r="BH734" i="191"/>
  <c r="BI734" i="191"/>
  <c r="BJ734" i="191"/>
  <c r="BK734" i="191"/>
  <c r="BD735" i="191"/>
  <c r="BE735" i="191"/>
  <c r="BF735" i="191"/>
  <c r="BG735" i="191"/>
  <c r="BH735" i="191"/>
  <c r="BI735" i="191"/>
  <c r="BJ735" i="191"/>
  <c r="BK735" i="191"/>
  <c r="BD736" i="191"/>
  <c r="BE736" i="191"/>
  <c r="BF736" i="191"/>
  <c r="BG736" i="191"/>
  <c r="BH736" i="191"/>
  <c r="BI736" i="191"/>
  <c r="BJ736" i="191"/>
  <c r="BK736" i="191"/>
  <c r="BD737" i="191"/>
  <c r="BE737" i="191"/>
  <c r="BF737" i="191"/>
  <c r="BG737" i="191"/>
  <c r="BH737" i="191"/>
  <c r="BI737" i="191"/>
  <c r="BJ737" i="191"/>
  <c r="BK737" i="191"/>
  <c r="BD738" i="191"/>
  <c r="BE738" i="191"/>
  <c r="BF738" i="191"/>
  <c r="BG738" i="191"/>
  <c r="BH738" i="191"/>
  <c r="BI738" i="191"/>
  <c r="BJ738" i="191"/>
  <c r="BK738" i="191"/>
  <c r="BD739" i="191"/>
  <c r="BE739" i="191"/>
  <c r="BF739" i="191"/>
  <c r="BG739" i="191"/>
  <c r="BH739" i="191"/>
  <c r="BI739" i="191"/>
  <c r="BJ739" i="191"/>
  <c r="BK739" i="191"/>
  <c r="BD740" i="191"/>
  <c r="BE740" i="191"/>
  <c r="BF740" i="191"/>
  <c r="BG740" i="191"/>
  <c r="BH740" i="191"/>
  <c r="BI740" i="191"/>
  <c r="BJ740" i="191"/>
  <c r="BK740" i="191"/>
  <c r="BD741" i="191"/>
  <c r="BE741" i="191"/>
  <c r="BF741" i="191"/>
  <c r="BG741" i="191"/>
  <c r="BH741" i="191"/>
  <c r="BI741" i="191"/>
  <c r="BJ741" i="191"/>
  <c r="BK741" i="191"/>
  <c r="BD742" i="191"/>
  <c r="BE742" i="191"/>
  <c r="BF742" i="191"/>
  <c r="BG742" i="191"/>
  <c r="BH742" i="191"/>
  <c r="BI742" i="191"/>
  <c r="BJ742" i="191"/>
  <c r="BK742" i="191"/>
  <c r="BD743" i="191"/>
  <c r="BE743" i="191"/>
  <c r="BF743" i="191"/>
  <c r="BG743" i="191"/>
  <c r="BH743" i="191"/>
  <c r="BI743" i="191"/>
  <c r="BJ743" i="191"/>
  <c r="BK743" i="191"/>
  <c r="BD744" i="191"/>
  <c r="BE744" i="191"/>
  <c r="BF744" i="191"/>
  <c r="BG744" i="191"/>
  <c r="BH744" i="191"/>
  <c r="BI744" i="191"/>
  <c r="BJ744" i="191"/>
  <c r="BK744" i="191"/>
  <c r="BD745" i="191"/>
  <c r="BE745" i="191"/>
  <c r="BF745" i="191"/>
  <c r="BG745" i="191"/>
  <c r="BH745" i="191"/>
  <c r="BI745" i="191"/>
  <c r="BJ745" i="191"/>
  <c r="BK745" i="191"/>
  <c r="BD746" i="191"/>
  <c r="BE746" i="191"/>
  <c r="BF746" i="191"/>
  <c r="BG746" i="191"/>
  <c r="BH746" i="191"/>
  <c r="BI746" i="191"/>
  <c r="BJ746" i="191"/>
  <c r="BK746" i="191"/>
  <c r="BD747" i="191"/>
  <c r="BE747" i="191"/>
  <c r="BF747" i="191"/>
  <c r="BG747" i="191"/>
  <c r="BH747" i="191"/>
  <c r="BI747" i="191"/>
  <c r="BJ747" i="191"/>
  <c r="BK747" i="191"/>
  <c r="BD748" i="191"/>
  <c r="BE748" i="191"/>
  <c r="BF748" i="191"/>
  <c r="BG748" i="191"/>
  <c r="BH748" i="191"/>
  <c r="BI748" i="191"/>
  <c r="BJ748" i="191"/>
  <c r="BK748" i="191"/>
  <c r="BD749" i="191"/>
  <c r="BE749" i="191"/>
  <c r="BF749" i="191"/>
  <c r="BG749" i="191"/>
  <c r="BH749" i="191"/>
  <c r="BI749" i="191"/>
  <c r="BJ749" i="191"/>
  <c r="BK749" i="191"/>
  <c r="BD750" i="191"/>
  <c r="BE750" i="191"/>
  <c r="BF750" i="191"/>
  <c r="BG750" i="191"/>
  <c r="BH750" i="191"/>
  <c r="BI750" i="191"/>
  <c r="BJ750" i="191"/>
  <c r="BK750" i="191"/>
  <c r="BD751" i="191"/>
  <c r="BE751" i="191"/>
  <c r="BF751" i="191"/>
  <c r="BG751" i="191"/>
  <c r="BH751" i="191"/>
  <c r="BI751" i="191"/>
  <c r="BJ751" i="191"/>
  <c r="BK751" i="191"/>
  <c r="BD752" i="191"/>
  <c r="BE752" i="191"/>
  <c r="BF752" i="191"/>
  <c r="BG752" i="191"/>
  <c r="BH752" i="191"/>
  <c r="BI752" i="191"/>
  <c r="BJ752" i="191"/>
  <c r="BK752" i="191"/>
  <c r="BD753" i="191"/>
  <c r="BE753" i="191"/>
  <c r="BF753" i="191"/>
  <c r="BG753" i="191"/>
  <c r="BH753" i="191"/>
  <c r="BI753" i="191"/>
  <c r="BJ753" i="191"/>
  <c r="BK753" i="191"/>
  <c r="BD754" i="191"/>
  <c r="BE754" i="191"/>
  <c r="BF754" i="191"/>
  <c r="BG754" i="191"/>
  <c r="BH754" i="191"/>
  <c r="BI754" i="191"/>
  <c r="BJ754" i="191"/>
  <c r="BK754" i="191"/>
  <c r="BD755" i="191"/>
  <c r="BE755" i="191"/>
  <c r="BF755" i="191"/>
  <c r="BG755" i="191"/>
  <c r="BH755" i="191"/>
  <c r="BI755" i="191"/>
  <c r="BJ755" i="191"/>
  <c r="BK755" i="191"/>
  <c r="BD756" i="191"/>
  <c r="BE756" i="191"/>
  <c r="BF756" i="191"/>
  <c r="BG756" i="191"/>
  <c r="BH756" i="191"/>
  <c r="BI756" i="191"/>
  <c r="BJ756" i="191"/>
  <c r="BK756" i="191"/>
  <c r="BD757" i="191"/>
  <c r="BE757" i="191"/>
  <c r="BF757" i="191"/>
  <c r="BG757" i="191"/>
  <c r="BH757" i="191"/>
  <c r="BI757" i="191"/>
  <c r="BJ757" i="191"/>
  <c r="BK757" i="191"/>
  <c r="BD758" i="191"/>
  <c r="BE758" i="191"/>
  <c r="BF758" i="191"/>
  <c r="BG758" i="191"/>
  <c r="BH758" i="191"/>
  <c r="BI758" i="191"/>
  <c r="BJ758" i="191"/>
  <c r="BK758" i="191"/>
  <c r="BD759" i="191"/>
  <c r="BE759" i="191"/>
  <c r="BF759" i="191"/>
  <c r="BG759" i="191"/>
  <c r="BH759" i="191"/>
  <c r="BI759" i="191"/>
  <c r="BJ759" i="191"/>
  <c r="BK759" i="191"/>
  <c r="BD760" i="191"/>
  <c r="BE760" i="191"/>
  <c r="BF760" i="191"/>
  <c r="BG760" i="191"/>
  <c r="BH760" i="191"/>
  <c r="BI760" i="191"/>
  <c r="BJ760" i="191"/>
  <c r="BK760" i="191"/>
  <c r="BD761" i="191"/>
  <c r="BE761" i="191"/>
  <c r="BF761" i="191"/>
  <c r="BG761" i="191"/>
  <c r="BH761" i="191"/>
  <c r="BI761" i="191"/>
  <c r="BJ761" i="191"/>
  <c r="BK761" i="191"/>
  <c r="BD762" i="191"/>
  <c r="BE762" i="191"/>
  <c r="BF762" i="191"/>
  <c r="BG762" i="191"/>
  <c r="BH762" i="191"/>
  <c r="BI762" i="191"/>
  <c r="BJ762" i="191"/>
  <c r="BK762" i="191"/>
  <c r="BD763" i="191"/>
  <c r="BE763" i="191"/>
  <c r="BF763" i="191"/>
  <c r="BG763" i="191"/>
  <c r="BH763" i="191"/>
  <c r="BI763" i="191"/>
  <c r="BJ763" i="191"/>
  <c r="BK763" i="191"/>
  <c r="BD764" i="191"/>
  <c r="BE764" i="191"/>
  <c r="BF764" i="191"/>
  <c r="BG764" i="191"/>
  <c r="BH764" i="191"/>
  <c r="BI764" i="191"/>
  <c r="BJ764" i="191"/>
  <c r="BK764" i="191"/>
  <c r="BD765" i="191"/>
  <c r="BE765" i="191"/>
  <c r="BF765" i="191"/>
  <c r="BG765" i="191"/>
  <c r="BH765" i="191"/>
  <c r="BI765" i="191"/>
  <c r="BJ765" i="191"/>
  <c r="BK765" i="191"/>
  <c r="BD766" i="191"/>
  <c r="BE766" i="191"/>
  <c r="BF766" i="191"/>
  <c r="BG766" i="191"/>
  <c r="BH766" i="191"/>
  <c r="BI766" i="191"/>
  <c r="BJ766" i="191"/>
  <c r="BK766" i="191"/>
  <c r="BD767" i="191"/>
  <c r="BE767" i="191"/>
  <c r="BF767" i="191"/>
  <c r="BG767" i="191"/>
  <c r="BH767" i="191"/>
  <c r="BI767" i="191"/>
  <c r="BJ767" i="191"/>
  <c r="BK767" i="191"/>
  <c r="BD768" i="191"/>
  <c r="BE768" i="191"/>
  <c r="BF768" i="191"/>
  <c r="BG768" i="191"/>
  <c r="BH768" i="191"/>
  <c r="BI768" i="191"/>
  <c r="BJ768" i="191"/>
  <c r="BK768" i="191"/>
  <c r="BD769" i="191"/>
  <c r="BE769" i="191"/>
  <c r="BF769" i="191"/>
  <c r="BG769" i="191"/>
  <c r="BH769" i="191"/>
  <c r="BI769" i="191"/>
  <c r="BJ769" i="191"/>
  <c r="BK769" i="191"/>
  <c r="BD770" i="191"/>
  <c r="BE770" i="191"/>
  <c r="BF770" i="191"/>
  <c r="BG770" i="191"/>
  <c r="BH770" i="191"/>
  <c r="BI770" i="191"/>
  <c r="BJ770" i="191"/>
  <c r="BK770" i="191"/>
  <c r="BD771" i="191"/>
  <c r="BE771" i="191"/>
  <c r="BF771" i="191"/>
  <c r="BG771" i="191"/>
  <c r="BH771" i="191"/>
  <c r="BI771" i="191"/>
  <c r="BJ771" i="191"/>
  <c r="BK771" i="191"/>
  <c r="BD772" i="191"/>
  <c r="BE772" i="191"/>
  <c r="BF772" i="191"/>
  <c r="BG772" i="191"/>
  <c r="BH772" i="191"/>
  <c r="BI772" i="191"/>
  <c r="BJ772" i="191"/>
  <c r="BK772" i="191"/>
  <c r="BD773" i="191"/>
  <c r="BE773" i="191"/>
  <c r="BF773" i="191"/>
  <c r="BG773" i="191"/>
  <c r="BH773" i="191"/>
  <c r="BI773" i="191"/>
  <c r="BJ773" i="191"/>
  <c r="BK773" i="191"/>
  <c r="BD774" i="191"/>
  <c r="BE774" i="191"/>
  <c r="BF774" i="191"/>
  <c r="BG774" i="191"/>
  <c r="BH774" i="191"/>
  <c r="BI774" i="191"/>
  <c r="BJ774" i="191"/>
  <c r="BK774" i="191"/>
  <c r="BD775" i="191"/>
  <c r="BE775" i="191"/>
  <c r="BF775" i="191"/>
  <c r="BG775" i="191"/>
  <c r="BH775" i="191"/>
  <c r="BI775" i="191"/>
  <c r="BJ775" i="191"/>
  <c r="BK775" i="191"/>
  <c r="BD776" i="191"/>
  <c r="BE776" i="191"/>
  <c r="BF776" i="191"/>
  <c r="BG776" i="191"/>
  <c r="BH776" i="191"/>
  <c r="BI776" i="191"/>
  <c r="BJ776" i="191"/>
  <c r="BK776" i="191"/>
  <c r="BD777" i="191"/>
  <c r="BE777" i="191"/>
  <c r="BF777" i="191"/>
  <c r="BG777" i="191"/>
  <c r="BH777" i="191"/>
  <c r="BI777" i="191"/>
  <c r="BJ777" i="191"/>
  <c r="BK777" i="191"/>
  <c r="BD778" i="191"/>
  <c r="BE778" i="191"/>
  <c r="BF778" i="191"/>
  <c r="BG778" i="191"/>
  <c r="BH778" i="191"/>
  <c r="BI778" i="191"/>
  <c r="BJ778" i="191"/>
  <c r="BK778" i="191"/>
  <c r="BD779" i="191"/>
  <c r="BE779" i="191"/>
  <c r="BF779" i="191"/>
  <c r="BG779" i="191"/>
  <c r="BH779" i="191"/>
  <c r="BI779" i="191"/>
  <c r="BJ779" i="191"/>
  <c r="BK779" i="191"/>
  <c r="BD780" i="191"/>
  <c r="BE780" i="191"/>
  <c r="BF780" i="191"/>
  <c r="BG780" i="191"/>
  <c r="BH780" i="191"/>
  <c r="BI780" i="191"/>
  <c r="BJ780" i="191"/>
  <c r="BK780" i="191"/>
  <c r="BD781" i="191"/>
  <c r="BE781" i="191"/>
  <c r="BF781" i="191"/>
  <c r="BG781" i="191"/>
  <c r="BH781" i="191"/>
  <c r="BI781" i="191"/>
  <c r="BJ781" i="191"/>
  <c r="BK781" i="191"/>
  <c r="BD782" i="191"/>
  <c r="BE782" i="191"/>
  <c r="BF782" i="191"/>
  <c r="BG782" i="191"/>
  <c r="BH782" i="191"/>
  <c r="BI782" i="191"/>
  <c r="BJ782" i="191"/>
  <c r="BK782" i="191"/>
  <c r="BD783" i="191"/>
  <c r="BE783" i="191"/>
  <c r="BF783" i="191"/>
  <c r="BG783" i="191"/>
  <c r="BH783" i="191"/>
  <c r="BI783" i="191"/>
  <c r="BJ783" i="191"/>
  <c r="BK783" i="191"/>
  <c r="BD784" i="191"/>
  <c r="BE784" i="191"/>
  <c r="BF784" i="191"/>
  <c r="BG784" i="191"/>
  <c r="BH784" i="191"/>
  <c r="BI784" i="191"/>
  <c r="BJ784" i="191"/>
  <c r="BK784" i="191"/>
  <c r="BD785" i="191"/>
  <c r="BE785" i="191"/>
  <c r="BF785" i="191"/>
  <c r="BG785" i="191"/>
  <c r="BH785" i="191"/>
  <c r="BI785" i="191"/>
  <c r="BJ785" i="191"/>
  <c r="BK785" i="191"/>
  <c r="BD786" i="191"/>
  <c r="BE786" i="191"/>
  <c r="BF786" i="191"/>
  <c r="BG786" i="191"/>
  <c r="BH786" i="191"/>
  <c r="BI786" i="191"/>
  <c r="BJ786" i="191"/>
  <c r="BK786" i="191"/>
  <c r="BD787" i="191"/>
  <c r="BE787" i="191"/>
  <c r="BF787" i="191"/>
  <c r="BG787" i="191"/>
  <c r="BH787" i="191"/>
  <c r="BI787" i="191"/>
  <c r="BJ787" i="191"/>
  <c r="BK787" i="191"/>
  <c r="BD788" i="191"/>
  <c r="BE788" i="191"/>
  <c r="BF788" i="191"/>
  <c r="BG788" i="191"/>
  <c r="BH788" i="191"/>
  <c r="BI788" i="191"/>
  <c r="BJ788" i="191"/>
  <c r="BK788" i="191"/>
  <c r="BD789" i="191"/>
  <c r="BE789" i="191"/>
  <c r="BF789" i="191"/>
  <c r="BG789" i="191"/>
  <c r="BH789" i="191"/>
  <c r="BI789" i="191"/>
  <c r="BJ789" i="191"/>
  <c r="BK789" i="191"/>
  <c r="BD790" i="191"/>
  <c r="BE790" i="191"/>
  <c r="BF790" i="191"/>
  <c r="BG790" i="191"/>
  <c r="BH790" i="191"/>
  <c r="BI790" i="191"/>
  <c r="BJ790" i="191"/>
  <c r="BK790" i="191"/>
  <c r="BD791" i="191"/>
  <c r="BE791" i="191"/>
  <c r="BF791" i="191"/>
  <c r="BG791" i="191"/>
  <c r="BH791" i="191"/>
  <c r="BI791" i="191"/>
  <c r="BJ791" i="191"/>
  <c r="BK791" i="191"/>
  <c r="BD792" i="191"/>
  <c r="BE792" i="191"/>
  <c r="BF792" i="191"/>
  <c r="BG792" i="191"/>
  <c r="BH792" i="191"/>
  <c r="BI792" i="191"/>
  <c r="BJ792" i="191"/>
  <c r="BK792" i="191"/>
  <c r="BD793" i="191"/>
  <c r="BE793" i="191"/>
  <c r="BF793" i="191"/>
  <c r="BG793" i="191"/>
  <c r="BH793" i="191"/>
  <c r="BI793" i="191"/>
  <c r="BJ793" i="191"/>
  <c r="BK793" i="191"/>
  <c r="BD794" i="191"/>
  <c r="BE794" i="191"/>
  <c r="BF794" i="191"/>
  <c r="BG794" i="191"/>
  <c r="BH794" i="191"/>
  <c r="BI794" i="191"/>
  <c r="BJ794" i="191"/>
  <c r="BK794" i="191"/>
  <c r="BD795" i="191"/>
  <c r="BE795" i="191"/>
  <c r="BF795" i="191"/>
  <c r="BG795" i="191"/>
  <c r="BH795" i="191"/>
  <c r="BI795" i="191"/>
  <c r="BJ795" i="191"/>
  <c r="BK795" i="191"/>
  <c r="BD796" i="191"/>
  <c r="BE796" i="191"/>
  <c r="BF796" i="191"/>
  <c r="BG796" i="191"/>
  <c r="BH796" i="191"/>
  <c r="BI796" i="191"/>
  <c r="BJ796" i="191"/>
  <c r="BK796" i="191"/>
  <c r="BD797" i="191"/>
  <c r="BE797" i="191"/>
  <c r="BF797" i="191"/>
  <c r="BG797" i="191"/>
  <c r="BH797" i="191"/>
  <c r="BI797" i="191"/>
  <c r="BJ797" i="191"/>
  <c r="BK797" i="191"/>
  <c r="BD798" i="191"/>
  <c r="BE798" i="191"/>
  <c r="BF798" i="191"/>
  <c r="BG798" i="191"/>
  <c r="BH798" i="191"/>
  <c r="BI798" i="191"/>
  <c r="BJ798" i="191"/>
  <c r="BK798" i="191"/>
  <c r="BD799" i="191"/>
  <c r="BE799" i="191"/>
  <c r="BF799" i="191"/>
  <c r="BG799" i="191"/>
  <c r="BH799" i="191"/>
  <c r="BI799" i="191"/>
  <c r="BJ799" i="191"/>
  <c r="BK799" i="191"/>
  <c r="BD800" i="191"/>
  <c r="BE800" i="191"/>
  <c r="BF800" i="191"/>
  <c r="BG800" i="191"/>
  <c r="BH800" i="191"/>
  <c r="BI800" i="191"/>
  <c r="BJ800" i="191"/>
  <c r="BK800" i="191"/>
  <c r="BD801" i="191"/>
  <c r="BE801" i="191"/>
  <c r="BF801" i="191"/>
  <c r="BG801" i="191"/>
  <c r="BH801" i="191"/>
  <c r="BI801" i="191"/>
  <c r="BJ801" i="191"/>
  <c r="BK801" i="191"/>
  <c r="BD802" i="191"/>
  <c r="BE802" i="191"/>
  <c r="BF802" i="191"/>
  <c r="BG802" i="191"/>
  <c r="BH802" i="191"/>
  <c r="BI802" i="191"/>
  <c r="BJ802" i="191"/>
  <c r="BK802" i="191"/>
  <c r="BD803" i="191"/>
  <c r="BE803" i="191"/>
  <c r="BF803" i="191"/>
  <c r="BG803" i="191"/>
  <c r="BH803" i="191"/>
  <c r="BI803" i="191"/>
  <c r="BJ803" i="191"/>
  <c r="BK803" i="191"/>
  <c r="BD804" i="191"/>
  <c r="BE804" i="191"/>
  <c r="BF804" i="191"/>
  <c r="BG804" i="191"/>
  <c r="BH804" i="191"/>
  <c r="BI804" i="191"/>
  <c r="BJ804" i="191"/>
  <c r="BK804" i="191"/>
  <c r="BD805" i="191"/>
  <c r="BE805" i="191"/>
  <c r="BF805" i="191"/>
  <c r="BG805" i="191"/>
  <c r="BH805" i="191"/>
  <c r="BI805" i="191"/>
  <c r="BJ805" i="191"/>
  <c r="BK805" i="191"/>
  <c r="BD806" i="191"/>
  <c r="BE806" i="191"/>
  <c r="BF806" i="191"/>
  <c r="BG806" i="191"/>
  <c r="BH806" i="191"/>
  <c r="BI806" i="191"/>
  <c r="BJ806" i="191"/>
  <c r="BK806" i="191"/>
  <c r="BD807" i="191"/>
  <c r="BE807" i="191"/>
  <c r="BF807" i="191"/>
  <c r="BG807" i="191"/>
  <c r="BH807" i="191"/>
  <c r="BI807" i="191"/>
  <c r="BJ807" i="191"/>
  <c r="BK807" i="191"/>
  <c r="BD808" i="191"/>
  <c r="BE808" i="191"/>
  <c r="BF808" i="191"/>
  <c r="BG808" i="191"/>
  <c r="BH808" i="191"/>
  <c r="BI808" i="191"/>
  <c r="BJ808" i="191"/>
  <c r="BK808" i="191"/>
  <c r="BD809" i="191"/>
  <c r="BE809" i="191"/>
  <c r="BF809" i="191"/>
  <c r="BG809" i="191"/>
  <c r="BH809" i="191"/>
  <c r="BI809" i="191"/>
  <c r="BJ809" i="191"/>
  <c r="BK809" i="191"/>
  <c r="BD810" i="191"/>
  <c r="BE810" i="191"/>
  <c r="BF810" i="191"/>
  <c r="BG810" i="191"/>
  <c r="BH810" i="191"/>
  <c r="BI810" i="191"/>
  <c r="BJ810" i="191"/>
  <c r="BK810" i="191"/>
  <c r="BD811" i="191"/>
  <c r="BE811" i="191"/>
  <c r="BF811" i="191"/>
  <c r="BG811" i="191"/>
  <c r="BH811" i="191"/>
  <c r="BI811" i="191"/>
  <c r="BJ811" i="191"/>
  <c r="BK811" i="191"/>
  <c r="BD812" i="191"/>
  <c r="BE812" i="191"/>
  <c r="BF812" i="191"/>
  <c r="BG812" i="191"/>
  <c r="BH812" i="191"/>
  <c r="BI812" i="191"/>
  <c r="BJ812" i="191"/>
  <c r="BK812" i="191"/>
  <c r="BD813" i="191"/>
  <c r="BE813" i="191"/>
  <c r="BF813" i="191"/>
  <c r="BG813" i="191"/>
  <c r="BH813" i="191"/>
  <c r="BI813" i="191"/>
  <c r="BJ813" i="191"/>
  <c r="BK813" i="191"/>
  <c r="BD814" i="191"/>
  <c r="BE814" i="191"/>
  <c r="BF814" i="191"/>
  <c r="BG814" i="191"/>
  <c r="BH814" i="191"/>
  <c r="BI814" i="191"/>
  <c r="BJ814" i="191"/>
  <c r="BK814" i="191"/>
  <c r="BD815" i="191"/>
  <c r="BE815" i="191"/>
  <c r="BF815" i="191"/>
  <c r="BG815" i="191"/>
  <c r="BH815" i="191"/>
  <c r="BI815" i="191"/>
  <c r="BJ815" i="191"/>
  <c r="BK815" i="191"/>
  <c r="BD816" i="191"/>
  <c r="BE816" i="191"/>
  <c r="BF816" i="191"/>
  <c r="BG816" i="191"/>
  <c r="BH816" i="191"/>
  <c r="BI816" i="191"/>
  <c r="BJ816" i="191"/>
  <c r="BK816" i="191"/>
  <c r="BD817" i="191"/>
  <c r="BE817" i="191"/>
  <c r="BF817" i="191"/>
  <c r="BG817" i="191"/>
  <c r="BH817" i="191"/>
  <c r="BI817" i="191"/>
  <c r="BJ817" i="191"/>
  <c r="BK817" i="191"/>
  <c r="BD818" i="191"/>
  <c r="BE818" i="191"/>
  <c r="BF818" i="191"/>
  <c r="BG818" i="191"/>
  <c r="BH818" i="191"/>
  <c r="BI818" i="191"/>
  <c r="BJ818" i="191"/>
  <c r="BK818" i="191"/>
  <c r="BD819" i="191"/>
  <c r="BE819" i="191"/>
  <c r="BF819" i="191"/>
  <c r="BG819" i="191"/>
  <c r="BH819" i="191"/>
  <c r="BI819" i="191"/>
  <c r="BJ819" i="191"/>
  <c r="BK819" i="191"/>
  <c r="BD820" i="191"/>
  <c r="BE820" i="191"/>
  <c r="BF820" i="191"/>
  <c r="BG820" i="191"/>
  <c r="BH820" i="191"/>
  <c r="BI820" i="191"/>
  <c r="BJ820" i="191"/>
  <c r="BK820" i="191"/>
  <c r="BD821" i="191"/>
  <c r="BE821" i="191"/>
  <c r="BF821" i="191"/>
  <c r="BG821" i="191"/>
  <c r="BH821" i="191"/>
  <c r="BI821" i="191"/>
  <c r="BJ821" i="191"/>
  <c r="BK821" i="191"/>
  <c r="BD822" i="191"/>
  <c r="BE822" i="191"/>
  <c r="BF822" i="191"/>
  <c r="BG822" i="191"/>
  <c r="BH822" i="191"/>
  <c r="BI822" i="191"/>
  <c r="BJ822" i="191"/>
  <c r="BK822" i="191"/>
  <c r="BD823" i="191"/>
  <c r="BE823" i="191"/>
  <c r="BF823" i="191"/>
  <c r="BG823" i="191"/>
  <c r="BH823" i="191"/>
  <c r="BI823" i="191"/>
  <c r="BJ823" i="191"/>
  <c r="BK823" i="191"/>
  <c r="BD824" i="191"/>
  <c r="BE824" i="191"/>
  <c r="BF824" i="191"/>
  <c r="BG824" i="191"/>
  <c r="BH824" i="191"/>
  <c r="BI824" i="191"/>
  <c r="BJ824" i="191"/>
  <c r="BK824" i="191"/>
  <c r="BD825" i="191"/>
  <c r="BE825" i="191"/>
  <c r="BF825" i="191"/>
  <c r="BG825" i="191"/>
  <c r="BH825" i="191"/>
  <c r="BI825" i="191"/>
  <c r="BJ825" i="191"/>
  <c r="BK825" i="191"/>
  <c r="BD826" i="191"/>
  <c r="BE826" i="191"/>
  <c r="BF826" i="191"/>
  <c r="BG826" i="191"/>
  <c r="BH826" i="191"/>
  <c r="BI826" i="191"/>
  <c r="BJ826" i="191"/>
  <c r="BK826" i="191"/>
  <c r="BD827" i="191"/>
  <c r="BE827" i="191"/>
  <c r="BF827" i="191"/>
  <c r="BG827" i="191"/>
  <c r="BH827" i="191"/>
  <c r="BI827" i="191"/>
  <c r="BJ827" i="191"/>
  <c r="BK827" i="191"/>
  <c r="BD828" i="191"/>
  <c r="BE828" i="191"/>
  <c r="BF828" i="191"/>
  <c r="BG828" i="191"/>
  <c r="BH828" i="191"/>
  <c r="BI828" i="191"/>
  <c r="BJ828" i="191"/>
  <c r="BK828" i="191"/>
  <c r="BD829" i="191"/>
  <c r="BE829" i="191"/>
  <c r="BF829" i="191"/>
  <c r="BG829" i="191"/>
  <c r="BH829" i="191"/>
  <c r="BI829" i="191"/>
  <c r="BJ829" i="191"/>
  <c r="BK829" i="191"/>
  <c r="BD830" i="191"/>
  <c r="BE830" i="191"/>
  <c r="BF830" i="191"/>
  <c r="BG830" i="191"/>
  <c r="BH830" i="191"/>
  <c r="BI830" i="191"/>
  <c r="BJ830" i="191"/>
  <c r="BK830" i="191"/>
  <c r="BD831" i="191"/>
  <c r="BE831" i="191"/>
  <c r="BF831" i="191"/>
  <c r="BG831" i="191"/>
  <c r="BH831" i="191"/>
  <c r="BI831" i="191"/>
  <c r="BJ831" i="191"/>
  <c r="BK831" i="191"/>
  <c r="BD832" i="191"/>
  <c r="BE832" i="191"/>
  <c r="BF832" i="191"/>
  <c r="BG832" i="191"/>
  <c r="BH832" i="191"/>
  <c r="BI832" i="191"/>
  <c r="BJ832" i="191"/>
  <c r="BK832" i="191"/>
  <c r="BD833" i="191"/>
  <c r="BE833" i="191"/>
  <c r="BF833" i="191"/>
  <c r="BG833" i="191"/>
  <c r="BH833" i="191"/>
  <c r="BI833" i="191"/>
  <c r="BJ833" i="191"/>
  <c r="BK833" i="191"/>
  <c r="BD834" i="191"/>
  <c r="BE834" i="191"/>
  <c r="BF834" i="191"/>
  <c r="BG834" i="191"/>
  <c r="BH834" i="191"/>
  <c r="BI834" i="191"/>
  <c r="BJ834" i="191"/>
  <c r="BK834" i="191"/>
  <c r="BD835" i="191"/>
  <c r="BE835" i="191"/>
  <c r="BF835" i="191"/>
  <c r="BG835" i="191"/>
  <c r="BH835" i="191"/>
  <c r="BI835" i="191"/>
  <c r="BJ835" i="191"/>
  <c r="BK835" i="191"/>
  <c r="BD836" i="191"/>
  <c r="BE836" i="191"/>
  <c r="BF836" i="191"/>
  <c r="BG836" i="191"/>
  <c r="BH836" i="191"/>
  <c r="BI836" i="191"/>
  <c r="BJ836" i="191"/>
  <c r="BK836" i="191"/>
  <c r="BD837" i="191"/>
  <c r="BE837" i="191"/>
  <c r="BF837" i="191"/>
  <c r="BG837" i="191"/>
  <c r="BH837" i="191"/>
  <c r="BI837" i="191"/>
  <c r="BJ837" i="191"/>
  <c r="BK837" i="191"/>
  <c r="BD838" i="191"/>
  <c r="BE838" i="191"/>
  <c r="BF838" i="191"/>
  <c r="BG838" i="191"/>
  <c r="BH838" i="191"/>
  <c r="BI838" i="191"/>
  <c r="BJ838" i="191"/>
  <c r="BK838" i="191"/>
  <c r="BD839" i="191"/>
  <c r="BE839" i="191"/>
  <c r="BF839" i="191"/>
  <c r="BG839" i="191"/>
  <c r="BH839" i="191"/>
  <c r="BI839" i="191"/>
  <c r="BJ839" i="191"/>
  <c r="BK839" i="191"/>
  <c r="BD840" i="191"/>
  <c r="BE840" i="191"/>
  <c r="BF840" i="191"/>
  <c r="BG840" i="191"/>
  <c r="BH840" i="191"/>
  <c r="BI840" i="191"/>
  <c r="BJ840" i="191"/>
  <c r="BK840" i="191"/>
  <c r="BD841" i="191"/>
  <c r="BE841" i="191"/>
  <c r="BF841" i="191"/>
  <c r="BG841" i="191"/>
  <c r="BH841" i="191"/>
  <c r="BI841" i="191"/>
  <c r="BJ841" i="191"/>
  <c r="BK841" i="191"/>
  <c r="BD842" i="191"/>
  <c r="BE842" i="191"/>
  <c r="BF842" i="191"/>
  <c r="BG842" i="191"/>
  <c r="BH842" i="191"/>
  <c r="BI842" i="191"/>
  <c r="BJ842" i="191"/>
  <c r="BK842" i="191"/>
  <c r="BD843" i="191"/>
  <c r="BE843" i="191"/>
  <c r="BF843" i="191"/>
  <c r="BG843" i="191"/>
  <c r="BH843" i="191"/>
  <c r="BI843" i="191"/>
  <c r="BJ843" i="191"/>
  <c r="BK843" i="191"/>
  <c r="BD844" i="191"/>
  <c r="BE844" i="191"/>
  <c r="BF844" i="191"/>
  <c r="BG844" i="191"/>
  <c r="BH844" i="191"/>
  <c r="BI844" i="191"/>
  <c r="BJ844" i="191"/>
  <c r="BK844" i="191"/>
  <c r="BD845" i="191"/>
  <c r="BE845" i="191"/>
  <c r="BF845" i="191"/>
  <c r="BG845" i="191"/>
  <c r="BH845" i="191"/>
  <c r="BI845" i="191"/>
  <c r="BJ845" i="191"/>
  <c r="BK845" i="191"/>
  <c r="BD846" i="191"/>
  <c r="BE846" i="191"/>
  <c r="BF846" i="191"/>
  <c r="BG846" i="191"/>
  <c r="BH846" i="191"/>
  <c r="BI846" i="191"/>
  <c r="BJ846" i="191"/>
  <c r="BK846" i="191"/>
  <c r="BD847" i="191"/>
  <c r="BE847" i="191"/>
  <c r="BF847" i="191"/>
  <c r="BG847" i="191"/>
  <c r="BH847" i="191"/>
  <c r="BI847" i="191"/>
  <c r="BJ847" i="191"/>
  <c r="BK847" i="191"/>
  <c r="BD848" i="191"/>
  <c r="BE848" i="191"/>
  <c r="BF848" i="191"/>
  <c r="BG848" i="191"/>
  <c r="BH848" i="191"/>
  <c r="BI848" i="191"/>
  <c r="BJ848" i="191"/>
  <c r="BK848" i="191"/>
  <c r="BD849" i="191"/>
  <c r="BE849" i="191"/>
  <c r="BF849" i="191"/>
  <c r="BG849" i="191"/>
  <c r="BH849" i="191"/>
  <c r="BI849" i="191"/>
  <c r="BJ849" i="191"/>
  <c r="BK849" i="191"/>
  <c r="BD850" i="191"/>
  <c r="BE850" i="191"/>
  <c r="BF850" i="191"/>
  <c r="BG850" i="191"/>
  <c r="BH850" i="191"/>
  <c r="BI850" i="191"/>
  <c r="BJ850" i="191"/>
  <c r="BK850" i="191"/>
  <c r="BD851" i="191"/>
  <c r="BE851" i="191"/>
  <c r="BF851" i="191"/>
  <c r="BG851" i="191"/>
  <c r="BH851" i="191"/>
  <c r="BI851" i="191"/>
  <c r="BJ851" i="191"/>
  <c r="BK851" i="191"/>
  <c r="BD852" i="191"/>
  <c r="BE852" i="191"/>
  <c r="BF852" i="191"/>
  <c r="BG852" i="191"/>
  <c r="BH852" i="191"/>
  <c r="BI852" i="191"/>
  <c r="BJ852" i="191"/>
  <c r="BK852" i="191"/>
  <c r="BD853" i="191"/>
  <c r="BE853" i="191"/>
  <c r="BF853" i="191"/>
  <c r="BG853" i="191"/>
  <c r="BH853" i="191"/>
  <c r="BI853" i="191"/>
  <c r="BJ853" i="191"/>
  <c r="BK853" i="191"/>
  <c r="BD854" i="191"/>
  <c r="BE854" i="191"/>
  <c r="BF854" i="191"/>
  <c r="BG854" i="191"/>
  <c r="BH854" i="191"/>
  <c r="BI854" i="191"/>
  <c r="BJ854" i="191"/>
  <c r="BK854" i="191"/>
  <c r="BD855" i="191"/>
  <c r="BE855" i="191"/>
  <c r="BF855" i="191"/>
  <c r="BG855" i="191"/>
  <c r="BH855" i="191"/>
  <c r="BI855" i="191"/>
  <c r="BJ855" i="191"/>
  <c r="BK855" i="191"/>
  <c r="BD856" i="191"/>
  <c r="BE856" i="191"/>
  <c r="BF856" i="191"/>
  <c r="BG856" i="191"/>
  <c r="BH856" i="191"/>
  <c r="BI856" i="191"/>
  <c r="BJ856" i="191"/>
  <c r="BK856" i="191"/>
  <c r="BD857" i="191"/>
  <c r="BE857" i="191"/>
  <c r="BF857" i="191"/>
  <c r="BG857" i="191"/>
  <c r="BH857" i="191"/>
  <c r="BI857" i="191"/>
  <c r="BJ857" i="191"/>
  <c r="BK857" i="191"/>
  <c r="BD858" i="191"/>
  <c r="BE858" i="191"/>
  <c r="BF858" i="191"/>
  <c r="BG858" i="191"/>
  <c r="BH858" i="191"/>
  <c r="BI858" i="191"/>
  <c r="BJ858" i="191"/>
  <c r="BK858" i="191"/>
  <c r="BD859" i="191"/>
  <c r="BE859" i="191"/>
  <c r="BF859" i="191"/>
  <c r="BG859" i="191"/>
  <c r="BH859" i="191"/>
  <c r="BI859" i="191"/>
  <c r="BJ859" i="191"/>
  <c r="BK859" i="191"/>
  <c r="BD860" i="191"/>
  <c r="BE860" i="191"/>
  <c r="BF860" i="191"/>
  <c r="BG860" i="191"/>
  <c r="BH860" i="191"/>
  <c r="BI860" i="191"/>
  <c r="BJ860" i="191"/>
  <c r="BK860" i="191"/>
  <c r="BD861" i="191"/>
  <c r="BE861" i="191"/>
  <c r="BF861" i="191"/>
  <c r="BG861" i="191"/>
  <c r="BH861" i="191"/>
  <c r="BI861" i="191"/>
  <c r="BJ861" i="191"/>
  <c r="BK861" i="191"/>
  <c r="BD862" i="191"/>
  <c r="BE862" i="191"/>
  <c r="BF862" i="191"/>
  <c r="BG862" i="191"/>
  <c r="BH862" i="191"/>
  <c r="BI862" i="191"/>
  <c r="BJ862" i="191"/>
  <c r="BK862" i="191"/>
  <c r="BD863" i="191"/>
  <c r="BE863" i="191"/>
  <c r="BF863" i="191"/>
  <c r="BG863" i="191"/>
  <c r="BH863" i="191"/>
  <c r="BI863" i="191"/>
  <c r="BJ863" i="191"/>
  <c r="BK863" i="191"/>
  <c r="BD864" i="191"/>
  <c r="BE864" i="191"/>
  <c r="BF864" i="191"/>
  <c r="BG864" i="191"/>
  <c r="BH864" i="191"/>
  <c r="BI864" i="191"/>
  <c r="BJ864" i="191"/>
  <c r="BK864" i="191"/>
  <c r="BD865" i="191"/>
  <c r="BE865" i="191"/>
  <c r="BF865" i="191"/>
  <c r="BG865" i="191"/>
  <c r="BH865" i="191"/>
  <c r="BI865" i="191"/>
  <c r="BJ865" i="191"/>
  <c r="BK865" i="191"/>
  <c r="BD866" i="191"/>
  <c r="BE866" i="191"/>
  <c r="BF866" i="191"/>
  <c r="BG866" i="191"/>
  <c r="BH866" i="191"/>
  <c r="BI866" i="191"/>
  <c r="BJ866" i="191"/>
  <c r="BK866" i="191"/>
  <c r="BD867" i="191"/>
  <c r="BE867" i="191"/>
  <c r="BF867" i="191"/>
  <c r="BG867" i="191"/>
  <c r="BH867" i="191"/>
  <c r="BI867" i="191"/>
  <c r="BJ867" i="191"/>
  <c r="BK867" i="191"/>
  <c r="BD868" i="191"/>
  <c r="BE868" i="191"/>
  <c r="BF868" i="191"/>
  <c r="BG868" i="191"/>
  <c r="BH868" i="191"/>
  <c r="BI868" i="191"/>
  <c r="BJ868" i="191"/>
  <c r="BK868" i="191"/>
  <c r="BD869" i="191"/>
  <c r="BE869" i="191"/>
  <c r="BF869" i="191"/>
  <c r="BG869" i="191"/>
  <c r="BH869" i="191"/>
  <c r="BI869" i="191"/>
  <c r="BJ869" i="191"/>
  <c r="BK869" i="191"/>
  <c r="BD870" i="191"/>
  <c r="BE870" i="191"/>
  <c r="BF870" i="191"/>
  <c r="BG870" i="191"/>
  <c r="BH870" i="191"/>
  <c r="BI870" i="191"/>
  <c r="BJ870" i="191"/>
  <c r="BK870" i="191"/>
  <c r="BD871" i="191"/>
  <c r="BE871" i="191"/>
  <c r="BF871" i="191"/>
  <c r="BG871" i="191"/>
  <c r="BH871" i="191"/>
  <c r="BI871" i="191"/>
  <c r="BJ871" i="191"/>
  <c r="BK871" i="191"/>
  <c r="BD872" i="191"/>
  <c r="BE872" i="191"/>
  <c r="BF872" i="191"/>
  <c r="BG872" i="191"/>
  <c r="BH872" i="191"/>
  <c r="BI872" i="191"/>
  <c r="BJ872" i="191"/>
  <c r="BK872" i="191"/>
  <c r="BD873" i="191"/>
  <c r="BE873" i="191"/>
  <c r="BF873" i="191"/>
  <c r="BG873" i="191"/>
  <c r="BH873" i="191"/>
  <c r="BI873" i="191"/>
  <c r="BJ873" i="191"/>
  <c r="BK873" i="191"/>
  <c r="BD874" i="191"/>
  <c r="BE874" i="191"/>
  <c r="BF874" i="191"/>
  <c r="BG874" i="191"/>
  <c r="BH874" i="191"/>
  <c r="BI874" i="191"/>
  <c r="BJ874" i="191"/>
  <c r="BK874" i="191"/>
  <c r="BD875" i="191"/>
  <c r="BE875" i="191"/>
  <c r="BF875" i="191"/>
  <c r="BG875" i="191"/>
  <c r="BH875" i="191"/>
  <c r="BI875" i="191"/>
  <c r="BJ875" i="191"/>
  <c r="BK875" i="191"/>
  <c r="BD876" i="191"/>
  <c r="BE876" i="191"/>
  <c r="BF876" i="191"/>
  <c r="BG876" i="191"/>
  <c r="BH876" i="191"/>
  <c r="BI876" i="191"/>
  <c r="BJ876" i="191"/>
  <c r="BK876" i="191"/>
  <c r="BD877" i="191"/>
  <c r="BE877" i="191"/>
  <c r="BF877" i="191"/>
  <c r="BG877" i="191"/>
  <c r="BH877" i="191"/>
  <c r="BI877" i="191"/>
  <c r="BJ877" i="191"/>
  <c r="BK877" i="191"/>
  <c r="BD878" i="191"/>
  <c r="BE878" i="191"/>
  <c r="BF878" i="191"/>
  <c r="BG878" i="191"/>
  <c r="BH878" i="191"/>
  <c r="BI878" i="191"/>
  <c r="BJ878" i="191"/>
  <c r="BK878" i="191"/>
  <c r="BD879" i="191"/>
  <c r="BE879" i="191"/>
  <c r="BF879" i="191"/>
  <c r="BG879" i="191"/>
  <c r="BH879" i="191"/>
  <c r="BI879" i="191"/>
  <c r="BJ879" i="191"/>
  <c r="BK879" i="191"/>
  <c r="BD880" i="191"/>
  <c r="BE880" i="191"/>
  <c r="BF880" i="191"/>
  <c r="BG880" i="191"/>
  <c r="BH880" i="191"/>
  <c r="BI880" i="191"/>
  <c r="BJ880" i="191"/>
  <c r="BK880" i="191"/>
  <c r="BD881" i="191"/>
  <c r="BE881" i="191"/>
  <c r="BF881" i="191"/>
  <c r="BG881" i="191"/>
  <c r="BH881" i="191"/>
  <c r="BI881" i="191"/>
  <c r="BJ881" i="191"/>
  <c r="BK881" i="191"/>
  <c r="BD882" i="191"/>
  <c r="BE882" i="191"/>
  <c r="BF882" i="191"/>
  <c r="BG882" i="191"/>
  <c r="BH882" i="191"/>
  <c r="BI882" i="191"/>
  <c r="BJ882" i="191"/>
  <c r="BK882" i="191"/>
  <c r="BD883" i="191"/>
  <c r="BE883" i="191"/>
  <c r="BF883" i="191"/>
  <c r="BG883" i="191"/>
  <c r="BH883" i="191"/>
  <c r="BI883" i="191"/>
  <c r="BJ883" i="191"/>
  <c r="BK883" i="191"/>
  <c r="BD884" i="191"/>
  <c r="BE884" i="191"/>
  <c r="BF884" i="191"/>
  <c r="BG884" i="191"/>
  <c r="BH884" i="191"/>
  <c r="BI884" i="191"/>
  <c r="BJ884" i="191"/>
  <c r="BK884" i="191"/>
  <c r="BD885" i="191"/>
  <c r="BE885" i="191"/>
  <c r="BF885" i="191"/>
  <c r="BG885" i="191"/>
  <c r="BH885" i="191"/>
  <c r="BI885" i="191"/>
  <c r="BJ885" i="191"/>
  <c r="BK885" i="191"/>
  <c r="BD886" i="191"/>
  <c r="BE886" i="191"/>
  <c r="BF886" i="191"/>
  <c r="BG886" i="191"/>
  <c r="BH886" i="191"/>
  <c r="BI886" i="191"/>
  <c r="BJ886" i="191"/>
  <c r="BK886" i="191"/>
  <c r="BD887" i="191"/>
  <c r="BE887" i="191"/>
  <c r="BF887" i="191"/>
  <c r="BG887" i="191"/>
  <c r="BH887" i="191"/>
  <c r="BI887" i="191"/>
  <c r="BJ887" i="191"/>
  <c r="BK887" i="191"/>
  <c r="BD888" i="191"/>
  <c r="BE888" i="191"/>
  <c r="BF888" i="191"/>
  <c r="BG888" i="191"/>
  <c r="BH888" i="191"/>
  <c r="BI888" i="191"/>
  <c r="BJ888" i="191"/>
  <c r="BK888" i="191"/>
  <c r="BD889" i="191"/>
  <c r="BE889" i="191"/>
  <c r="BF889" i="191"/>
  <c r="BG889" i="191"/>
  <c r="BH889" i="191"/>
  <c r="BI889" i="191"/>
  <c r="BJ889" i="191"/>
  <c r="BK889" i="191"/>
  <c r="BD890" i="191"/>
  <c r="BE890" i="191"/>
  <c r="BF890" i="191"/>
  <c r="BG890" i="191"/>
  <c r="BH890" i="191"/>
  <c r="BI890" i="191"/>
  <c r="BJ890" i="191"/>
  <c r="BK890" i="191"/>
  <c r="BD891" i="191"/>
  <c r="BE891" i="191"/>
  <c r="BF891" i="191"/>
  <c r="BG891" i="191"/>
  <c r="BH891" i="191"/>
  <c r="BI891" i="191"/>
  <c r="BJ891" i="191"/>
  <c r="BK891" i="191"/>
  <c r="BD892" i="191"/>
  <c r="BE892" i="191"/>
  <c r="BF892" i="191"/>
  <c r="BG892" i="191"/>
  <c r="BH892" i="191"/>
  <c r="BI892" i="191"/>
  <c r="BJ892" i="191"/>
  <c r="BK892" i="191"/>
  <c r="BD893" i="191"/>
  <c r="BE893" i="191"/>
  <c r="BF893" i="191"/>
  <c r="BG893" i="191"/>
  <c r="BH893" i="191"/>
  <c r="BI893" i="191"/>
  <c r="BJ893" i="191"/>
  <c r="BK893" i="191"/>
  <c r="BD894" i="191"/>
  <c r="BE894" i="191"/>
  <c r="BF894" i="191"/>
  <c r="BG894" i="191"/>
  <c r="BH894" i="191"/>
  <c r="BI894" i="191"/>
  <c r="BJ894" i="191"/>
  <c r="BK894" i="191"/>
  <c r="BD895" i="191"/>
  <c r="BE895" i="191"/>
  <c r="BF895" i="191"/>
  <c r="BG895" i="191"/>
  <c r="BH895" i="191"/>
  <c r="BI895" i="191"/>
  <c r="BJ895" i="191"/>
  <c r="BK895" i="191"/>
  <c r="BD896" i="191"/>
  <c r="BE896" i="191"/>
  <c r="BF896" i="191"/>
  <c r="BG896" i="191"/>
  <c r="BH896" i="191"/>
  <c r="BI896" i="191"/>
  <c r="BJ896" i="191"/>
  <c r="BK896" i="191"/>
  <c r="BD897" i="191"/>
  <c r="BE897" i="191"/>
  <c r="BF897" i="191"/>
  <c r="BG897" i="191"/>
  <c r="BH897" i="191"/>
  <c r="BI897" i="191"/>
  <c r="BJ897" i="191"/>
  <c r="BK897" i="191"/>
  <c r="BD898" i="191"/>
  <c r="BE898" i="191"/>
  <c r="BF898" i="191"/>
  <c r="BG898" i="191"/>
  <c r="BH898" i="191"/>
  <c r="BI898" i="191"/>
  <c r="BJ898" i="191"/>
  <c r="BK898" i="191"/>
  <c r="BD899" i="191"/>
  <c r="BE899" i="191"/>
  <c r="BF899" i="191"/>
  <c r="BG899" i="191"/>
  <c r="BH899" i="191"/>
  <c r="BI899" i="191"/>
  <c r="BJ899" i="191"/>
  <c r="BK899" i="191"/>
  <c r="BD900" i="191"/>
  <c r="BE900" i="191"/>
  <c r="BF900" i="191"/>
  <c r="BG900" i="191"/>
  <c r="BH900" i="191"/>
  <c r="BI900" i="191"/>
  <c r="BJ900" i="191"/>
  <c r="BK900" i="191"/>
  <c r="BD901" i="191"/>
  <c r="BE901" i="191"/>
  <c r="BF901" i="191"/>
  <c r="BG901" i="191"/>
  <c r="BH901" i="191"/>
  <c r="BI901" i="191"/>
  <c r="BJ901" i="191"/>
  <c r="BK901" i="191"/>
  <c r="BD902" i="191"/>
  <c r="BE902" i="191"/>
  <c r="BF902" i="191"/>
  <c r="BG902" i="191"/>
  <c r="BH902" i="191"/>
  <c r="BI902" i="191"/>
  <c r="BJ902" i="191"/>
  <c r="BK902" i="191"/>
  <c r="BD903" i="191"/>
  <c r="BE903" i="191"/>
  <c r="BF903" i="191"/>
  <c r="BG903" i="191"/>
  <c r="BH903" i="191"/>
  <c r="BI903" i="191"/>
  <c r="BJ903" i="191"/>
  <c r="BK903" i="191"/>
  <c r="BD904" i="191"/>
  <c r="BE904" i="191"/>
  <c r="BF904" i="191"/>
  <c r="BG904" i="191"/>
  <c r="BH904" i="191"/>
  <c r="BI904" i="191"/>
  <c r="BJ904" i="191"/>
  <c r="BK904" i="191"/>
  <c r="BD905" i="191"/>
  <c r="BE905" i="191"/>
  <c r="BF905" i="191"/>
  <c r="BG905" i="191"/>
  <c r="BH905" i="191"/>
  <c r="BI905" i="191"/>
  <c r="BJ905" i="191"/>
  <c r="BK905" i="191"/>
  <c r="BD906" i="191"/>
  <c r="BE906" i="191"/>
  <c r="BF906" i="191"/>
  <c r="BG906" i="191"/>
  <c r="BH906" i="191"/>
  <c r="BI906" i="191"/>
  <c r="BJ906" i="191"/>
  <c r="BK906" i="191"/>
  <c r="BD907" i="191"/>
  <c r="BE907" i="191"/>
  <c r="BF907" i="191"/>
  <c r="BG907" i="191"/>
  <c r="BH907" i="191"/>
  <c r="BI907" i="191"/>
  <c r="BJ907" i="191"/>
  <c r="BK907" i="191"/>
  <c r="BD908" i="191"/>
  <c r="BE908" i="191"/>
  <c r="BF908" i="191"/>
  <c r="BG908" i="191"/>
  <c r="BH908" i="191"/>
  <c r="BI908" i="191"/>
  <c r="BJ908" i="191"/>
  <c r="BK908" i="191"/>
  <c r="BD909" i="191"/>
  <c r="BE909" i="191"/>
  <c r="BF909" i="191"/>
  <c r="BG909" i="191"/>
  <c r="BH909" i="191"/>
  <c r="BI909" i="191"/>
  <c r="BJ909" i="191"/>
  <c r="BK909" i="191"/>
  <c r="BD910" i="191"/>
  <c r="BE910" i="191"/>
  <c r="BF910" i="191"/>
  <c r="BG910" i="191"/>
  <c r="BH910" i="191"/>
  <c r="BI910" i="191"/>
  <c r="BJ910" i="191"/>
  <c r="BK910" i="191"/>
  <c r="BD911" i="191"/>
  <c r="BE911" i="191"/>
  <c r="BF911" i="191"/>
  <c r="BG911" i="191"/>
  <c r="BH911" i="191"/>
  <c r="BI911" i="191"/>
  <c r="BJ911" i="191"/>
  <c r="BK911" i="191"/>
  <c r="BD912" i="191"/>
  <c r="BE912" i="191"/>
  <c r="BF912" i="191"/>
  <c r="BG912" i="191"/>
  <c r="BH912" i="191"/>
  <c r="BI912" i="191"/>
  <c r="BJ912" i="191"/>
  <c r="BK912" i="191"/>
  <c r="BD913" i="191"/>
  <c r="BE913" i="191"/>
  <c r="BF913" i="191"/>
  <c r="BG913" i="191"/>
  <c r="BH913" i="191"/>
  <c r="BI913" i="191"/>
  <c r="BJ913" i="191"/>
  <c r="BK913" i="191"/>
  <c r="BD914" i="191"/>
  <c r="BE914" i="191"/>
  <c r="BF914" i="191"/>
  <c r="BG914" i="191"/>
  <c r="BH914" i="191"/>
  <c r="BI914" i="191"/>
  <c r="BJ914" i="191"/>
  <c r="BK914" i="191"/>
  <c r="BD915" i="191"/>
  <c r="BE915" i="191"/>
  <c r="BF915" i="191"/>
  <c r="BG915" i="191"/>
  <c r="BH915" i="191"/>
  <c r="BI915" i="191"/>
  <c r="BJ915" i="191"/>
  <c r="BK915" i="191"/>
  <c r="BD916" i="191"/>
  <c r="BE916" i="191"/>
  <c r="BF916" i="191"/>
  <c r="BG916" i="191"/>
  <c r="BH916" i="191"/>
  <c r="BI916" i="191"/>
  <c r="BJ916" i="191"/>
  <c r="BK916" i="191"/>
  <c r="BD917" i="191"/>
  <c r="BE917" i="191"/>
  <c r="BF917" i="191"/>
  <c r="BG917" i="191"/>
  <c r="BH917" i="191"/>
  <c r="BI917" i="191"/>
  <c r="BJ917" i="191"/>
  <c r="BK917" i="191"/>
  <c r="BD918" i="191"/>
  <c r="BE918" i="191"/>
  <c r="BF918" i="191"/>
  <c r="BG918" i="191"/>
  <c r="BH918" i="191"/>
  <c r="BI918" i="191"/>
  <c r="BJ918" i="191"/>
  <c r="BK918" i="191"/>
  <c r="BD919" i="191"/>
  <c r="BE919" i="191"/>
  <c r="BF919" i="191"/>
  <c r="BG919" i="191"/>
  <c r="BH919" i="191"/>
  <c r="BI919" i="191"/>
  <c r="BJ919" i="191"/>
  <c r="BK919" i="191"/>
  <c r="BD920" i="191"/>
  <c r="BE920" i="191"/>
  <c r="BF920" i="191"/>
  <c r="BG920" i="191"/>
  <c r="BH920" i="191"/>
  <c r="BI920" i="191"/>
  <c r="BJ920" i="191"/>
  <c r="BK920" i="191"/>
  <c r="BD921" i="191"/>
  <c r="BE921" i="191"/>
  <c r="BF921" i="191"/>
  <c r="BG921" i="191"/>
  <c r="BH921" i="191"/>
  <c r="BI921" i="191"/>
  <c r="BJ921" i="191"/>
  <c r="BK921" i="191"/>
  <c r="BD922" i="191"/>
  <c r="BE922" i="191"/>
  <c r="BF922" i="191"/>
  <c r="BG922" i="191"/>
  <c r="BH922" i="191"/>
  <c r="BI922" i="191"/>
  <c r="BJ922" i="191"/>
  <c r="BK922" i="191"/>
  <c r="BD923" i="191"/>
  <c r="BE923" i="191"/>
  <c r="BF923" i="191"/>
  <c r="BG923" i="191"/>
  <c r="BH923" i="191"/>
  <c r="BI923" i="191"/>
  <c r="BJ923" i="191"/>
  <c r="BK923" i="191"/>
  <c r="BD924" i="191"/>
  <c r="BE924" i="191"/>
  <c r="BF924" i="191"/>
  <c r="BG924" i="191"/>
  <c r="BH924" i="191"/>
  <c r="BI924" i="191"/>
  <c r="BJ924" i="191"/>
  <c r="BK924" i="191"/>
  <c r="BD925" i="191"/>
  <c r="BE925" i="191"/>
  <c r="BF925" i="191"/>
  <c r="BG925" i="191"/>
  <c r="BH925" i="191"/>
  <c r="BI925" i="191"/>
  <c r="BJ925" i="191"/>
  <c r="BK925" i="191"/>
  <c r="BD926" i="191"/>
  <c r="BE926" i="191"/>
  <c r="BF926" i="191"/>
  <c r="BG926" i="191"/>
  <c r="BH926" i="191"/>
  <c r="BI926" i="191"/>
  <c r="BJ926" i="191"/>
  <c r="BK926" i="191"/>
  <c r="BD927" i="191"/>
  <c r="BE927" i="191"/>
  <c r="BF927" i="191"/>
  <c r="BG927" i="191"/>
  <c r="BH927" i="191"/>
  <c r="BI927" i="191"/>
  <c r="BJ927" i="191"/>
  <c r="BK927" i="191"/>
  <c r="BD928" i="191"/>
  <c r="BE928" i="191"/>
  <c r="BF928" i="191"/>
  <c r="BG928" i="191"/>
  <c r="BH928" i="191"/>
  <c r="BI928" i="191"/>
  <c r="BJ928" i="191"/>
  <c r="BK928" i="191"/>
  <c r="BD929" i="191"/>
  <c r="BE929" i="191"/>
  <c r="BF929" i="191"/>
  <c r="BG929" i="191"/>
  <c r="BH929" i="191"/>
  <c r="BI929" i="191"/>
  <c r="BJ929" i="191"/>
  <c r="BK929" i="191"/>
  <c r="BD930" i="191"/>
  <c r="BE930" i="191"/>
  <c r="BF930" i="191"/>
  <c r="BG930" i="191"/>
  <c r="BH930" i="191"/>
  <c r="BI930" i="191"/>
  <c r="BJ930" i="191"/>
  <c r="BK930" i="191"/>
  <c r="BD931" i="191"/>
  <c r="BE931" i="191"/>
  <c r="BF931" i="191"/>
  <c r="BG931" i="191"/>
  <c r="BH931" i="191"/>
  <c r="BI931" i="191"/>
  <c r="BJ931" i="191"/>
  <c r="BK931" i="191"/>
  <c r="BD932" i="191"/>
  <c r="BE932" i="191"/>
  <c r="BF932" i="191"/>
  <c r="BG932" i="191"/>
  <c r="BH932" i="191"/>
  <c r="BI932" i="191"/>
  <c r="BJ932" i="191"/>
  <c r="BK932" i="191"/>
  <c r="BD933" i="191"/>
  <c r="BE933" i="191"/>
  <c r="BF933" i="191"/>
  <c r="BG933" i="191"/>
  <c r="BH933" i="191"/>
  <c r="BI933" i="191"/>
  <c r="BJ933" i="191"/>
  <c r="BK933" i="191"/>
  <c r="BD934" i="191"/>
  <c r="BE934" i="191"/>
  <c r="BF934" i="191"/>
  <c r="BG934" i="191"/>
  <c r="BH934" i="191"/>
  <c r="BI934" i="191"/>
  <c r="BJ934" i="191"/>
  <c r="BK934" i="191"/>
  <c r="BD935" i="191"/>
  <c r="BE935" i="191"/>
  <c r="BF935" i="191"/>
  <c r="BG935" i="191"/>
  <c r="BH935" i="191"/>
  <c r="BI935" i="191"/>
  <c r="BJ935" i="191"/>
  <c r="BK935" i="191"/>
  <c r="BD936" i="191"/>
  <c r="BE936" i="191"/>
  <c r="BF936" i="191"/>
  <c r="BG936" i="191"/>
  <c r="BH936" i="191"/>
  <c r="BI936" i="191"/>
  <c r="BJ936" i="191"/>
  <c r="BK936" i="191"/>
  <c r="BD937" i="191"/>
  <c r="BE937" i="191"/>
  <c r="BF937" i="191"/>
  <c r="BG937" i="191"/>
  <c r="BH937" i="191"/>
  <c r="BI937" i="191"/>
  <c r="BJ937" i="191"/>
  <c r="BK937" i="191"/>
  <c r="BD938" i="191"/>
  <c r="BE938" i="191"/>
  <c r="BF938" i="191"/>
  <c r="BG938" i="191"/>
  <c r="BH938" i="191"/>
  <c r="BI938" i="191"/>
  <c r="BJ938" i="191"/>
  <c r="BK938" i="191"/>
  <c r="BD939" i="191"/>
  <c r="BE939" i="191"/>
  <c r="BF939" i="191"/>
  <c r="BG939" i="191"/>
  <c r="BH939" i="191"/>
  <c r="BI939" i="191"/>
  <c r="BJ939" i="191"/>
  <c r="BK939" i="191"/>
  <c r="BD940" i="191"/>
  <c r="BE940" i="191"/>
  <c r="BF940" i="191"/>
  <c r="BG940" i="191"/>
  <c r="BH940" i="191"/>
  <c r="BI940" i="191"/>
  <c r="BJ940" i="191"/>
  <c r="BK940" i="191"/>
  <c r="BD941" i="191"/>
  <c r="BE941" i="191"/>
  <c r="BF941" i="191"/>
  <c r="BG941" i="191"/>
  <c r="BH941" i="191"/>
  <c r="BI941" i="191"/>
  <c r="BJ941" i="191"/>
  <c r="BK941" i="191"/>
  <c r="BD942" i="191"/>
  <c r="BE942" i="191"/>
  <c r="BF942" i="191"/>
  <c r="BG942" i="191"/>
  <c r="BH942" i="191"/>
  <c r="BI942" i="191"/>
  <c r="BJ942" i="191"/>
  <c r="BK942" i="191"/>
  <c r="BD943" i="191"/>
  <c r="BE943" i="191"/>
  <c r="BF943" i="191"/>
  <c r="BG943" i="191"/>
  <c r="BH943" i="191"/>
  <c r="BI943" i="191"/>
  <c r="BJ943" i="191"/>
  <c r="BK943" i="191"/>
  <c r="BD944" i="191"/>
  <c r="BE944" i="191"/>
  <c r="BF944" i="191"/>
  <c r="BG944" i="191"/>
  <c r="BH944" i="191"/>
  <c r="BI944" i="191"/>
  <c r="BJ944" i="191"/>
  <c r="BK944" i="191"/>
  <c r="BD945" i="191"/>
  <c r="BE945" i="191"/>
  <c r="BF945" i="191"/>
  <c r="BG945" i="191"/>
  <c r="BH945" i="191"/>
  <c r="BI945" i="191"/>
  <c r="BJ945" i="191"/>
  <c r="BK945" i="191"/>
  <c r="BD946" i="191"/>
  <c r="BE946" i="191"/>
  <c r="BF946" i="191"/>
  <c r="BG946" i="191"/>
  <c r="BH946" i="191"/>
  <c r="BI946" i="191"/>
  <c r="BJ946" i="191"/>
  <c r="BK946" i="191"/>
  <c r="BD947" i="191"/>
  <c r="BE947" i="191"/>
  <c r="BF947" i="191"/>
  <c r="BG947" i="191"/>
  <c r="BH947" i="191"/>
  <c r="BI947" i="191"/>
  <c r="BJ947" i="191"/>
  <c r="BK947" i="191"/>
  <c r="BD948" i="191"/>
  <c r="BE948" i="191"/>
  <c r="BF948" i="191"/>
  <c r="BG948" i="191"/>
  <c r="BH948" i="191"/>
  <c r="BI948" i="191"/>
  <c r="BJ948" i="191"/>
  <c r="BK948" i="191"/>
  <c r="BD949" i="191"/>
  <c r="BE949" i="191"/>
  <c r="BF949" i="191"/>
  <c r="BG949" i="191"/>
  <c r="BH949" i="191"/>
  <c r="BI949" i="191"/>
  <c r="BJ949" i="191"/>
  <c r="BK949" i="191"/>
  <c r="BD950" i="191"/>
  <c r="BE950" i="191"/>
  <c r="BF950" i="191"/>
  <c r="BG950" i="191"/>
  <c r="BH950" i="191"/>
  <c r="BI950" i="191"/>
  <c r="BJ950" i="191"/>
  <c r="BK950" i="191"/>
  <c r="BD951" i="191"/>
  <c r="BE951" i="191"/>
  <c r="BF951" i="191"/>
  <c r="BG951" i="191"/>
  <c r="BH951" i="191"/>
  <c r="BI951" i="191"/>
  <c r="BJ951" i="191"/>
  <c r="BK951" i="191"/>
  <c r="BD952" i="191"/>
  <c r="BE952" i="191"/>
  <c r="BF952" i="191"/>
  <c r="BG952" i="191"/>
  <c r="BH952" i="191"/>
  <c r="BI952" i="191"/>
  <c r="BJ952" i="191"/>
  <c r="BK952" i="191"/>
  <c r="BD953" i="191"/>
  <c r="BE953" i="191"/>
  <c r="BF953" i="191"/>
  <c r="BG953" i="191"/>
  <c r="BH953" i="191"/>
  <c r="BI953" i="191"/>
  <c r="BJ953" i="191"/>
  <c r="BK953" i="191"/>
  <c r="BD954" i="191"/>
  <c r="BE954" i="191"/>
  <c r="BF954" i="191"/>
  <c r="BG954" i="191"/>
  <c r="BH954" i="191"/>
  <c r="BI954" i="191"/>
  <c r="BJ954" i="191"/>
  <c r="BK954" i="191"/>
  <c r="BD955" i="191"/>
  <c r="BE955" i="191"/>
  <c r="BF955" i="191"/>
  <c r="BG955" i="191"/>
  <c r="BH955" i="191"/>
  <c r="BI955" i="191"/>
  <c r="BJ955" i="191"/>
  <c r="BK955" i="191"/>
  <c r="BD956" i="191"/>
  <c r="BE956" i="191"/>
  <c r="BF956" i="191"/>
  <c r="BG956" i="191"/>
  <c r="BH956" i="191"/>
  <c r="BI956" i="191"/>
  <c r="BJ956" i="191"/>
  <c r="BK956" i="191"/>
  <c r="BD957" i="191"/>
  <c r="BE957" i="191"/>
  <c r="BF957" i="191"/>
  <c r="BG957" i="191"/>
  <c r="BH957" i="191"/>
  <c r="BI957" i="191"/>
  <c r="BJ957" i="191"/>
  <c r="BK957" i="191"/>
  <c r="BD958" i="191"/>
  <c r="BE958" i="191"/>
  <c r="BF958" i="191"/>
  <c r="BG958" i="191"/>
  <c r="BH958" i="191"/>
  <c r="BI958" i="191"/>
  <c r="BJ958" i="191"/>
  <c r="BK958" i="191"/>
  <c r="BD959" i="191"/>
  <c r="BE959" i="191"/>
  <c r="BF959" i="191"/>
  <c r="BG959" i="191"/>
  <c r="BH959" i="191"/>
  <c r="BI959" i="191"/>
  <c r="BJ959" i="191"/>
  <c r="BK959" i="191"/>
  <c r="BD960" i="191"/>
  <c r="BE960" i="191"/>
  <c r="BF960" i="191"/>
  <c r="BG960" i="191"/>
  <c r="BH960" i="191"/>
  <c r="BI960" i="191"/>
  <c r="BJ960" i="191"/>
  <c r="BK960" i="191"/>
  <c r="BD961" i="191"/>
  <c r="BE961" i="191"/>
  <c r="BF961" i="191"/>
  <c r="BG961" i="191"/>
  <c r="BH961" i="191"/>
  <c r="BI961" i="191"/>
  <c r="BJ961" i="191"/>
  <c r="BK961" i="191"/>
  <c r="BD962" i="191"/>
  <c r="BE962" i="191"/>
  <c r="BF962" i="191"/>
  <c r="BG962" i="191"/>
  <c r="BH962" i="191"/>
  <c r="BI962" i="191"/>
  <c r="BJ962" i="191"/>
  <c r="BK962" i="191"/>
  <c r="BD963" i="191"/>
  <c r="BE963" i="191"/>
  <c r="BF963" i="191"/>
  <c r="BG963" i="191"/>
  <c r="BH963" i="191"/>
  <c r="BI963" i="191"/>
  <c r="BJ963" i="191"/>
  <c r="BK963" i="191"/>
  <c r="BD964" i="191"/>
  <c r="BE964" i="191"/>
  <c r="BF964" i="191"/>
  <c r="BG964" i="191"/>
  <c r="BH964" i="191"/>
  <c r="BI964" i="191"/>
  <c r="BJ964" i="191"/>
  <c r="BK964" i="191"/>
  <c r="BD965" i="191"/>
  <c r="BE965" i="191"/>
  <c r="BF965" i="191"/>
  <c r="BG965" i="191"/>
  <c r="BH965" i="191"/>
  <c r="BI965" i="191"/>
  <c r="BJ965" i="191"/>
  <c r="BK965" i="191"/>
  <c r="BD966" i="191"/>
  <c r="BE966" i="191"/>
  <c r="BF966" i="191"/>
  <c r="BG966" i="191"/>
  <c r="BH966" i="191"/>
  <c r="BI966" i="191"/>
  <c r="BJ966" i="191"/>
  <c r="BK966" i="191"/>
  <c r="BD967" i="191"/>
  <c r="BE967" i="191"/>
  <c r="BF967" i="191"/>
  <c r="BG967" i="191"/>
  <c r="BH967" i="191"/>
  <c r="BI967" i="191"/>
  <c r="BJ967" i="191"/>
  <c r="BK967" i="191"/>
  <c r="BD968" i="191"/>
  <c r="BE968" i="191"/>
  <c r="BF968" i="191"/>
  <c r="BG968" i="191"/>
  <c r="BH968" i="191"/>
  <c r="BI968" i="191"/>
  <c r="BJ968" i="191"/>
  <c r="BK968" i="191"/>
  <c r="BD969" i="191"/>
  <c r="BE969" i="191"/>
  <c r="BF969" i="191"/>
  <c r="BG969" i="191"/>
  <c r="BH969" i="191"/>
  <c r="BI969" i="191"/>
  <c r="BJ969" i="191"/>
  <c r="BK969" i="191"/>
  <c r="BD970" i="191"/>
  <c r="BE970" i="191"/>
  <c r="BF970" i="191"/>
  <c r="BG970" i="191"/>
  <c r="BH970" i="191"/>
  <c r="BI970" i="191"/>
  <c r="BJ970" i="191"/>
  <c r="BK970" i="191"/>
  <c r="BD971" i="191"/>
  <c r="BE971" i="191"/>
  <c r="BF971" i="191"/>
  <c r="BG971" i="191"/>
  <c r="BH971" i="191"/>
  <c r="BI971" i="191"/>
  <c r="BJ971" i="191"/>
  <c r="BK971" i="191"/>
  <c r="BD972" i="191"/>
  <c r="BE972" i="191"/>
  <c r="BF972" i="191"/>
  <c r="BG972" i="191"/>
  <c r="BH972" i="191"/>
  <c r="BI972" i="191"/>
  <c r="BJ972" i="191"/>
  <c r="BK972" i="191"/>
  <c r="BD973" i="191"/>
  <c r="BE973" i="191"/>
  <c r="BF973" i="191"/>
  <c r="BG973" i="191"/>
  <c r="BH973" i="191"/>
  <c r="BI973" i="191"/>
  <c r="BJ973" i="191"/>
  <c r="BK973" i="191"/>
  <c r="BD974" i="191"/>
  <c r="BE974" i="191"/>
  <c r="BF974" i="191"/>
  <c r="BG974" i="191"/>
  <c r="BH974" i="191"/>
  <c r="BI974" i="191"/>
  <c r="BJ974" i="191"/>
  <c r="BK974" i="191"/>
  <c r="BD975" i="191"/>
  <c r="BE975" i="191"/>
  <c r="BF975" i="191"/>
  <c r="BG975" i="191"/>
  <c r="BH975" i="191"/>
  <c r="BI975" i="191"/>
  <c r="BJ975" i="191"/>
  <c r="BK975" i="191"/>
  <c r="BD976" i="191"/>
  <c r="BE976" i="191"/>
  <c r="BF976" i="191"/>
  <c r="BG976" i="191"/>
  <c r="BH976" i="191"/>
  <c r="BI976" i="191"/>
  <c r="BJ976" i="191"/>
  <c r="BK976" i="191"/>
  <c r="BD977" i="191"/>
  <c r="BE977" i="191"/>
  <c r="BF977" i="191"/>
  <c r="BG977" i="191"/>
  <c r="BH977" i="191"/>
  <c r="BI977" i="191"/>
  <c r="BJ977" i="191"/>
  <c r="BK977" i="191"/>
  <c r="BD978" i="191"/>
  <c r="BE978" i="191"/>
  <c r="BF978" i="191"/>
  <c r="BG978" i="191"/>
  <c r="BH978" i="191"/>
  <c r="BI978" i="191"/>
  <c r="BJ978" i="191"/>
  <c r="BK978" i="191"/>
  <c r="BD979" i="191"/>
  <c r="BE979" i="191"/>
  <c r="BF979" i="191"/>
  <c r="BG979" i="191"/>
  <c r="BH979" i="191"/>
  <c r="BI979" i="191"/>
  <c r="BJ979" i="191"/>
  <c r="BK979" i="191"/>
  <c r="BD980" i="191"/>
  <c r="BE980" i="191"/>
  <c r="BF980" i="191"/>
  <c r="BG980" i="191"/>
  <c r="BH980" i="191"/>
  <c r="BI980" i="191"/>
  <c r="BJ980" i="191"/>
  <c r="BK980" i="191"/>
  <c r="BD981" i="191"/>
  <c r="BE981" i="191"/>
  <c r="BF981" i="191"/>
  <c r="BG981" i="191"/>
  <c r="BH981" i="191"/>
  <c r="BI981" i="191"/>
  <c r="BJ981" i="191"/>
  <c r="BK981" i="191"/>
  <c r="BD982" i="191"/>
  <c r="BE982" i="191"/>
  <c r="BF982" i="191"/>
  <c r="BG982" i="191"/>
  <c r="BH982" i="191"/>
  <c r="BI982" i="191"/>
  <c r="BJ982" i="191"/>
  <c r="BK982" i="191"/>
  <c r="BD983" i="191"/>
  <c r="BE983" i="191"/>
  <c r="BF983" i="191"/>
  <c r="BG983" i="191"/>
  <c r="BH983" i="191"/>
  <c r="BI983" i="191"/>
  <c r="BJ983" i="191"/>
  <c r="BK983" i="191"/>
  <c r="BD984" i="191"/>
  <c r="BE984" i="191"/>
  <c r="BF984" i="191"/>
  <c r="BG984" i="191"/>
  <c r="BH984" i="191"/>
  <c r="BI984" i="191"/>
  <c r="BJ984" i="191"/>
  <c r="BK984" i="191"/>
  <c r="BD985" i="191"/>
  <c r="BE985" i="191"/>
  <c r="BF985" i="191"/>
  <c r="BG985" i="191"/>
  <c r="BH985" i="191"/>
  <c r="BI985" i="191"/>
  <c r="BJ985" i="191"/>
  <c r="BK985" i="191"/>
  <c r="BD986" i="191"/>
  <c r="BE986" i="191"/>
  <c r="BF986" i="191"/>
  <c r="BG986" i="191"/>
  <c r="BH986" i="191"/>
  <c r="BI986" i="191"/>
  <c r="BJ986" i="191"/>
  <c r="BK986" i="191"/>
  <c r="BD987" i="191"/>
  <c r="BE987" i="191"/>
  <c r="BF987" i="191"/>
  <c r="BG987" i="191"/>
  <c r="BH987" i="191"/>
  <c r="BI987" i="191"/>
  <c r="BJ987" i="191"/>
  <c r="BK987" i="191"/>
  <c r="BD988" i="191"/>
  <c r="BE988" i="191"/>
  <c r="BF988" i="191"/>
  <c r="BG988" i="191"/>
  <c r="BH988" i="191"/>
  <c r="BI988" i="191"/>
  <c r="BJ988" i="191"/>
  <c r="BK988" i="191"/>
  <c r="BD989" i="191"/>
  <c r="BE989" i="191"/>
  <c r="BF989" i="191"/>
  <c r="BG989" i="191"/>
  <c r="BH989" i="191"/>
  <c r="BI989" i="191"/>
  <c r="BJ989" i="191"/>
  <c r="BK989" i="191"/>
  <c r="BD990" i="191"/>
  <c r="BE990" i="191"/>
  <c r="BF990" i="191"/>
  <c r="BG990" i="191"/>
  <c r="BH990" i="191"/>
  <c r="BI990" i="191"/>
  <c r="BJ990" i="191"/>
  <c r="BK990" i="191"/>
  <c r="BD991" i="191"/>
  <c r="BE991" i="191"/>
  <c r="BF991" i="191"/>
  <c r="BG991" i="191"/>
  <c r="BH991" i="191"/>
  <c r="BI991" i="191"/>
  <c r="BJ991" i="191"/>
  <c r="BK991" i="191"/>
  <c r="BD992" i="191"/>
  <c r="BE992" i="191"/>
  <c r="BF992" i="191"/>
  <c r="BG992" i="191"/>
  <c r="BH992" i="191"/>
  <c r="BI992" i="191"/>
  <c r="BJ992" i="191"/>
  <c r="BK992" i="191"/>
  <c r="BD993" i="191"/>
  <c r="BE993" i="191"/>
  <c r="BF993" i="191"/>
  <c r="BG993" i="191"/>
  <c r="BH993" i="191"/>
  <c r="BI993" i="191"/>
  <c r="BJ993" i="191"/>
  <c r="BK993" i="191"/>
  <c r="BD994" i="191"/>
  <c r="BE994" i="191"/>
  <c r="BF994" i="191"/>
  <c r="BG994" i="191"/>
  <c r="BH994" i="191"/>
  <c r="BI994" i="191"/>
  <c r="BJ994" i="191"/>
  <c r="BK994" i="191"/>
  <c r="BD995" i="191"/>
  <c r="BE995" i="191"/>
  <c r="BF995" i="191"/>
  <c r="BG995" i="191"/>
  <c r="BH995" i="191"/>
  <c r="BI995" i="191"/>
  <c r="BJ995" i="191"/>
  <c r="BK995" i="191"/>
  <c r="BD996" i="191"/>
  <c r="BE996" i="191"/>
  <c r="BF996" i="191"/>
  <c r="BG996" i="191"/>
  <c r="BH996" i="191"/>
  <c r="BI996" i="191"/>
  <c r="BJ996" i="191"/>
  <c r="BK996" i="191"/>
  <c r="BD997" i="191"/>
  <c r="BE997" i="191"/>
  <c r="BF997" i="191"/>
  <c r="BG997" i="191"/>
  <c r="BH997" i="191"/>
  <c r="BI997" i="191"/>
  <c r="BJ997" i="191"/>
  <c r="BK997" i="191"/>
  <c r="BD998" i="191"/>
  <c r="BE998" i="191"/>
  <c r="BF998" i="191"/>
  <c r="BG998" i="191"/>
  <c r="BH998" i="191"/>
  <c r="BI998" i="191"/>
  <c r="BJ998" i="191"/>
  <c r="BK998" i="191"/>
  <c r="BD999" i="191"/>
  <c r="BE999" i="191"/>
  <c r="BF999" i="191"/>
  <c r="BG999" i="191"/>
  <c r="BH999" i="191"/>
  <c r="BI999" i="191"/>
  <c r="BJ999" i="191"/>
  <c r="BK999" i="191"/>
  <c r="BD1000" i="191"/>
  <c r="BE1000" i="191"/>
  <c r="BF1000" i="191"/>
  <c r="BG1000" i="191"/>
  <c r="BH1000" i="191"/>
  <c r="BI1000" i="191"/>
  <c r="BJ1000" i="191"/>
  <c r="BK1000" i="191"/>
  <c r="BD1001" i="191"/>
  <c r="BE1001" i="191"/>
  <c r="BF1001" i="191"/>
  <c r="BG1001" i="191"/>
  <c r="BH1001" i="191"/>
  <c r="BI1001" i="191"/>
  <c r="BJ1001" i="191"/>
  <c r="BK1001" i="191"/>
  <c r="BD1002" i="191"/>
  <c r="BE1002" i="191"/>
  <c r="BF1002" i="191"/>
  <c r="BG1002" i="191"/>
  <c r="BH1002" i="191"/>
  <c r="BI1002" i="191"/>
  <c r="BJ1002" i="191"/>
  <c r="BK1002" i="191"/>
  <c r="BD1003" i="191"/>
  <c r="BE1003" i="191"/>
  <c r="BF1003" i="191"/>
  <c r="BG1003" i="191"/>
  <c r="BH1003" i="191"/>
  <c r="BI1003" i="191"/>
  <c r="BJ1003" i="191"/>
  <c r="BK1003" i="191"/>
  <c r="BD1004" i="191"/>
  <c r="BE1004" i="191"/>
  <c r="BF1004" i="191"/>
  <c r="BG1004" i="191"/>
  <c r="BH1004" i="191"/>
  <c r="BI1004" i="191"/>
  <c r="BJ1004" i="191"/>
  <c r="BK1004" i="191"/>
  <c r="BD1005" i="191"/>
  <c r="BE1005" i="191"/>
  <c r="BF1005" i="191"/>
  <c r="BG1005" i="191"/>
  <c r="BH1005" i="191"/>
  <c r="BI1005" i="191"/>
  <c r="BJ1005" i="191"/>
  <c r="BK1005" i="191"/>
  <c r="BD1006" i="191"/>
  <c r="BE1006" i="191"/>
  <c r="BF1006" i="191"/>
  <c r="BG1006" i="191"/>
  <c r="BH1006" i="191"/>
  <c r="BI1006" i="191"/>
  <c r="BJ1006" i="191"/>
  <c r="BK1006" i="191"/>
  <c r="BD1007" i="191"/>
  <c r="BE1007" i="191"/>
  <c r="BF1007" i="191"/>
  <c r="BG1007" i="191"/>
  <c r="BH1007" i="191"/>
  <c r="BI1007" i="191"/>
  <c r="BJ1007" i="191"/>
  <c r="BK1007" i="191"/>
  <c r="BD1008" i="191"/>
  <c r="BE1008" i="191"/>
  <c r="BF1008" i="191"/>
  <c r="BG1008" i="191"/>
  <c r="BH1008" i="191"/>
  <c r="BI1008" i="191"/>
  <c r="BJ1008" i="191"/>
  <c r="BK1008" i="191"/>
  <c r="BD1009" i="191"/>
  <c r="BE1009" i="191"/>
  <c r="BF1009" i="191"/>
  <c r="BG1009" i="191"/>
  <c r="BH1009" i="191"/>
  <c r="BI1009" i="191"/>
  <c r="BJ1009" i="191"/>
  <c r="BK1009" i="191"/>
  <c r="BD1010" i="191"/>
  <c r="BE1010" i="191"/>
  <c r="BF1010" i="191"/>
  <c r="BG1010" i="191"/>
  <c r="BH1010" i="191"/>
  <c r="BI1010" i="191"/>
  <c r="BJ1010" i="191"/>
  <c r="BK1010" i="191"/>
  <c r="BD1011" i="191"/>
  <c r="BE1011" i="191"/>
  <c r="BF1011" i="191"/>
  <c r="BG1011" i="191"/>
  <c r="BH1011" i="191"/>
  <c r="BI1011" i="191"/>
  <c r="BJ1011" i="191"/>
  <c r="BK1011" i="191"/>
  <c r="BD1012" i="191"/>
  <c r="BE1012" i="191"/>
  <c r="BF1012" i="191"/>
  <c r="BG1012" i="191"/>
  <c r="BH1012" i="191"/>
  <c r="BI1012" i="191"/>
  <c r="BJ1012" i="191"/>
  <c r="BK1012" i="191"/>
  <c r="BD1013" i="191"/>
  <c r="BE1013" i="191"/>
  <c r="BF1013" i="191"/>
  <c r="BG1013" i="191"/>
  <c r="BH1013" i="191"/>
  <c r="BI1013" i="191"/>
  <c r="BJ1013" i="191"/>
  <c r="BK1013" i="191"/>
  <c r="BD1014" i="191"/>
  <c r="BE1014" i="191"/>
  <c r="BF1014" i="191"/>
  <c r="BG1014" i="191"/>
  <c r="BH1014" i="191"/>
  <c r="BI1014" i="191"/>
  <c r="BJ1014" i="191"/>
  <c r="BK1014" i="191"/>
  <c r="BD1015" i="191"/>
  <c r="BE1015" i="191"/>
  <c r="BF1015" i="191"/>
  <c r="BG1015" i="191"/>
  <c r="BH1015" i="191"/>
  <c r="BI1015" i="191"/>
  <c r="BJ1015" i="191"/>
  <c r="BK1015" i="191"/>
  <c r="BD1016" i="191"/>
  <c r="BE1016" i="191"/>
  <c r="BF1016" i="191"/>
  <c r="BG1016" i="191"/>
  <c r="BH1016" i="191"/>
  <c r="BI1016" i="191"/>
  <c r="BJ1016" i="191"/>
  <c r="BK1016" i="191"/>
  <c r="BD1017" i="191"/>
  <c r="BE1017" i="191"/>
  <c r="BF1017" i="191"/>
  <c r="BG1017" i="191"/>
  <c r="BH1017" i="191"/>
  <c r="BI1017" i="191"/>
  <c r="BJ1017" i="191"/>
  <c r="BK1017" i="191"/>
  <c r="BD1018" i="191"/>
  <c r="BE1018" i="191"/>
  <c r="BF1018" i="191"/>
  <c r="BG1018" i="191"/>
  <c r="BH1018" i="191"/>
  <c r="BI1018" i="191"/>
  <c r="BJ1018" i="191"/>
  <c r="BK1018" i="191"/>
  <c r="BD1019" i="191"/>
  <c r="BE1019" i="191"/>
  <c r="BF1019" i="191"/>
  <c r="BG1019" i="191"/>
  <c r="BH1019" i="191"/>
  <c r="BI1019" i="191"/>
  <c r="BJ1019" i="191"/>
  <c r="BK1019" i="191"/>
  <c r="BD1020" i="191"/>
  <c r="BE1020" i="191"/>
  <c r="BF1020" i="191"/>
  <c r="BG1020" i="191"/>
  <c r="BH1020" i="191"/>
  <c r="BI1020" i="191"/>
  <c r="BJ1020" i="191"/>
  <c r="BK1020" i="191"/>
  <c r="BD1021" i="191"/>
  <c r="BE1021" i="191"/>
  <c r="BF1021" i="191"/>
  <c r="BG1021" i="191"/>
  <c r="BH1021" i="191"/>
  <c r="BI1021" i="191"/>
  <c r="BJ1021" i="191"/>
  <c r="BK1021" i="191"/>
  <c r="BD1022" i="191"/>
  <c r="BE1022" i="191"/>
  <c r="BF1022" i="191"/>
  <c r="BG1022" i="191"/>
  <c r="BH1022" i="191"/>
  <c r="BI1022" i="191"/>
  <c r="BJ1022" i="191"/>
  <c r="BK1022" i="191"/>
  <c r="BD1023" i="191"/>
  <c r="BE1023" i="191"/>
  <c r="BF1023" i="191"/>
  <c r="BG1023" i="191"/>
  <c r="BH1023" i="191"/>
  <c r="BI1023" i="191"/>
  <c r="BJ1023" i="191"/>
  <c r="BK1023" i="191"/>
  <c r="BD1024" i="191"/>
  <c r="BE1024" i="191"/>
  <c r="BF1024" i="191"/>
  <c r="BG1024" i="191"/>
  <c r="BH1024" i="191"/>
  <c r="BI1024" i="191"/>
  <c r="BJ1024" i="191"/>
  <c r="BK1024" i="191"/>
  <c r="BD1025" i="191"/>
  <c r="BE1025" i="191"/>
  <c r="BF1025" i="191"/>
  <c r="BG1025" i="191"/>
  <c r="BH1025" i="191"/>
  <c r="BI1025" i="191"/>
  <c r="BJ1025" i="191"/>
  <c r="BK1025" i="191"/>
  <c r="BD1026" i="191"/>
  <c r="BE1026" i="191"/>
  <c r="BF1026" i="191"/>
  <c r="BG1026" i="191"/>
  <c r="BH1026" i="191"/>
  <c r="BI1026" i="191"/>
  <c r="BJ1026" i="191"/>
  <c r="BK1026" i="191"/>
  <c r="BD1027" i="191"/>
  <c r="BE1027" i="191"/>
  <c r="BF1027" i="191"/>
  <c r="BG1027" i="191"/>
  <c r="BH1027" i="191"/>
  <c r="BI1027" i="191"/>
  <c r="BJ1027" i="191"/>
  <c r="BK1027" i="191"/>
  <c r="BD1028" i="191"/>
  <c r="BE1028" i="191"/>
  <c r="BF1028" i="191"/>
  <c r="BG1028" i="191"/>
  <c r="BH1028" i="191"/>
  <c r="BI1028" i="191"/>
  <c r="BJ1028" i="191"/>
  <c r="BK1028" i="191"/>
  <c r="BD1029" i="191"/>
  <c r="BE1029" i="191"/>
  <c r="BF1029" i="191"/>
  <c r="BG1029" i="191"/>
  <c r="BH1029" i="191"/>
  <c r="BI1029" i="191"/>
  <c r="BJ1029" i="191"/>
  <c r="BK1029" i="191"/>
  <c r="BD1030" i="191"/>
  <c r="BE1030" i="191"/>
  <c r="BF1030" i="191"/>
  <c r="BG1030" i="191"/>
  <c r="BH1030" i="191"/>
  <c r="BI1030" i="191"/>
  <c r="BJ1030" i="191"/>
  <c r="BK1030" i="191"/>
  <c r="BD1031" i="191"/>
  <c r="BE1031" i="191"/>
  <c r="BF1031" i="191"/>
  <c r="BG1031" i="191"/>
  <c r="BH1031" i="191"/>
  <c r="BI1031" i="191"/>
  <c r="BJ1031" i="191"/>
  <c r="BK1031" i="191"/>
  <c r="BD1032" i="191"/>
  <c r="BE1032" i="191"/>
  <c r="BF1032" i="191"/>
  <c r="BG1032" i="191"/>
  <c r="BH1032" i="191"/>
  <c r="BI1032" i="191"/>
  <c r="BJ1032" i="191"/>
  <c r="BK1032" i="191"/>
  <c r="BD1033" i="191"/>
  <c r="BE1033" i="191"/>
  <c r="BF1033" i="191"/>
  <c r="BG1033" i="191"/>
  <c r="BH1033" i="191"/>
  <c r="BI1033" i="191"/>
  <c r="BJ1033" i="191"/>
  <c r="BK1033" i="191"/>
  <c r="BD1034" i="191"/>
  <c r="BE1034" i="191"/>
  <c r="BF1034" i="191"/>
  <c r="BG1034" i="191"/>
  <c r="BH1034" i="191"/>
  <c r="BI1034" i="191"/>
  <c r="BJ1034" i="191"/>
  <c r="BK1034" i="191"/>
  <c r="BD1035" i="191"/>
  <c r="BE1035" i="191"/>
  <c r="BF1035" i="191"/>
  <c r="BG1035" i="191"/>
  <c r="BH1035" i="191"/>
  <c r="BI1035" i="191"/>
  <c r="BJ1035" i="191"/>
  <c r="BK1035" i="191"/>
  <c r="BD1036" i="191"/>
  <c r="BE1036" i="191"/>
  <c r="BF1036" i="191"/>
  <c r="BG1036" i="191"/>
  <c r="BH1036" i="191"/>
  <c r="BI1036" i="191"/>
  <c r="BJ1036" i="191"/>
  <c r="BK1036" i="191"/>
  <c r="BD1037" i="191"/>
  <c r="BE1037" i="191"/>
  <c r="BF1037" i="191"/>
  <c r="BG1037" i="191"/>
  <c r="BH1037" i="191"/>
  <c r="BI1037" i="191"/>
  <c r="BJ1037" i="191"/>
  <c r="BK1037" i="191"/>
  <c r="BD1038" i="191"/>
  <c r="BE1038" i="191"/>
  <c r="BF1038" i="191"/>
  <c r="BG1038" i="191"/>
  <c r="BH1038" i="191"/>
  <c r="BI1038" i="191"/>
  <c r="BJ1038" i="191"/>
  <c r="BK1038" i="191"/>
  <c r="BD1039" i="191"/>
  <c r="BE1039" i="191"/>
  <c r="BF1039" i="191"/>
  <c r="BG1039" i="191"/>
  <c r="BH1039" i="191"/>
  <c r="BI1039" i="191"/>
  <c r="BJ1039" i="191"/>
  <c r="BK1039" i="191"/>
  <c r="BD1040" i="191"/>
  <c r="BE1040" i="191"/>
  <c r="BF1040" i="191"/>
  <c r="BG1040" i="191"/>
  <c r="BH1040" i="191"/>
  <c r="BI1040" i="191"/>
  <c r="BJ1040" i="191"/>
  <c r="BK1040" i="191"/>
  <c r="BD1041" i="191"/>
  <c r="BE1041" i="191"/>
  <c r="BF1041" i="191"/>
  <c r="BG1041" i="191"/>
  <c r="BH1041" i="191"/>
  <c r="BI1041" i="191"/>
  <c r="BJ1041" i="191"/>
  <c r="BK1041" i="191"/>
  <c r="BD1042" i="191"/>
  <c r="BE1042" i="191"/>
  <c r="BF1042" i="191"/>
  <c r="BG1042" i="191"/>
  <c r="BH1042" i="191"/>
  <c r="BI1042" i="191"/>
  <c r="BJ1042" i="191"/>
  <c r="BK1042" i="191"/>
  <c r="BD1043" i="191"/>
  <c r="BE1043" i="191"/>
  <c r="BF1043" i="191"/>
  <c r="BG1043" i="191"/>
  <c r="BH1043" i="191"/>
  <c r="BI1043" i="191"/>
  <c r="BJ1043" i="191"/>
  <c r="BK1043" i="191"/>
  <c r="BD1044" i="191"/>
  <c r="BE1044" i="191"/>
  <c r="BF1044" i="191"/>
  <c r="BG1044" i="191"/>
  <c r="BH1044" i="191"/>
  <c r="BI1044" i="191"/>
  <c r="BJ1044" i="191"/>
  <c r="BK1044" i="191"/>
  <c r="BD1045" i="191"/>
  <c r="BE1045" i="191"/>
  <c r="BF1045" i="191"/>
  <c r="BG1045" i="191"/>
  <c r="BH1045" i="191"/>
  <c r="BI1045" i="191"/>
  <c r="BJ1045" i="191"/>
  <c r="BK1045" i="191"/>
  <c r="BD1046" i="191"/>
  <c r="BE1046" i="191"/>
  <c r="BF1046" i="191"/>
  <c r="BG1046" i="191"/>
  <c r="BH1046" i="191"/>
  <c r="BI1046" i="191"/>
  <c r="BJ1046" i="191"/>
  <c r="BK1046" i="191"/>
  <c r="BD1047" i="191"/>
  <c r="BE1047" i="191"/>
  <c r="BF1047" i="191"/>
  <c r="BG1047" i="191"/>
  <c r="BH1047" i="191"/>
  <c r="BI1047" i="191"/>
  <c r="BJ1047" i="191"/>
  <c r="BK1047" i="191"/>
  <c r="BD1048" i="191"/>
  <c r="BE1048" i="191"/>
  <c r="BF1048" i="191"/>
  <c r="BG1048" i="191"/>
  <c r="BH1048" i="191"/>
  <c r="BI1048" i="191"/>
  <c r="BJ1048" i="191"/>
  <c r="BK1048" i="191"/>
  <c r="BD1049" i="191"/>
  <c r="BE1049" i="191"/>
  <c r="BF1049" i="191"/>
  <c r="BG1049" i="191"/>
  <c r="BH1049" i="191"/>
  <c r="BI1049" i="191"/>
  <c r="BJ1049" i="191"/>
  <c r="BK1049" i="191"/>
  <c r="BD1050" i="191"/>
  <c r="BE1050" i="191"/>
  <c r="BF1050" i="191"/>
  <c r="BG1050" i="191"/>
  <c r="BH1050" i="191"/>
  <c r="BI1050" i="191"/>
  <c r="BJ1050" i="191"/>
  <c r="BK1050" i="191"/>
  <c r="BD1051" i="191"/>
  <c r="BE1051" i="191"/>
  <c r="BF1051" i="191"/>
  <c r="BG1051" i="191"/>
  <c r="BH1051" i="191"/>
  <c r="BI1051" i="191"/>
  <c r="BJ1051" i="191"/>
  <c r="BK1051" i="191"/>
  <c r="BD1052" i="191"/>
  <c r="BE1052" i="191"/>
  <c r="BF1052" i="191"/>
  <c r="BG1052" i="191"/>
  <c r="BH1052" i="191"/>
  <c r="BI1052" i="191"/>
  <c r="BJ1052" i="191"/>
  <c r="BK1052" i="191"/>
  <c r="BD1053" i="191"/>
  <c r="BE1053" i="191"/>
  <c r="BF1053" i="191"/>
  <c r="BG1053" i="191"/>
  <c r="BH1053" i="191"/>
  <c r="BI1053" i="191"/>
  <c r="BJ1053" i="191"/>
  <c r="BK1053" i="191"/>
  <c r="BD1054" i="191"/>
  <c r="BE1054" i="191"/>
  <c r="BF1054" i="191"/>
  <c r="BG1054" i="191"/>
  <c r="BH1054" i="191"/>
  <c r="BI1054" i="191"/>
  <c r="BJ1054" i="191"/>
  <c r="BK1054" i="191"/>
  <c r="BD1055" i="191"/>
  <c r="BE1055" i="191"/>
  <c r="BF1055" i="191"/>
  <c r="BG1055" i="191"/>
  <c r="BH1055" i="191"/>
  <c r="BI1055" i="191"/>
  <c r="BJ1055" i="191"/>
  <c r="BK1055" i="191"/>
  <c r="BD1056" i="191"/>
  <c r="BE1056" i="191"/>
  <c r="BF1056" i="191"/>
  <c r="BG1056" i="191"/>
  <c r="BH1056" i="191"/>
  <c r="BI1056" i="191"/>
  <c r="BJ1056" i="191"/>
  <c r="BK1056" i="191"/>
  <c r="BD1057" i="191"/>
  <c r="BE1057" i="191"/>
  <c r="BF1057" i="191"/>
  <c r="BG1057" i="191"/>
  <c r="BH1057" i="191"/>
  <c r="BI1057" i="191"/>
  <c r="BJ1057" i="191"/>
  <c r="BK1057" i="191"/>
  <c r="BD1058" i="191"/>
  <c r="BE1058" i="191"/>
  <c r="BF1058" i="191"/>
  <c r="BG1058" i="191"/>
  <c r="BH1058" i="191"/>
  <c r="BI1058" i="191"/>
  <c r="BJ1058" i="191"/>
  <c r="BK1058" i="191"/>
  <c r="BD1059" i="191"/>
  <c r="BE1059" i="191"/>
  <c r="BF1059" i="191"/>
  <c r="BG1059" i="191"/>
  <c r="BH1059" i="191"/>
  <c r="BI1059" i="191"/>
  <c r="BJ1059" i="191"/>
  <c r="BK1059" i="191"/>
  <c r="BD1060" i="191"/>
  <c r="BE1060" i="191"/>
  <c r="BF1060" i="191"/>
  <c r="BG1060" i="191"/>
  <c r="BH1060" i="191"/>
  <c r="BI1060" i="191"/>
  <c r="BJ1060" i="191"/>
  <c r="BK1060" i="191"/>
  <c r="BD1061" i="191"/>
  <c r="BE1061" i="191"/>
  <c r="BF1061" i="191"/>
  <c r="BG1061" i="191"/>
  <c r="BH1061" i="191"/>
  <c r="BI1061" i="191"/>
  <c r="BJ1061" i="191"/>
  <c r="BK1061" i="191"/>
  <c r="BD1062" i="191"/>
  <c r="BE1062" i="191"/>
  <c r="BF1062" i="191"/>
  <c r="BG1062" i="191"/>
  <c r="BH1062" i="191"/>
  <c r="BI1062" i="191"/>
  <c r="BJ1062" i="191"/>
  <c r="BK1062" i="191"/>
  <c r="BD1063" i="191"/>
  <c r="BE1063" i="191"/>
  <c r="BF1063" i="191"/>
  <c r="BG1063" i="191"/>
  <c r="BH1063" i="191"/>
  <c r="BI1063" i="191"/>
  <c r="BJ1063" i="191"/>
  <c r="BK1063" i="191"/>
  <c r="BD1064" i="191"/>
  <c r="BE1064" i="191"/>
  <c r="BF1064" i="191"/>
  <c r="BG1064" i="191"/>
  <c r="BH1064" i="191"/>
  <c r="BI1064" i="191"/>
  <c r="BJ1064" i="191"/>
  <c r="BK1064" i="191"/>
  <c r="BD1065" i="191"/>
  <c r="BE1065" i="191"/>
  <c r="BF1065" i="191"/>
  <c r="BG1065" i="191"/>
  <c r="BH1065" i="191"/>
  <c r="BI1065" i="191"/>
  <c r="BJ1065" i="191"/>
  <c r="BK1065" i="191"/>
  <c r="BD1066" i="191"/>
  <c r="BE1066" i="191"/>
  <c r="BF1066" i="191"/>
  <c r="BG1066" i="191"/>
  <c r="BH1066" i="191"/>
  <c r="BI1066" i="191"/>
  <c r="BJ1066" i="191"/>
  <c r="BK1066" i="191"/>
  <c r="BD1067" i="191"/>
  <c r="BE1067" i="191"/>
  <c r="BF1067" i="191"/>
  <c r="BG1067" i="191"/>
  <c r="BH1067" i="191"/>
  <c r="BI1067" i="191"/>
  <c r="BJ1067" i="191"/>
  <c r="BK1067" i="191"/>
  <c r="BD1068" i="191"/>
  <c r="BE1068" i="191"/>
  <c r="BF1068" i="191"/>
  <c r="BG1068" i="191"/>
  <c r="BH1068" i="191"/>
  <c r="BI1068" i="191"/>
  <c r="BJ1068" i="191"/>
  <c r="BK1068" i="191"/>
  <c r="BD1069" i="191"/>
  <c r="BE1069" i="191"/>
  <c r="BF1069" i="191"/>
  <c r="BG1069" i="191"/>
  <c r="BH1069" i="191"/>
  <c r="BI1069" i="191"/>
  <c r="BJ1069" i="191"/>
  <c r="BK1069" i="191"/>
  <c r="BD1070" i="191"/>
  <c r="BE1070" i="191"/>
  <c r="BF1070" i="191"/>
  <c r="BG1070" i="191"/>
  <c r="BH1070" i="191"/>
  <c r="BI1070" i="191"/>
  <c r="BJ1070" i="191"/>
  <c r="BK1070" i="191"/>
  <c r="BD1071" i="191"/>
  <c r="BE1071" i="191"/>
  <c r="BF1071" i="191"/>
  <c r="BG1071" i="191"/>
  <c r="BH1071" i="191"/>
  <c r="BI1071" i="191"/>
  <c r="BJ1071" i="191"/>
  <c r="BK1071" i="191"/>
  <c r="BD1072" i="191"/>
  <c r="BE1072" i="191"/>
  <c r="BF1072" i="191"/>
  <c r="BG1072" i="191"/>
  <c r="BH1072" i="191"/>
  <c r="BI1072" i="191"/>
  <c r="BJ1072" i="191"/>
  <c r="BK1072" i="191"/>
  <c r="BD1073" i="191"/>
  <c r="BE1073" i="191"/>
  <c r="BF1073" i="191"/>
  <c r="BG1073" i="191"/>
  <c r="BH1073" i="191"/>
  <c r="BI1073" i="191"/>
  <c r="BJ1073" i="191"/>
  <c r="BK1073" i="191"/>
  <c r="BD1074" i="191"/>
  <c r="BE1074" i="191"/>
  <c r="BF1074" i="191"/>
  <c r="BG1074" i="191"/>
  <c r="BH1074" i="191"/>
  <c r="BI1074" i="191"/>
  <c r="BJ1074" i="191"/>
  <c r="BK1074" i="191"/>
  <c r="BD1075" i="191"/>
  <c r="BE1075" i="191"/>
  <c r="BF1075" i="191"/>
  <c r="BG1075" i="191"/>
  <c r="BH1075" i="191"/>
  <c r="BI1075" i="191"/>
  <c r="BJ1075" i="191"/>
  <c r="BK1075" i="191"/>
  <c r="BD1076" i="191"/>
  <c r="BE1076" i="191"/>
  <c r="BF1076" i="191"/>
  <c r="BG1076" i="191"/>
  <c r="BH1076" i="191"/>
  <c r="BI1076" i="191"/>
  <c r="BJ1076" i="191"/>
  <c r="BK1076" i="191"/>
  <c r="BD1077" i="191"/>
  <c r="BE1077" i="191"/>
  <c r="BF1077" i="191"/>
  <c r="BG1077" i="191"/>
  <c r="BH1077" i="191"/>
  <c r="BI1077" i="191"/>
  <c r="BJ1077" i="191"/>
  <c r="BK1077" i="191"/>
  <c r="BD1078" i="191"/>
  <c r="BE1078" i="191"/>
  <c r="BF1078" i="191"/>
  <c r="BG1078" i="191"/>
  <c r="BH1078" i="191"/>
  <c r="BI1078" i="191"/>
  <c r="BJ1078" i="191"/>
  <c r="BK1078" i="191"/>
  <c r="BK3" i="191"/>
  <c r="BJ3" i="191"/>
  <c r="BI3" i="191"/>
  <c r="BH3" i="191"/>
  <c r="BG3" i="191"/>
  <c r="BF3" i="191"/>
  <c r="BE3" i="191"/>
  <c r="BD3" i="191"/>
  <c r="AC5" i="189"/>
  <c r="AD5" i="189"/>
  <c r="AE5" i="189"/>
  <c r="AF5" i="189"/>
  <c r="AG5" i="189"/>
  <c r="AH5" i="189"/>
  <c r="AI5" i="189"/>
  <c r="AC6" i="189"/>
  <c r="AD6" i="189"/>
  <c r="AE6" i="189"/>
  <c r="AF6" i="189"/>
  <c r="AG6" i="189"/>
  <c r="AH6" i="189"/>
  <c r="AI6" i="189"/>
  <c r="AC7" i="189"/>
  <c r="AD7" i="189"/>
  <c r="AE7" i="189"/>
  <c r="AF7" i="189"/>
  <c r="AG7" i="189"/>
  <c r="AH7" i="189"/>
  <c r="AI7" i="189"/>
  <c r="AC8" i="189"/>
  <c r="AD8" i="189"/>
  <c r="AE8" i="189"/>
  <c r="AF8" i="189"/>
  <c r="AG8" i="189"/>
  <c r="AH8" i="189"/>
  <c r="AI8" i="189"/>
  <c r="AC9" i="189"/>
  <c r="AD9" i="189"/>
  <c r="AE9" i="189"/>
  <c r="AF9" i="189"/>
  <c r="AG9" i="189"/>
  <c r="AH9" i="189"/>
  <c r="AI9" i="189"/>
  <c r="AC10" i="189"/>
  <c r="AD10" i="189"/>
  <c r="AE10" i="189"/>
  <c r="AF10" i="189"/>
  <c r="AG10" i="189"/>
  <c r="AH10" i="189"/>
  <c r="AI10" i="189"/>
  <c r="AC11" i="189"/>
  <c r="AD11" i="189"/>
  <c r="AE11" i="189"/>
  <c r="AF11" i="189"/>
  <c r="AG11" i="189"/>
  <c r="AH11" i="189"/>
  <c r="AI11" i="189"/>
  <c r="AC12" i="189"/>
  <c r="AD12" i="189"/>
  <c r="AE12" i="189"/>
  <c r="AF12" i="189"/>
  <c r="AG12" i="189"/>
  <c r="AH12" i="189"/>
  <c r="AI12" i="189"/>
  <c r="AC13" i="189"/>
  <c r="AD13" i="189"/>
  <c r="AE13" i="189"/>
  <c r="AF13" i="189"/>
  <c r="AG13" i="189"/>
  <c r="AH13" i="189"/>
  <c r="AI13" i="189"/>
  <c r="AC14" i="189"/>
  <c r="AD14" i="189"/>
  <c r="AE14" i="189"/>
  <c r="AF14" i="189"/>
  <c r="AG14" i="189"/>
  <c r="AH14" i="189"/>
  <c r="AI14" i="189"/>
  <c r="AC15" i="189"/>
  <c r="AD15" i="189"/>
  <c r="AE15" i="189"/>
  <c r="AF15" i="189"/>
  <c r="AG15" i="189"/>
  <c r="AH15" i="189"/>
  <c r="AI15" i="189"/>
  <c r="AC16" i="189"/>
  <c r="AD16" i="189"/>
  <c r="AE16" i="189"/>
  <c r="AF16" i="189"/>
  <c r="AG16" i="189"/>
  <c r="AH16" i="189"/>
  <c r="AI16" i="189"/>
  <c r="AC17" i="189"/>
  <c r="AD17" i="189"/>
  <c r="AE17" i="189"/>
  <c r="AF17" i="189"/>
  <c r="AG17" i="189"/>
  <c r="AH17" i="189"/>
  <c r="AI17" i="189"/>
  <c r="AC18" i="189"/>
  <c r="AD18" i="189"/>
  <c r="AE18" i="189"/>
  <c r="AF18" i="189"/>
  <c r="AG18" i="189"/>
  <c r="AH18" i="189"/>
  <c r="AI18" i="189"/>
  <c r="AC19" i="189"/>
  <c r="AD19" i="189"/>
  <c r="AE19" i="189"/>
  <c r="AF19" i="189"/>
  <c r="AG19" i="189"/>
  <c r="AH19" i="189"/>
  <c r="AI19" i="189"/>
  <c r="AC58" i="189"/>
  <c r="AD58" i="189"/>
  <c r="AE58" i="189"/>
  <c r="AF58" i="189"/>
  <c r="AG58" i="189"/>
  <c r="AH58" i="189"/>
  <c r="AI58" i="189"/>
  <c r="AC59" i="189"/>
  <c r="AD59" i="189"/>
  <c r="AE59" i="189"/>
  <c r="AF59" i="189"/>
  <c r="AG59" i="189"/>
  <c r="AH59" i="189"/>
  <c r="AI59" i="189"/>
  <c r="AC60" i="189"/>
  <c r="AD60" i="189"/>
  <c r="AE60" i="189"/>
  <c r="AF60" i="189"/>
  <c r="AG60" i="189"/>
  <c r="AH60" i="189"/>
  <c r="AI60" i="189"/>
  <c r="AC61" i="189"/>
  <c r="AD61" i="189"/>
  <c r="AE61" i="189"/>
  <c r="AF61" i="189"/>
  <c r="AG61" i="189"/>
  <c r="AH61" i="189"/>
  <c r="AI61" i="189"/>
  <c r="AD4" i="189"/>
  <c r="AE4" i="189"/>
  <c r="AF4" i="189"/>
  <c r="AG4" i="189"/>
  <c r="AH4" i="189"/>
  <c r="AI4" i="189"/>
  <c r="AC4" i="189"/>
  <c r="AC63" i="189" l="1"/>
  <c r="AB19" i="189" l="1"/>
  <c r="AB18" i="189"/>
  <c r="AB17" i="189"/>
  <c r="AB16" i="189"/>
  <c r="AB15" i="189"/>
  <c r="AB14" i="189"/>
  <c r="AB13" i="189"/>
  <c r="AB12" i="189"/>
  <c r="AB11" i="189"/>
  <c r="AB10" i="189"/>
  <c r="AB9" i="189"/>
  <c r="AB8" i="189"/>
  <c r="AB7" i="189"/>
  <c r="AB6" i="189"/>
  <c r="AB5" i="189"/>
  <c r="AJ4" i="189" l="1"/>
  <c r="AB63" i="189"/>
  <c r="BC1078" i="191" l="1"/>
  <c r="BC1077" i="191"/>
  <c r="BC1076" i="191"/>
  <c r="BC1075" i="191"/>
  <c r="BC1074" i="191"/>
  <c r="BC1073" i="191"/>
  <c r="BC1072" i="191"/>
  <c r="BC1071" i="191"/>
  <c r="BC1070" i="191"/>
  <c r="BC1069" i="191"/>
  <c r="BC1068" i="191"/>
  <c r="BC1067" i="191"/>
  <c r="BC1066" i="191"/>
  <c r="BC1065" i="191"/>
  <c r="BC1064" i="191"/>
  <c r="BC1063" i="191"/>
  <c r="BC1062" i="191"/>
  <c r="BC1061" i="191"/>
  <c r="BC1060" i="191"/>
  <c r="BC1059" i="191"/>
  <c r="BC1058" i="191"/>
  <c r="BC1057" i="191"/>
  <c r="BC1056" i="191"/>
  <c r="BC1055" i="191"/>
  <c r="BC1054" i="191"/>
  <c r="BC1053" i="191"/>
  <c r="BC1052" i="191"/>
  <c r="BC1051" i="191"/>
  <c r="BC1050" i="191"/>
  <c r="BC1049" i="191"/>
  <c r="BC1048" i="191"/>
  <c r="BC1047" i="191"/>
  <c r="BC1046" i="191"/>
  <c r="BC1045" i="191"/>
  <c r="BC1044" i="191"/>
  <c r="BC1043" i="191"/>
  <c r="BC1042" i="191"/>
  <c r="BC1041" i="191"/>
  <c r="BC1040" i="191"/>
  <c r="BC1039" i="191"/>
  <c r="BC1038" i="191"/>
  <c r="BC1037" i="191"/>
  <c r="BC1036" i="191"/>
  <c r="BC1035" i="191"/>
  <c r="BC1034" i="191"/>
  <c r="BC1033" i="191"/>
  <c r="BC1032" i="191"/>
  <c r="BC1031" i="191"/>
  <c r="BC1030" i="191"/>
  <c r="BC1029" i="191"/>
  <c r="BC1028" i="191"/>
  <c r="BC1027" i="191"/>
  <c r="BC1026" i="191"/>
  <c r="BC1025" i="191"/>
  <c r="BC1024" i="191"/>
  <c r="BC1023" i="191"/>
  <c r="BC1022" i="191"/>
  <c r="BC1021" i="191"/>
  <c r="BC1020" i="191"/>
  <c r="BC1019" i="191"/>
  <c r="BC1018" i="191"/>
  <c r="BC1017" i="191"/>
  <c r="BC1016" i="191"/>
  <c r="BC1015" i="191"/>
  <c r="BC1014" i="191"/>
  <c r="BC1013" i="191"/>
  <c r="BC1012" i="191"/>
  <c r="BC1011" i="191"/>
  <c r="BC1010" i="191"/>
  <c r="BC1009" i="191"/>
  <c r="BC1008" i="191"/>
  <c r="BC1007" i="191"/>
  <c r="BC1006" i="191"/>
  <c r="BC1005" i="191"/>
  <c r="BC1004" i="191"/>
  <c r="BC1003" i="191"/>
  <c r="BC1002" i="191"/>
  <c r="BC1001" i="191"/>
  <c r="BC1000" i="191"/>
  <c r="BC999" i="191"/>
  <c r="BC998" i="191"/>
  <c r="BC997" i="191"/>
  <c r="BC996" i="191"/>
  <c r="BC995" i="191"/>
  <c r="BC994" i="191"/>
  <c r="BC993" i="191"/>
  <c r="BC992" i="191"/>
  <c r="BC991" i="191"/>
  <c r="BC990" i="191"/>
  <c r="BC989" i="191"/>
  <c r="BC988" i="191"/>
  <c r="BC987" i="191"/>
  <c r="BC986" i="191"/>
  <c r="BC985" i="191"/>
  <c r="BC984" i="191"/>
  <c r="BC983" i="191"/>
  <c r="BC982" i="191"/>
  <c r="BC981" i="191"/>
  <c r="BC980" i="191"/>
  <c r="BC979" i="191"/>
  <c r="BC978" i="191"/>
  <c r="BC977" i="191"/>
  <c r="BC976" i="191"/>
  <c r="BC975" i="191"/>
  <c r="BC974" i="191"/>
  <c r="BC973" i="191"/>
  <c r="BC972" i="191"/>
  <c r="BC971" i="191"/>
  <c r="BC970" i="191"/>
  <c r="BC969" i="191"/>
  <c r="BC968" i="191"/>
  <c r="BC967" i="191"/>
  <c r="BC966" i="191"/>
  <c r="BC965" i="191"/>
  <c r="BC964" i="191"/>
  <c r="BC963" i="191"/>
  <c r="BC962" i="191"/>
  <c r="BC961" i="191"/>
  <c r="BC960" i="191"/>
  <c r="BC959" i="191"/>
  <c r="BC958" i="191"/>
  <c r="BC957" i="191"/>
  <c r="BC956" i="191"/>
  <c r="BC955" i="191"/>
  <c r="BC954" i="191"/>
  <c r="BC953" i="191"/>
  <c r="BC952" i="191"/>
  <c r="BC951" i="191"/>
  <c r="BC950" i="191"/>
  <c r="BC949" i="191"/>
  <c r="BC948" i="191"/>
  <c r="BC947" i="191"/>
  <c r="BC946" i="191"/>
  <c r="BC945" i="191"/>
  <c r="BC944" i="191"/>
  <c r="BC943" i="191"/>
  <c r="BC942" i="191"/>
  <c r="BC941" i="191"/>
  <c r="BC940" i="191"/>
  <c r="BC939" i="191"/>
  <c r="BC938" i="191"/>
  <c r="BC937" i="191"/>
  <c r="BC936" i="191"/>
  <c r="BC935" i="191"/>
  <c r="BC934" i="191"/>
  <c r="BC933" i="191"/>
  <c r="BC932" i="191"/>
  <c r="BC931" i="191"/>
  <c r="BC930" i="191"/>
  <c r="BC929" i="191"/>
  <c r="BC928" i="191"/>
  <c r="BC927" i="191"/>
  <c r="BC926" i="191"/>
  <c r="BC925" i="191"/>
  <c r="BC924" i="191"/>
  <c r="BC923" i="191"/>
  <c r="BC922" i="191"/>
  <c r="BC921" i="191"/>
  <c r="BC920" i="191"/>
  <c r="BC919" i="191"/>
  <c r="BC918" i="191"/>
  <c r="BC917" i="191"/>
  <c r="BC916" i="191"/>
  <c r="BC915" i="191"/>
  <c r="BC914" i="191"/>
  <c r="BC913" i="191"/>
  <c r="BC912" i="191"/>
  <c r="BC911" i="191"/>
  <c r="BC910" i="191"/>
  <c r="BC909" i="191"/>
  <c r="BC908" i="191"/>
  <c r="BC907" i="191"/>
  <c r="BC906" i="191"/>
  <c r="BC905" i="191"/>
  <c r="BC904" i="191"/>
  <c r="BC903" i="191"/>
  <c r="BC902" i="191"/>
  <c r="BC901" i="191"/>
  <c r="BC900" i="191"/>
  <c r="BC899" i="191"/>
  <c r="BC898" i="191"/>
  <c r="BC897" i="191"/>
  <c r="BC896" i="191"/>
  <c r="BC895" i="191"/>
  <c r="BC894" i="191"/>
  <c r="BC893" i="191"/>
  <c r="BC892" i="191"/>
  <c r="BC891" i="191"/>
  <c r="BC890" i="191"/>
  <c r="BC889" i="191"/>
  <c r="BC888" i="191"/>
  <c r="BC887" i="191"/>
  <c r="BC886" i="191"/>
  <c r="BC885" i="191"/>
  <c r="BC884" i="191"/>
  <c r="BC883" i="191"/>
  <c r="BC882" i="191"/>
  <c r="BC881" i="191"/>
  <c r="BC880" i="191"/>
  <c r="BC879" i="191"/>
  <c r="BC878" i="191"/>
  <c r="BC877" i="191"/>
  <c r="BC876" i="191"/>
  <c r="BC875" i="191"/>
  <c r="BC874" i="191"/>
  <c r="BC873" i="191"/>
  <c r="BC872" i="191"/>
  <c r="BC871" i="191"/>
  <c r="BC870" i="191"/>
  <c r="BC869" i="191"/>
  <c r="BC868" i="191"/>
  <c r="BC867" i="191"/>
  <c r="BC866" i="191"/>
  <c r="BC865" i="191"/>
  <c r="BC864" i="191"/>
  <c r="BC863" i="191"/>
  <c r="BC862" i="191"/>
  <c r="BC861" i="191"/>
  <c r="BC860" i="191"/>
  <c r="BC859" i="191"/>
  <c r="BC858" i="191"/>
  <c r="BC857" i="191"/>
  <c r="BC856" i="191"/>
  <c r="BC855" i="191"/>
  <c r="BC854" i="191"/>
  <c r="BC853" i="191"/>
  <c r="BC852" i="191"/>
  <c r="BC851" i="191"/>
  <c r="BC850" i="191"/>
  <c r="BC849" i="191"/>
  <c r="BC848" i="191"/>
  <c r="BC847" i="191"/>
  <c r="BC846" i="191"/>
  <c r="BC845" i="191"/>
  <c r="BC844" i="191"/>
  <c r="BC843" i="191"/>
  <c r="BC842" i="191"/>
  <c r="BC841" i="191"/>
  <c r="BC840" i="191"/>
  <c r="BC839" i="191"/>
  <c r="BC838" i="191"/>
  <c r="BC837" i="191"/>
  <c r="BC836" i="191"/>
  <c r="BC835" i="191"/>
  <c r="BC834" i="191"/>
  <c r="BC833" i="191"/>
  <c r="BC832" i="191"/>
  <c r="BC831" i="191"/>
  <c r="BC830" i="191"/>
  <c r="BC829" i="191"/>
  <c r="BC828" i="191"/>
  <c r="BC827" i="191"/>
  <c r="BC826" i="191"/>
  <c r="BC825" i="191"/>
  <c r="BC824" i="191"/>
  <c r="BC823" i="191"/>
  <c r="BC822" i="191"/>
  <c r="BC821" i="191"/>
  <c r="BC820" i="191"/>
  <c r="BC819" i="191"/>
  <c r="BC818" i="191"/>
  <c r="BC817" i="191"/>
  <c r="BC816" i="191"/>
  <c r="BC815" i="191"/>
  <c r="BC814" i="191"/>
  <c r="BC813" i="191"/>
  <c r="BC812" i="191"/>
  <c r="BC811" i="191"/>
  <c r="BC810" i="191"/>
  <c r="BC809" i="191"/>
  <c r="BC808" i="191"/>
  <c r="BC807" i="191"/>
  <c r="BC806" i="191"/>
  <c r="BC805" i="191"/>
  <c r="BC804" i="191"/>
  <c r="BC803" i="191"/>
  <c r="BC802" i="191"/>
  <c r="BC801" i="191"/>
  <c r="BC800" i="191"/>
  <c r="BC799" i="191"/>
  <c r="BC798" i="191"/>
  <c r="BC797" i="191"/>
  <c r="BC796" i="191"/>
  <c r="BC795" i="191"/>
  <c r="BC794" i="191"/>
  <c r="BC793" i="191"/>
  <c r="BC792" i="191"/>
  <c r="BC791" i="191"/>
  <c r="BC790" i="191"/>
  <c r="BC789" i="191"/>
  <c r="BC788" i="191"/>
  <c r="BC787" i="191"/>
  <c r="BC786" i="191"/>
  <c r="BC785" i="191"/>
  <c r="BC784" i="191"/>
  <c r="BC783" i="191"/>
  <c r="BC782" i="191"/>
  <c r="BC781" i="191"/>
  <c r="BC780" i="191"/>
  <c r="BC779" i="191"/>
  <c r="BC778" i="191"/>
  <c r="BC777" i="191"/>
  <c r="BC776" i="191"/>
  <c r="BC775" i="191"/>
  <c r="BC774" i="191"/>
  <c r="BC773" i="191"/>
  <c r="BC772" i="191"/>
  <c r="BC771" i="191"/>
  <c r="BC770" i="191"/>
  <c r="BC769" i="191"/>
  <c r="BC768" i="191"/>
  <c r="BC767" i="191"/>
  <c r="BC766" i="191"/>
  <c r="BC765" i="191"/>
  <c r="BC764" i="191"/>
  <c r="BC763" i="191"/>
  <c r="BC762" i="191"/>
  <c r="BC761" i="191"/>
  <c r="BC760" i="191"/>
  <c r="BC759" i="191"/>
  <c r="BC758" i="191"/>
  <c r="BC757" i="191"/>
  <c r="BC756" i="191"/>
  <c r="BC755" i="191"/>
  <c r="BC754" i="191"/>
  <c r="BC753" i="191"/>
  <c r="BC752" i="191"/>
  <c r="BC751" i="191"/>
  <c r="BC750" i="191"/>
  <c r="BC749" i="191"/>
  <c r="BC748" i="191"/>
  <c r="BC747" i="191"/>
  <c r="BC746" i="191"/>
  <c r="BC745" i="191"/>
  <c r="BC744" i="191"/>
  <c r="BC743" i="191"/>
  <c r="BC742" i="191"/>
  <c r="BC741" i="191"/>
  <c r="BC740" i="191"/>
  <c r="BC739" i="191"/>
  <c r="BC738" i="191"/>
  <c r="BC737" i="191"/>
  <c r="BC736" i="191"/>
  <c r="BC735" i="191"/>
  <c r="BC734" i="191"/>
  <c r="BC733" i="191"/>
  <c r="BC732" i="191"/>
  <c r="BC731" i="191"/>
  <c r="BC730" i="191"/>
  <c r="BC729" i="191"/>
  <c r="BC728" i="191"/>
  <c r="BC727" i="191"/>
  <c r="BC726" i="191"/>
  <c r="BC725" i="191"/>
  <c r="BC724" i="191"/>
  <c r="BC723" i="191"/>
  <c r="BC722" i="191"/>
  <c r="BC721" i="191"/>
  <c r="BC720" i="191"/>
  <c r="BC719" i="191"/>
  <c r="BC718" i="191"/>
  <c r="BC717" i="191"/>
  <c r="BC716" i="191"/>
  <c r="BC715" i="191"/>
  <c r="BC714" i="191"/>
  <c r="BC713" i="191"/>
  <c r="BC712" i="191"/>
  <c r="BC711" i="191"/>
  <c r="BC710" i="191"/>
  <c r="BC709" i="191"/>
  <c r="BC708" i="191"/>
  <c r="BC707" i="191"/>
  <c r="BC706" i="191"/>
  <c r="BC705" i="191"/>
  <c r="BC704" i="191"/>
  <c r="BC703" i="191"/>
  <c r="BC702" i="191"/>
  <c r="BC701" i="191"/>
  <c r="BC700" i="191"/>
  <c r="BC699" i="191"/>
  <c r="BC698" i="191"/>
  <c r="BC697" i="191"/>
  <c r="BC696" i="191"/>
  <c r="BC695" i="191"/>
  <c r="BC694" i="191"/>
  <c r="BC693" i="191"/>
  <c r="BC692" i="191"/>
  <c r="BC691" i="191"/>
  <c r="BC690" i="191"/>
  <c r="BC689" i="191"/>
  <c r="BC688" i="191"/>
  <c r="BC687" i="191"/>
  <c r="BC686" i="191"/>
  <c r="BC685" i="191"/>
  <c r="BC684" i="191"/>
  <c r="BC683" i="191"/>
  <c r="BC682" i="191"/>
  <c r="BC681" i="191"/>
  <c r="BC680" i="191"/>
  <c r="BC679" i="191"/>
  <c r="BC678" i="191"/>
  <c r="BC677" i="191"/>
  <c r="BC676" i="191"/>
  <c r="BC675" i="191"/>
  <c r="BC674" i="191"/>
  <c r="BC673" i="191"/>
  <c r="BC672" i="191"/>
  <c r="BC671" i="191"/>
  <c r="BC670" i="191"/>
  <c r="BC669" i="191"/>
  <c r="BC668" i="191"/>
  <c r="BC667" i="191"/>
  <c r="BC666" i="191"/>
  <c r="BC665" i="191"/>
  <c r="BC664" i="191"/>
  <c r="BC663" i="191"/>
  <c r="BC662" i="191"/>
  <c r="BC661" i="191"/>
  <c r="BC660" i="191"/>
  <c r="BC659" i="191"/>
  <c r="BC658" i="191"/>
  <c r="BC657" i="191"/>
  <c r="BC656" i="191"/>
  <c r="BC655" i="191"/>
  <c r="BC654" i="191"/>
  <c r="BC653" i="191"/>
  <c r="BC652" i="191"/>
  <c r="BC651" i="191"/>
  <c r="BC650" i="191"/>
  <c r="BC649" i="191"/>
  <c r="BC648" i="191"/>
  <c r="BC647" i="191"/>
  <c r="BC646" i="191"/>
  <c r="BC645" i="191"/>
  <c r="BC644" i="191"/>
  <c r="BC643" i="191"/>
  <c r="BC642" i="191"/>
  <c r="BC641" i="191"/>
  <c r="BC640" i="191"/>
  <c r="BC639" i="191"/>
  <c r="BC638" i="191"/>
  <c r="BC637" i="191"/>
  <c r="BC636" i="191"/>
  <c r="BC635" i="191"/>
  <c r="BC634" i="191"/>
  <c r="BC633" i="191"/>
  <c r="BC632" i="191"/>
  <c r="BC631" i="191"/>
  <c r="BC630" i="191"/>
  <c r="BC629" i="191"/>
  <c r="BC628" i="191"/>
  <c r="BC627" i="191"/>
  <c r="BC626" i="191"/>
  <c r="BC625" i="191"/>
  <c r="BC624" i="191"/>
  <c r="BC623" i="191"/>
  <c r="BC622" i="191"/>
  <c r="BC621" i="191"/>
  <c r="BC620" i="191"/>
  <c r="BC619" i="191"/>
  <c r="BC618" i="191"/>
  <c r="BC617" i="191"/>
  <c r="BC616" i="191"/>
  <c r="BC615" i="191"/>
  <c r="BC614" i="191"/>
  <c r="BC613" i="191"/>
  <c r="BC612" i="191"/>
  <c r="BC611" i="191"/>
  <c r="BC610" i="191"/>
  <c r="BC609" i="191"/>
  <c r="BC608" i="191"/>
  <c r="BC607" i="191"/>
  <c r="BC606" i="191"/>
  <c r="BC605" i="191"/>
  <c r="BC604" i="191"/>
  <c r="BC603" i="191"/>
  <c r="BC602" i="191"/>
  <c r="BC601" i="191"/>
  <c r="BC600" i="191"/>
  <c r="BC599" i="191"/>
  <c r="BC598" i="191"/>
  <c r="BC597" i="191"/>
  <c r="BC596" i="191"/>
  <c r="BC595" i="191"/>
  <c r="BC594" i="191"/>
  <c r="BC593" i="191"/>
  <c r="BC592" i="191"/>
  <c r="BC591" i="191"/>
  <c r="BC590" i="191"/>
  <c r="BC589" i="191"/>
  <c r="BC588" i="191"/>
  <c r="BC587" i="191"/>
  <c r="BC586" i="191"/>
  <c r="BC585" i="191"/>
  <c r="BC584" i="191"/>
  <c r="BC583" i="191"/>
  <c r="BC582" i="191"/>
  <c r="BC581" i="191"/>
  <c r="BC580" i="191"/>
  <c r="BC579" i="191"/>
  <c r="BC578" i="191"/>
  <c r="BC577" i="191"/>
  <c r="BC576" i="191"/>
  <c r="BC575" i="191"/>
  <c r="BC574" i="191"/>
  <c r="BC573" i="191"/>
  <c r="BC572" i="191"/>
  <c r="BC571" i="191"/>
  <c r="BC570" i="191"/>
  <c r="BC569" i="191"/>
  <c r="BC568" i="191"/>
  <c r="BC567" i="191"/>
  <c r="BC566" i="191"/>
  <c r="BC565" i="191"/>
  <c r="BC564" i="191"/>
  <c r="BC563" i="191"/>
  <c r="BC562" i="191"/>
  <c r="BC561" i="191"/>
  <c r="BC560" i="191"/>
  <c r="BC559" i="191"/>
  <c r="BC558" i="191"/>
  <c r="BC557" i="191"/>
  <c r="BC556" i="191"/>
  <c r="BC555" i="191"/>
  <c r="BC554" i="191"/>
  <c r="BC553" i="191"/>
  <c r="BC552" i="191"/>
  <c r="BC551" i="191"/>
  <c r="BC550" i="191"/>
  <c r="BC549" i="191"/>
  <c r="BC548" i="191"/>
  <c r="BC547" i="191"/>
  <c r="BC546" i="191"/>
  <c r="BC545" i="191"/>
  <c r="BC544" i="191"/>
  <c r="BC543" i="191"/>
  <c r="BC542" i="191"/>
  <c r="BC541" i="191"/>
  <c r="BC540" i="191"/>
  <c r="BC539" i="191"/>
  <c r="BC538" i="191"/>
  <c r="BC537" i="191"/>
  <c r="BC536" i="191"/>
  <c r="BC535" i="191"/>
  <c r="BC534" i="191"/>
  <c r="BC533" i="191"/>
  <c r="BC532" i="191"/>
  <c r="BC531" i="191"/>
  <c r="BC530" i="191"/>
  <c r="BC529" i="191"/>
  <c r="BC528" i="191"/>
  <c r="BC527" i="191"/>
  <c r="BC526" i="191"/>
  <c r="BC525" i="191"/>
  <c r="BC524" i="191"/>
  <c r="BC523" i="191"/>
  <c r="BC522" i="191"/>
  <c r="BC521" i="191"/>
  <c r="BC520" i="191"/>
  <c r="BC519" i="191"/>
  <c r="BC518" i="191"/>
  <c r="BC517" i="191"/>
  <c r="BC516" i="191"/>
  <c r="BC515" i="191"/>
  <c r="BC514" i="191"/>
  <c r="BC513" i="191"/>
  <c r="BC512" i="191"/>
  <c r="BC511" i="191"/>
  <c r="BC510" i="191"/>
  <c r="BC509" i="191"/>
  <c r="BC508" i="191"/>
  <c r="BC507" i="191"/>
  <c r="BC506" i="191"/>
  <c r="BC505" i="191"/>
  <c r="BC504" i="191"/>
  <c r="BC503" i="191"/>
  <c r="BC502" i="191"/>
  <c r="BC501" i="191"/>
  <c r="BC500" i="191"/>
  <c r="BC499" i="191"/>
  <c r="BC498" i="191"/>
  <c r="BC497" i="191"/>
  <c r="BC496" i="191"/>
  <c r="BC495" i="191"/>
  <c r="BC494" i="191"/>
  <c r="BC493" i="191"/>
  <c r="BC492" i="191"/>
  <c r="BC491" i="191"/>
  <c r="BC490" i="191"/>
  <c r="BC489" i="191"/>
  <c r="BC488" i="191"/>
  <c r="BC487" i="191"/>
  <c r="BC486" i="191"/>
  <c r="BC485" i="191"/>
  <c r="BC484" i="191"/>
  <c r="BC483" i="191"/>
  <c r="BC482" i="191"/>
  <c r="BC481" i="191"/>
  <c r="BC480" i="191"/>
  <c r="BC479" i="191"/>
  <c r="BC478" i="191"/>
  <c r="BC477" i="191"/>
  <c r="BC476" i="191"/>
  <c r="BC475" i="191"/>
  <c r="BC474" i="191"/>
  <c r="BC473" i="191"/>
  <c r="BC472" i="191"/>
  <c r="BC471" i="191"/>
  <c r="BC470" i="191"/>
  <c r="BC469" i="191"/>
  <c r="BC468" i="191"/>
  <c r="BC467" i="191"/>
  <c r="BC466" i="191"/>
  <c r="BC465" i="191"/>
  <c r="BC464" i="191"/>
  <c r="BC463" i="191"/>
  <c r="BC462" i="191"/>
  <c r="BC461" i="191"/>
  <c r="BC460" i="191"/>
  <c r="BC459" i="191"/>
  <c r="BC458" i="191"/>
  <c r="BC457" i="191"/>
  <c r="BC456" i="191"/>
  <c r="BC455" i="191"/>
  <c r="BC454" i="191"/>
  <c r="BC453" i="191"/>
  <c r="BC452" i="191"/>
  <c r="BC451" i="191"/>
  <c r="BC450" i="191"/>
  <c r="BC449" i="191"/>
  <c r="BC448" i="191"/>
  <c r="BC447" i="191"/>
  <c r="BC446" i="191"/>
  <c r="BC445" i="191"/>
  <c r="BC444" i="191"/>
  <c r="BC443" i="191"/>
  <c r="BC442" i="191"/>
  <c r="BC441" i="191"/>
  <c r="BC440" i="191"/>
  <c r="BC439" i="191"/>
  <c r="BC438" i="191"/>
  <c r="BC437" i="191"/>
  <c r="BC436" i="191"/>
  <c r="BC435" i="191"/>
  <c r="BC434" i="191"/>
  <c r="BC433" i="191"/>
  <c r="BC432" i="191"/>
  <c r="BC431" i="191"/>
  <c r="BC430" i="191"/>
  <c r="BC429" i="191"/>
  <c r="BC428" i="191"/>
  <c r="BC427" i="191"/>
  <c r="BC426" i="191"/>
  <c r="BC425" i="191"/>
  <c r="BC424" i="191"/>
  <c r="BC423" i="191"/>
  <c r="BC422" i="191"/>
  <c r="BC421" i="191"/>
  <c r="BC420" i="191"/>
  <c r="BC419" i="191"/>
  <c r="BC418" i="191"/>
  <c r="BC417" i="191"/>
  <c r="BC416" i="191"/>
  <c r="BC415" i="191"/>
  <c r="BC414" i="191"/>
  <c r="BC413" i="191"/>
  <c r="BC412" i="191"/>
  <c r="BC411" i="191"/>
  <c r="BC410" i="191"/>
  <c r="BC409" i="191"/>
  <c r="BC408" i="191"/>
  <c r="BC407" i="191"/>
  <c r="BC406" i="191"/>
  <c r="BC405" i="191"/>
  <c r="BC404" i="191"/>
  <c r="BC403" i="191"/>
  <c r="BC402" i="191"/>
  <c r="BC401" i="191"/>
  <c r="BC400" i="191"/>
  <c r="BC399" i="191"/>
  <c r="BC398" i="191"/>
  <c r="BC397" i="191"/>
  <c r="BC396" i="191"/>
  <c r="BC395" i="191"/>
  <c r="BC394" i="191"/>
  <c r="BC393" i="191"/>
  <c r="BC392" i="191"/>
  <c r="BC391" i="191"/>
  <c r="BC390" i="191"/>
  <c r="BC389" i="191"/>
  <c r="BC388" i="191"/>
  <c r="BC387" i="191"/>
  <c r="BC386" i="191"/>
  <c r="BC385" i="191"/>
  <c r="BC384" i="191"/>
  <c r="BC383" i="191"/>
  <c r="BC382" i="191"/>
  <c r="BC381" i="191"/>
  <c r="BC380" i="191"/>
  <c r="BC379" i="191"/>
  <c r="BC378" i="191"/>
  <c r="BC377" i="191"/>
  <c r="BC376" i="191"/>
  <c r="BC375" i="191"/>
  <c r="BC374" i="191"/>
  <c r="BC373" i="191"/>
  <c r="BC372" i="191"/>
  <c r="BC371" i="191"/>
  <c r="BC370" i="191"/>
  <c r="BC369" i="191"/>
  <c r="BC368" i="191"/>
  <c r="BC367" i="191"/>
  <c r="BC366" i="191"/>
  <c r="BC365" i="191"/>
  <c r="BC364" i="191"/>
  <c r="BC363" i="191"/>
  <c r="BC362" i="191"/>
  <c r="BC361" i="191"/>
  <c r="BC360" i="191"/>
  <c r="BC359" i="191"/>
  <c r="BC358" i="191"/>
  <c r="BC357" i="191"/>
  <c r="BC356" i="191"/>
  <c r="BC355" i="191"/>
  <c r="BC354" i="191"/>
  <c r="BC353" i="191"/>
  <c r="BC352" i="191"/>
  <c r="BC351" i="191"/>
  <c r="BC350" i="191"/>
  <c r="BC349" i="191"/>
  <c r="BC348" i="191"/>
  <c r="BC347" i="191"/>
  <c r="BC346" i="191"/>
  <c r="BC345" i="191"/>
  <c r="BC344" i="191"/>
  <c r="BC343" i="191"/>
  <c r="BC342" i="191"/>
  <c r="BC341" i="191"/>
  <c r="BC340" i="191"/>
  <c r="BC339" i="191"/>
  <c r="BC338" i="191"/>
  <c r="BC337" i="191"/>
  <c r="BC336" i="191"/>
  <c r="BC335" i="191"/>
  <c r="BC334" i="191"/>
  <c r="BC333" i="191"/>
  <c r="BC332" i="191"/>
  <c r="BC331" i="191"/>
  <c r="BC330" i="191"/>
  <c r="BC329" i="191"/>
  <c r="BC328" i="191"/>
  <c r="BC327" i="191"/>
  <c r="BC326" i="191"/>
  <c r="BC325" i="191"/>
  <c r="BC324" i="191"/>
  <c r="BC323" i="191"/>
  <c r="BC322" i="191"/>
  <c r="BC321" i="191"/>
  <c r="BC320" i="191"/>
  <c r="BC319" i="191"/>
  <c r="BC318" i="191"/>
  <c r="BC317" i="191"/>
  <c r="BC316" i="191"/>
  <c r="BC315" i="191"/>
  <c r="BC314" i="191"/>
  <c r="BC313" i="191"/>
  <c r="BC312" i="191"/>
  <c r="BC311" i="191"/>
  <c r="BC310" i="191"/>
  <c r="BC309" i="191"/>
  <c r="BC308" i="191"/>
  <c r="BC307" i="191"/>
  <c r="BC306" i="191"/>
  <c r="BC305" i="191"/>
  <c r="BC304" i="191"/>
  <c r="BC303" i="191"/>
  <c r="BC302" i="191"/>
  <c r="BC301" i="191"/>
  <c r="BC300" i="191"/>
  <c r="BC299" i="191"/>
  <c r="BC298" i="191"/>
  <c r="BC297" i="191"/>
  <c r="BC296" i="191"/>
  <c r="BC295" i="191"/>
  <c r="BC294" i="191"/>
  <c r="BC293" i="191"/>
  <c r="BC292" i="191"/>
  <c r="BC291" i="191"/>
  <c r="BC290" i="191"/>
  <c r="BC289" i="191"/>
  <c r="BC288" i="191"/>
  <c r="BC287" i="191"/>
  <c r="BC286" i="191"/>
  <c r="BC285" i="191"/>
  <c r="BC284" i="191"/>
  <c r="BC283" i="191"/>
  <c r="BC282" i="191"/>
  <c r="BC281" i="191"/>
  <c r="BC280" i="191"/>
  <c r="BC279" i="191"/>
  <c r="BC278" i="191"/>
  <c r="BC277" i="191"/>
  <c r="BC276" i="191"/>
  <c r="BC275" i="191"/>
  <c r="BC274" i="191"/>
  <c r="BC273" i="191"/>
  <c r="BC272" i="191"/>
  <c r="BC271" i="191"/>
  <c r="BC270" i="191"/>
  <c r="BC269" i="191"/>
  <c r="BC268" i="191"/>
  <c r="BC267" i="191"/>
  <c r="BC266" i="191"/>
  <c r="BC265" i="191"/>
  <c r="BC264" i="191"/>
  <c r="BC263" i="191"/>
  <c r="BC262" i="191"/>
  <c r="BC261" i="191"/>
  <c r="BC260" i="191"/>
  <c r="BC259" i="191"/>
  <c r="BC258" i="191"/>
  <c r="BC257" i="191"/>
  <c r="BC256" i="191"/>
  <c r="BC255" i="191"/>
  <c r="BC254" i="191"/>
  <c r="BC253" i="191"/>
  <c r="BC252" i="191"/>
  <c r="BC251" i="191"/>
  <c r="BC250" i="191"/>
  <c r="BC249" i="191"/>
  <c r="BC248" i="191"/>
  <c r="BC247" i="191"/>
  <c r="BC246" i="191"/>
  <c r="BC245" i="191"/>
  <c r="BC244" i="191"/>
  <c r="BC243" i="191"/>
  <c r="BC242" i="191"/>
  <c r="BC241" i="191"/>
  <c r="BC240" i="191"/>
  <c r="BC239" i="191"/>
  <c r="BC238" i="191"/>
  <c r="BC237" i="191"/>
  <c r="BC236" i="191"/>
  <c r="BC235" i="191"/>
  <c r="BC234" i="191"/>
  <c r="BC233" i="191"/>
  <c r="BC232" i="191"/>
  <c r="BC231" i="191"/>
  <c r="BC230" i="191"/>
  <c r="BC229" i="191"/>
  <c r="BC228" i="191"/>
  <c r="BC227" i="191"/>
  <c r="BC226" i="191"/>
  <c r="BC225" i="191"/>
  <c r="BC224" i="191"/>
  <c r="BC223" i="191"/>
  <c r="BC222" i="191"/>
  <c r="BC221" i="191"/>
  <c r="BC220" i="191"/>
  <c r="BC219" i="191"/>
  <c r="BC218" i="191"/>
  <c r="BC217" i="191"/>
  <c r="BC216" i="191"/>
  <c r="BC215" i="191"/>
  <c r="BC214" i="191"/>
  <c r="BC213" i="191"/>
  <c r="BC212" i="191"/>
  <c r="BC211" i="191"/>
  <c r="BC210" i="191"/>
  <c r="BC209" i="191"/>
  <c r="BC208" i="191"/>
  <c r="BC207" i="191"/>
  <c r="BC206" i="191"/>
  <c r="BC205" i="191"/>
  <c r="BC204" i="191"/>
  <c r="BC203" i="191"/>
  <c r="BC202" i="191"/>
  <c r="BC201" i="191"/>
  <c r="BC200" i="191"/>
  <c r="BC199" i="191"/>
  <c r="BC198" i="191"/>
  <c r="BC197" i="191"/>
  <c r="BC196" i="191"/>
  <c r="BC195" i="191"/>
  <c r="BC194" i="191"/>
  <c r="BC193" i="191"/>
  <c r="BC192" i="191"/>
  <c r="BC191" i="191"/>
  <c r="BC190" i="191"/>
  <c r="BC189" i="191"/>
  <c r="BC188" i="191"/>
  <c r="BC187" i="191"/>
  <c r="BC186" i="191"/>
  <c r="BC185" i="191"/>
  <c r="BC184" i="191"/>
  <c r="BC183" i="191"/>
  <c r="BC182" i="191"/>
  <c r="BC181" i="191"/>
  <c r="BC180" i="191"/>
  <c r="BC179" i="191"/>
  <c r="BC178" i="191"/>
  <c r="BC177" i="191"/>
  <c r="BC176" i="191"/>
  <c r="BC175" i="191"/>
  <c r="BC174" i="191"/>
  <c r="BC173" i="191"/>
  <c r="BC172" i="191"/>
  <c r="BC171" i="191"/>
  <c r="BC170" i="191"/>
  <c r="BC169" i="191"/>
  <c r="BC168" i="191"/>
  <c r="BC167" i="191"/>
  <c r="BC166" i="191"/>
  <c r="BC165" i="191"/>
  <c r="BC164" i="191"/>
  <c r="BC163" i="191"/>
  <c r="BC162" i="191"/>
  <c r="BC161" i="191"/>
  <c r="BC160" i="191"/>
  <c r="BC159" i="191"/>
  <c r="BC158" i="191"/>
  <c r="BC157" i="191"/>
  <c r="BC156" i="191"/>
  <c r="BC155" i="191"/>
  <c r="BC154" i="191"/>
  <c r="BC153" i="191"/>
  <c r="BC152" i="191"/>
  <c r="BC151" i="191"/>
  <c r="BC150" i="191"/>
  <c r="BC149" i="191"/>
  <c r="BC148" i="191"/>
  <c r="BC147" i="191"/>
  <c r="BC146" i="191"/>
  <c r="BC145" i="191"/>
  <c r="BC144" i="191"/>
  <c r="BC143" i="191"/>
  <c r="BC142" i="191"/>
  <c r="BC141" i="191"/>
  <c r="BC140" i="191"/>
  <c r="BC139" i="191"/>
  <c r="BC138" i="191"/>
  <c r="BC137" i="191"/>
  <c r="BC136" i="191"/>
  <c r="BC135" i="191"/>
  <c r="BC134" i="191"/>
  <c r="BC133" i="191"/>
  <c r="BC132" i="191"/>
  <c r="BC131" i="191"/>
  <c r="BC130" i="191"/>
  <c r="BC129" i="191"/>
  <c r="BC128" i="191"/>
  <c r="BC127" i="191"/>
  <c r="BC126" i="191"/>
  <c r="BC125" i="191"/>
  <c r="BC124" i="191"/>
  <c r="BC123" i="191"/>
  <c r="BC122" i="191"/>
  <c r="BC121" i="191"/>
  <c r="BC120" i="191"/>
  <c r="BC119" i="191"/>
  <c r="BC118" i="191"/>
  <c r="BC117" i="191"/>
  <c r="BC116" i="191"/>
  <c r="BC115" i="191"/>
  <c r="BC114" i="191"/>
  <c r="BC113" i="191"/>
  <c r="BC112" i="191"/>
  <c r="BC111" i="191"/>
  <c r="BC110" i="191"/>
  <c r="BC109" i="191"/>
  <c r="BC108" i="191"/>
  <c r="BC107" i="191"/>
  <c r="BC106" i="191"/>
  <c r="BC105" i="191"/>
  <c r="BC104" i="191"/>
  <c r="BC103" i="191"/>
  <c r="BC102" i="191"/>
  <c r="BC101" i="191"/>
  <c r="BC100" i="191"/>
  <c r="BC99" i="191"/>
  <c r="BC98" i="191"/>
  <c r="BC97" i="191"/>
  <c r="BC96" i="191"/>
  <c r="BC95" i="191"/>
  <c r="BC94" i="191"/>
  <c r="BC93" i="191"/>
  <c r="BC92" i="191"/>
  <c r="BC91" i="191"/>
  <c r="BC90" i="191"/>
  <c r="BC89" i="191"/>
  <c r="BC88" i="191"/>
  <c r="BC87" i="191"/>
  <c r="BC86" i="191"/>
  <c r="BC85" i="191"/>
  <c r="BC84" i="191"/>
  <c r="BC83" i="191"/>
  <c r="BC82" i="191"/>
  <c r="BC81" i="191"/>
  <c r="BC80" i="191"/>
  <c r="BC79" i="191"/>
  <c r="BC78" i="191"/>
  <c r="BC77" i="191"/>
  <c r="BC76" i="191"/>
  <c r="BC75" i="191"/>
  <c r="BC74" i="191"/>
  <c r="BC73" i="191"/>
  <c r="BC72" i="191"/>
  <c r="BC71" i="191"/>
  <c r="BC70" i="191"/>
  <c r="BC69" i="191"/>
  <c r="BC68" i="191"/>
  <c r="BC67" i="191"/>
  <c r="BC66" i="191"/>
  <c r="BC65" i="191"/>
  <c r="BC64" i="191"/>
  <c r="BC63" i="191"/>
  <c r="BC62" i="191"/>
  <c r="BC61" i="191"/>
  <c r="BC60" i="191"/>
  <c r="BC59" i="191"/>
  <c r="BC58" i="191"/>
  <c r="BC57" i="191"/>
  <c r="BC56" i="191"/>
  <c r="BC55" i="191"/>
  <c r="BC54" i="191"/>
  <c r="BC53" i="191"/>
  <c r="BC52" i="191"/>
  <c r="BC51" i="191"/>
  <c r="BC50" i="191"/>
  <c r="BC49" i="191"/>
  <c r="BC48" i="191"/>
  <c r="BC47" i="191"/>
  <c r="BC46" i="191"/>
  <c r="BC45" i="191"/>
  <c r="BC44" i="191"/>
  <c r="BC43" i="191"/>
  <c r="BC42" i="191"/>
  <c r="BC41" i="191"/>
  <c r="BC40" i="191"/>
  <c r="BC39" i="191"/>
  <c r="BC38" i="191"/>
  <c r="BC37" i="191"/>
  <c r="BC36" i="191"/>
  <c r="BC35" i="191"/>
  <c r="BC34" i="191"/>
  <c r="BC33" i="191"/>
  <c r="BC32" i="191"/>
  <c r="BC31" i="191"/>
  <c r="BC30" i="191"/>
  <c r="BC29" i="191"/>
  <c r="BC28" i="191"/>
  <c r="BC27" i="191"/>
  <c r="BC26" i="191"/>
  <c r="BC25" i="191"/>
  <c r="BC24" i="191"/>
  <c r="BC23" i="191"/>
  <c r="BC22" i="191"/>
  <c r="BC21" i="191"/>
  <c r="BC20" i="191"/>
  <c r="BC19" i="191"/>
  <c r="BC18" i="191"/>
  <c r="BC17" i="191"/>
  <c r="BC16" i="191"/>
  <c r="BC15" i="191"/>
  <c r="BC14" i="191"/>
  <c r="BC13" i="191"/>
  <c r="BC12" i="191"/>
  <c r="BC11" i="191"/>
  <c r="BC10" i="191"/>
  <c r="BC9" i="191"/>
  <c r="BC8" i="191"/>
  <c r="BC7" i="191"/>
  <c r="BC6" i="191"/>
  <c r="BC5" i="191"/>
  <c r="BC4" i="191"/>
  <c r="BC3" i="191"/>
  <c r="AU1078" i="191" l="1"/>
  <c r="AU1077" i="191"/>
  <c r="AU1076" i="191"/>
  <c r="AU1075" i="191"/>
  <c r="AU1074" i="191"/>
  <c r="AU1073" i="191"/>
  <c r="AU1072" i="191"/>
  <c r="AU1071" i="191"/>
  <c r="AU1070" i="191"/>
  <c r="AU1069" i="191"/>
  <c r="AU1068" i="191"/>
  <c r="AU1067" i="191"/>
  <c r="AU1066" i="191"/>
  <c r="AU1065" i="191"/>
  <c r="AU1064" i="191"/>
  <c r="AU1063" i="191"/>
  <c r="AU1062" i="191"/>
  <c r="AU1061" i="191"/>
  <c r="AU1060" i="191"/>
  <c r="AU1059" i="191"/>
  <c r="AU1058" i="191"/>
  <c r="AU1057" i="191"/>
  <c r="AU1056" i="191"/>
  <c r="AU1055" i="191"/>
  <c r="AU1054" i="191"/>
  <c r="AU1053" i="191"/>
  <c r="AU1052" i="191"/>
  <c r="AU1051" i="191"/>
  <c r="AU1050" i="191"/>
  <c r="AU1049" i="191"/>
  <c r="AU1048" i="191"/>
  <c r="AU1047" i="191"/>
  <c r="AU1046" i="191"/>
  <c r="AU1045" i="191"/>
  <c r="AU1044" i="191"/>
  <c r="AU1043" i="191"/>
  <c r="AU1042" i="191"/>
  <c r="AU1041" i="191"/>
  <c r="AU1040" i="191"/>
  <c r="AU1039" i="191"/>
  <c r="AU1038" i="191"/>
  <c r="AU1037" i="191"/>
  <c r="AU1036" i="191"/>
  <c r="AU1035" i="191"/>
  <c r="AU1034" i="191"/>
  <c r="AU1033" i="191"/>
  <c r="AU1032" i="191"/>
  <c r="AU1031" i="191"/>
  <c r="AU1030" i="191"/>
  <c r="AU1029" i="191"/>
  <c r="AU1028" i="191"/>
  <c r="AU1027" i="191"/>
  <c r="AU1026" i="191"/>
  <c r="AU1025" i="191"/>
  <c r="AU1024" i="191"/>
  <c r="AU1023" i="191"/>
  <c r="AU1022" i="191"/>
  <c r="AU1021" i="191"/>
  <c r="AU1020" i="191"/>
  <c r="AU1019" i="191"/>
  <c r="AU1018" i="191"/>
  <c r="AU1017" i="191"/>
  <c r="AU1016" i="191"/>
  <c r="AU1015" i="191"/>
  <c r="AU1014" i="191"/>
  <c r="AU1013" i="191"/>
  <c r="AU1012" i="191"/>
  <c r="AU1011" i="191"/>
  <c r="AU1010" i="191"/>
  <c r="AU1009" i="191"/>
  <c r="AU1008" i="191"/>
  <c r="AU1007" i="191"/>
  <c r="AU1006" i="191"/>
  <c r="AU1005" i="191"/>
  <c r="AU1004" i="191"/>
  <c r="AU1003" i="191"/>
  <c r="AU1002" i="191"/>
  <c r="AU1001" i="191"/>
  <c r="AU1000" i="191"/>
  <c r="AU999" i="191"/>
  <c r="AU998" i="191"/>
  <c r="AU997" i="191"/>
  <c r="AU996" i="191"/>
  <c r="AU995" i="191"/>
  <c r="AU994" i="191"/>
  <c r="AU993" i="191"/>
  <c r="AU992" i="191"/>
  <c r="AU991" i="191"/>
  <c r="AU990" i="191"/>
  <c r="AU989" i="191"/>
  <c r="AU988" i="191"/>
  <c r="AU987" i="191"/>
  <c r="AU986" i="191"/>
  <c r="AU985" i="191"/>
  <c r="AU984" i="191"/>
  <c r="AU983" i="191"/>
  <c r="AU982" i="191"/>
  <c r="AU981" i="191"/>
  <c r="AU980" i="191"/>
  <c r="AU979" i="191"/>
  <c r="AU978" i="191"/>
  <c r="AU977" i="191"/>
  <c r="AU976" i="191"/>
  <c r="AU975" i="191"/>
  <c r="AU974" i="191"/>
  <c r="AU973" i="191"/>
  <c r="AU972" i="191"/>
  <c r="AU971" i="191"/>
  <c r="AU970" i="191"/>
  <c r="AU969" i="191"/>
  <c r="AU968" i="191"/>
  <c r="AU967" i="191"/>
  <c r="AU966" i="191"/>
  <c r="AU965" i="191"/>
  <c r="AU964" i="191"/>
  <c r="AU963" i="191"/>
  <c r="AU962" i="191"/>
  <c r="AU961" i="191"/>
  <c r="AU960" i="191"/>
  <c r="AU959" i="191"/>
  <c r="AU958" i="191"/>
  <c r="AU957" i="191"/>
  <c r="AU956" i="191"/>
  <c r="AU955" i="191"/>
  <c r="AU954" i="191"/>
  <c r="AU953" i="191"/>
  <c r="AU952" i="191"/>
  <c r="AU951" i="191"/>
  <c r="AU950" i="191"/>
  <c r="AU949" i="191"/>
  <c r="AU948" i="191"/>
  <c r="AU947" i="191"/>
  <c r="AU946" i="191"/>
  <c r="AU945" i="191"/>
  <c r="AU944" i="191"/>
  <c r="AU943" i="191"/>
  <c r="AU942" i="191"/>
  <c r="AU941" i="191"/>
  <c r="AU940" i="191"/>
  <c r="AU939" i="191"/>
  <c r="AU938" i="191"/>
  <c r="AU937" i="191"/>
  <c r="AU936" i="191"/>
  <c r="AU935" i="191"/>
  <c r="AU934" i="191"/>
  <c r="AU933" i="191"/>
  <c r="AU932" i="191"/>
  <c r="AU931" i="191"/>
  <c r="AU930" i="191"/>
  <c r="AU929" i="191"/>
  <c r="AU928" i="191"/>
  <c r="AU927" i="191"/>
  <c r="AU926" i="191"/>
  <c r="AU925" i="191"/>
  <c r="AU924" i="191"/>
  <c r="AU923" i="191"/>
  <c r="AU922" i="191"/>
  <c r="AU921" i="191"/>
  <c r="AU920" i="191"/>
  <c r="AU919" i="191"/>
  <c r="AU918" i="191"/>
  <c r="AU917" i="191"/>
  <c r="AU916" i="191"/>
  <c r="AU915" i="191"/>
  <c r="AU914" i="191"/>
  <c r="AU913" i="191"/>
  <c r="AU912" i="191"/>
  <c r="AU911" i="191"/>
  <c r="AU910" i="191"/>
  <c r="AU909" i="191"/>
  <c r="AU908" i="191"/>
  <c r="AU907" i="191"/>
  <c r="AU906" i="191"/>
  <c r="AU905" i="191"/>
  <c r="AU904" i="191"/>
  <c r="AU903" i="191"/>
  <c r="AU902" i="191"/>
  <c r="AU901" i="191"/>
  <c r="AU900" i="191"/>
  <c r="AU899" i="191"/>
  <c r="AU898" i="191"/>
  <c r="AU897" i="191"/>
  <c r="AU896" i="191"/>
  <c r="AU895" i="191"/>
  <c r="AU894" i="191"/>
  <c r="AU893" i="191"/>
  <c r="AU892" i="191"/>
  <c r="AU891" i="191"/>
  <c r="AU890" i="191"/>
  <c r="AU889" i="191"/>
  <c r="AU888" i="191"/>
  <c r="AU887" i="191"/>
  <c r="AU886" i="191"/>
  <c r="AU885" i="191"/>
  <c r="AU884" i="191"/>
  <c r="AU883" i="191"/>
  <c r="AU882" i="191"/>
  <c r="AU881" i="191"/>
  <c r="AU880" i="191"/>
  <c r="AU879" i="191"/>
  <c r="AU878" i="191"/>
  <c r="AU877" i="191"/>
  <c r="AU876" i="191"/>
  <c r="AU875" i="191"/>
  <c r="AU874" i="191"/>
  <c r="AU873" i="191"/>
  <c r="AU872" i="191"/>
  <c r="AU871" i="191"/>
  <c r="AU870" i="191"/>
  <c r="AU869" i="191"/>
  <c r="AU868" i="191"/>
  <c r="AU867" i="191"/>
  <c r="AU866" i="191"/>
  <c r="AU865" i="191"/>
  <c r="AU864" i="191"/>
  <c r="AU863" i="191"/>
  <c r="AU862" i="191"/>
  <c r="AU861" i="191"/>
  <c r="AU860" i="191"/>
  <c r="AU859" i="191"/>
  <c r="AU858" i="191"/>
  <c r="AU857" i="191"/>
  <c r="AU856" i="191"/>
  <c r="AU855" i="191"/>
  <c r="AU854" i="191"/>
  <c r="AU853" i="191"/>
  <c r="AU852" i="191"/>
  <c r="AU851" i="191"/>
  <c r="AU850" i="191"/>
  <c r="AU849" i="191"/>
  <c r="AU848" i="191"/>
  <c r="AU847" i="191"/>
  <c r="AU846" i="191"/>
  <c r="AU845" i="191"/>
  <c r="AU844" i="191"/>
  <c r="AU843" i="191"/>
  <c r="AU842" i="191"/>
  <c r="AU841" i="191"/>
  <c r="AU840" i="191"/>
  <c r="AU839" i="191"/>
  <c r="AU838" i="191"/>
  <c r="AU837" i="191"/>
  <c r="AU836" i="191"/>
  <c r="AU835" i="191"/>
  <c r="AU834" i="191"/>
  <c r="AU833" i="191"/>
  <c r="AU832" i="191"/>
  <c r="AU831" i="191"/>
  <c r="AU830" i="191"/>
  <c r="AU829" i="191"/>
  <c r="AU828" i="191"/>
  <c r="AU827" i="191"/>
  <c r="AU826" i="191"/>
  <c r="AU825" i="191"/>
  <c r="AU824" i="191"/>
  <c r="AU823" i="191"/>
  <c r="AU822" i="191"/>
  <c r="AU821" i="191"/>
  <c r="AU820" i="191"/>
  <c r="AU819" i="191"/>
  <c r="AU818" i="191"/>
  <c r="AU817" i="191"/>
  <c r="AU816" i="191"/>
  <c r="AU815" i="191"/>
  <c r="AU814" i="191"/>
  <c r="AU813" i="191"/>
  <c r="AU812" i="191"/>
  <c r="AU811" i="191"/>
  <c r="AU810" i="191"/>
  <c r="AU809" i="191"/>
  <c r="AU808" i="191"/>
  <c r="AU807" i="191"/>
  <c r="AU806" i="191"/>
  <c r="AU805" i="191"/>
  <c r="AU804" i="191"/>
  <c r="AU803" i="191"/>
  <c r="AU802" i="191"/>
  <c r="AU801" i="191"/>
  <c r="AU800" i="191"/>
  <c r="AU799" i="191"/>
  <c r="AU798" i="191"/>
  <c r="AU797" i="191"/>
  <c r="AU796" i="191"/>
  <c r="AU795" i="191"/>
  <c r="AU794" i="191"/>
  <c r="AU793" i="191"/>
  <c r="AU792" i="191"/>
  <c r="AU791" i="191"/>
  <c r="AU790" i="191"/>
  <c r="AU789" i="191"/>
  <c r="AU788" i="191"/>
  <c r="AU787" i="191"/>
  <c r="AU786" i="191"/>
  <c r="AU785" i="191"/>
  <c r="AU784" i="191"/>
  <c r="AU783" i="191"/>
  <c r="AU782" i="191"/>
  <c r="AU781" i="191"/>
  <c r="AU780" i="191"/>
  <c r="AU779" i="191"/>
  <c r="AU778" i="191"/>
  <c r="AU777" i="191"/>
  <c r="AU776" i="191"/>
  <c r="AU775" i="191"/>
  <c r="AU774" i="191"/>
  <c r="AU773" i="191"/>
  <c r="AU772" i="191"/>
  <c r="AU771" i="191"/>
  <c r="AU770" i="191"/>
  <c r="AU769" i="191"/>
  <c r="AU768" i="191"/>
  <c r="AU767" i="191"/>
  <c r="AU766" i="191"/>
  <c r="AU765" i="191"/>
  <c r="AU764" i="191"/>
  <c r="AU763" i="191"/>
  <c r="AU762" i="191"/>
  <c r="AU761" i="191"/>
  <c r="AU760" i="191"/>
  <c r="AU759" i="191"/>
  <c r="AU758" i="191"/>
  <c r="AU757" i="191"/>
  <c r="AU756" i="191"/>
  <c r="AU755" i="191"/>
  <c r="AU754" i="191"/>
  <c r="AU753" i="191"/>
  <c r="AU752" i="191"/>
  <c r="AU751" i="191"/>
  <c r="AU750" i="191"/>
  <c r="AU749" i="191"/>
  <c r="AU748" i="191"/>
  <c r="AU747" i="191"/>
  <c r="AU746" i="191"/>
  <c r="AU745" i="191"/>
  <c r="AU744" i="191"/>
  <c r="AU743" i="191"/>
  <c r="AU742" i="191"/>
  <c r="AU741" i="191"/>
  <c r="AU740" i="191"/>
  <c r="AU739" i="191"/>
  <c r="AU738" i="191"/>
  <c r="AU737" i="191"/>
  <c r="AU736" i="191"/>
  <c r="AU735" i="191"/>
  <c r="AU734" i="191"/>
  <c r="AU733" i="191"/>
  <c r="AU732" i="191"/>
  <c r="AU731" i="191"/>
  <c r="AU730" i="191"/>
  <c r="AU729" i="191"/>
  <c r="AU728" i="191"/>
  <c r="AU727" i="191"/>
  <c r="AU726" i="191"/>
  <c r="AU725" i="191"/>
  <c r="AU724" i="191"/>
  <c r="AU723" i="191"/>
  <c r="AU722" i="191"/>
  <c r="AU721" i="191"/>
  <c r="AU720" i="191"/>
  <c r="AU719" i="191"/>
  <c r="AU718" i="191"/>
  <c r="AU717" i="191"/>
  <c r="AU716" i="191"/>
  <c r="AU715" i="191"/>
  <c r="AU714" i="191"/>
  <c r="AU713" i="191"/>
  <c r="AU712" i="191"/>
  <c r="AU711" i="191"/>
  <c r="AU710" i="191"/>
  <c r="AU709" i="191"/>
  <c r="AU708" i="191"/>
  <c r="AU707" i="191"/>
  <c r="AU706" i="191"/>
  <c r="AU705" i="191"/>
  <c r="AU704" i="191"/>
  <c r="AU703" i="191"/>
  <c r="AU702" i="191"/>
  <c r="AU701" i="191"/>
  <c r="AU700" i="191"/>
  <c r="AU699" i="191"/>
  <c r="AU698" i="191"/>
  <c r="AU697" i="191"/>
  <c r="AU696" i="191"/>
  <c r="AU695" i="191"/>
  <c r="AU694" i="191"/>
  <c r="AU693" i="191"/>
  <c r="AU692" i="191"/>
  <c r="AU691" i="191"/>
  <c r="AU690" i="191"/>
  <c r="AU689" i="191"/>
  <c r="AU688" i="191"/>
  <c r="AU687" i="191"/>
  <c r="AU686" i="191"/>
  <c r="AU685" i="191"/>
  <c r="AU684" i="191"/>
  <c r="AU683" i="191"/>
  <c r="AU682" i="191"/>
  <c r="AU681" i="191"/>
  <c r="AU680" i="191"/>
  <c r="AU679" i="191"/>
  <c r="AU678" i="191"/>
  <c r="AU677" i="191"/>
  <c r="AU676" i="191"/>
  <c r="AU675" i="191"/>
  <c r="AU674" i="191"/>
  <c r="AU673" i="191"/>
  <c r="AU672" i="191"/>
  <c r="AU671" i="191"/>
  <c r="AU670" i="191"/>
  <c r="AU669" i="191"/>
  <c r="AU668" i="191"/>
  <c r="AU667" i="191"/>
  <c r="AU666" i="191"/>
  <c r="AU665" i="191"/>
  <c r="AU664" i="191"/>
  <c r="AU663" i="191"/>
  <c r="AU662" i="191"/>
  <c r="AU661" i="191"/>
  <c r="AU660" i="191"/>
  <c r="AU659" i="191"/>
  <c r="AU658" i="191"/>
  <c r="AU657" i="191"/>
  <c r="AU656" i="191"/>
  <c r="AU655" i="191"/>
  <c r="AU654" i="191"/>
  <c r="AU653" i="191"/>
  <c r="AU652" i="191"/>
  <c r="AU651" i="191"/>
  <c r="AU650" i="191"/>
  <c r="AU649" i="191"/>
  <c r="AU648" i="191"/>
  <c r="AU647" i="191"/>
  <c r="AU646" i="191"/>
  <c r="AU645" i="191"/>
  <c r="AU644" i="191"/>
  <c r="AU643" i="191"/>
  <c r="AU642" i="191"/>
  <c r="AU641" i="191"/>
  <c r="AU640" i="191"/>
  <c r="AU639" i="191"/>
  <c r="AU638" i="191"/>
  <c r="AU637" i="191"/>
  <c r="AU636" i="191"/>
  <c r="AU635" i="191"/>
  <c r="AU634" i="191"/>
  <c r="AU633" i="191"/>
  <c r="AU632" i="191"/>
  <c r="AU631" i="191"/>
  <c r="AU630" i="191"/>
  <c r="AU629" i="191"/>
  <c r="AU628" i="191"/>
  <c r="AU627" i="191"/>
  <c r="AU626" i="191"/>
  <c r="AU625" i="191"/>
  <c r="AU624" i="191"/>
  <c r="AU623" i="191"/>
  <c r="AU622" i="191"/>
  <c r="AU621" i="191"/>
  <c r="AU620" i="191"/>
  <c r="AU619" i="191"/>
  <c r="AU618" i="191"/>
  <c r="AU617" i="191"/>
  <c r="AU616" i="191"/>
  <c r="AU615" i="191"/>
  <c r="AU614" i="191"/>
  <c r="AU613" i="191"/>
  <c r="AU612" i="191"/>
  <c r="AU611" i="191"/>
  <c r="AU610" i="191"/>
  <c r="AU609" i="191"/>
  <c r="AU608" i="191"/>
  <c r="AU607" i="191"/>
  <c r="AU606" i="191"/>
  <c r="AU605" i="191"/>
  <c r="AU604" i="191"/>
  <c r="AU603" i="191"/>
  <c r="AU602" i="191"/>
  <c r="AU601" i="191"/>
  <c r="AU600" i="191"/>
  <c r="AU599" i="191"/>
  <c r="AU598" i="191"/>
  <c r="AU597" i="191"/>
  <c r="AU596" i="191"/>
  <c r="AU595" i="191"/>
  <c r="AU594" i="191"/>
  <c r="AU593" i="191"/>
  <c r="AU592" i="191"/>
  <c r="AU591" i="191"/>
  <c r="AU590" i="191"/>
  <c r="AU589" i="191"/>
  <c r="AU588" i="191"/>
  <c r="AU587" i="191"/>
  <c r="AU586" i="191"/>
  <c r="AU585" i="191"/>
  <c r="AU584" i="191"/>
  <c r="AU583" i="191"/>
  <c r="AU582" i="191"/>
  <c r="AU581" i="191"/>
  <c r="AU580" i="191"/>
  <c r="AU579" i="191"/>
  <c r="AU578" i="191"/>
  <c r="AU577" i="191"/>
  <c r="AU576" i="191"/>
  <c r="AU575" i="191"/>
  <c r="AU574" i="191"/>
  <c r="AU573" i="191"/>
  <c r="AU572" i="191"/>
  <c r="AU571" i="191"/>
  <c r="AU570" i="191"/>
  <c r="AU569" i="191"/>
  <c r="AU568" i="191"/>
  <c r="AU567" i="191"/>
  <c r="AU566" i="191"/>
  <c r="AU565" i="191"/>
  <c r="AU564" i="191"/>
  <c r="AU563" i="191"/>
  <c r="AU562" i="191"/>
  <c r="AU561" i="191"/>
  <c r="AU560" i="191"/>
  <c r="AU559" i="191"/>
  <c r="AU558" i="191"/>
  <c r="AU557" i="191"/>
  <c r="AU556" i="191"/>
  <c r="AU555" i="191"/>
  <c r="AU554" i="191"/>
  <c r="AU553" i="191"/>
  <c r="AU552" i="191"/>
  <c r="AU551" i="191"/>
  <c r="AU550" i="191"/>
  <c r="AU549" i="191"/>
  <c r="AU548" i="191"/>
  <c r="AU547" i="191"/>
  <c r="AU546" i="191"/>
  <c r="AU545" i="191"/>
  <c r="AU544" i="191"/>
  <c r="AU543" i="191"/>
  <c r="AU542" i="191"/>
  <c r="AU541" i="191"/>
  <c r="AU540" i="191"/>
  <c r="AU539" i="191"/>
  <c r="AU538" i="191"/>
  <c r="AU537" i="191"/>
  <c r="AU536" i="191"/>
  <c r="AU535" i="191"/>
  <c r="AU534" i="191"/>
  <c r="AU533" i="191"/>
  <c r="AU532" i="191"/>
  <c r="AU531" i="191"/>
  <c r="AU530" i="191"/>
  <c r="AU529" i="191"/>
  <c r="AU528" i="191"/>
  <c r="AU527" i="191"/>
  <c r="AU526" i="191"/>
  <c r="AU525" i="191"/>
  <c r="AU524" i="191"/>
  <c r="AU523" i="191"/>
  <c r="AU522" i="191"/>
  <c r="AU521" i="191"/>
  <c r="AU520" i="191"/>
  <c r="AU519" i="191"/>
  <c r="AU518" i="191"/>
  <c r="AU517" i="191"/>
  <c r="AU516" i="191"/>
  <c r="AU515" i="191"/>
  <c r="AU514" i="191"/>
  <c r="AU513" i="191"/>
  <c r="AU512" i="191"/>
  <c r="AU511" i="191"/>
  <c r="AU510" i="191"/>
  <c r="AU509" i="191"/>
  <c r="AU508" i="191"/>
  <c r="AU507" i="191"/>
  <c r="AU506" i="191"/>
  <c r="AU505" i="191"/>
  <c r="AU504" i="191"/>
  <c r="AU503" i="191"/>
  <c r="AU502" i="191"/>
  <c r="AU501" i="191"/>
  <c r="AU500" i="191"/>
  <c r="AU499" i="191"/>
  <c r="AU498" i="191"/>
  <c r="AU497" i="191"/>
  <c r="AU496" i="191"/>
  <c r="AU495" i="191"/>
  <c r="AU494" i="191"/>
  <c r="AU493" i="191"/>
  <c r="AU492" i="191"/>
  <c r="AU491" i="191"/>
  <c r="AU490" i="191"/>
  <c r="AU489" i="191"/>
  <c r="AU488" i="191"/>
  <c r="AU487" i="191"/>
  <c r="AU486" i="191"/>
  <c r="AU485" i="191"/>
  <c r="AU484" i="191"/>
  <c r="AU483" i="191"/>
  <c r="AU482" i="191"/>
  <c r="AU481" i="191"/>
  <c r="AU480" i="191"/>
  <c r="AU479" i="191"/>
  <c r="AU478" i="191"/>
  <c r="AU477" i="191"/>
  <c r="AU476" i="191"/>
  <c r="AU475" i="191"/>
  <c r="AU474" i="191"/>
  <c r="AU473" i="191"/>
  <c r="AU472" i="191"/>
  <c r="AU471" i="191"/>
  <c r="AU470" i="191"/>
  <c r="AU469" i="191"/>
  <c r="AU468" i="191"/>
  <c r="AU467" i="191"/>
  <c r="AU466" i="191"/>
  <c r="AU465" i="191"/>
  <c r="AU464" i="191"/>
  <c r="AU463" i="191"/>
  <c r="AU462" i="191"/>
  <c r="AU461" i="191"/>
  <c r="AU460" i="191"/>
  <c r="AU459" i="191"/>
  <c r="AU458" i="191"/>
  <c r="AU457" i="191"/>
  <c r="AU456" i="191"/>
  <c r="AU455" i="191"/>
  <c r="AU454" i="191"/>
  <c r="AU453" i="191"/>
  <c r="AU452" i="191"/>
  <c r="AU451" i="191"/>
  <c r="AU450" i="191"/>
  <c r="AU449" i="191"/>
  <c r="AU448" i="191"/>
  <c r="AU447" i="191"/>
  <c r="AU446" i="191"/>
  <c r="AU445" i="191"/>
  <c r="AU444" i="191"/>
  <c r="AU443" i="191"/>
  <c r="AU442" i="191"/>
  <c r="AU441" i="191"/>
  <c r="AU440" i="191"/>
  <c r="AU439" i="191"/>
  <c r="AU438" i="191"/>
  <c r="AU437" i="191"/>
  <c r="AU436" i="191"/>
  <c r="AU435" i="191"/>
  <c r="AU434" i="191"/>
  <c r="AU433" i="191"/>
  <c r="AU432" i="191"/>
  <c r="AU431" i="191"/>
  <c r="AU430" i="191"/>
  <c r="AU429" i="191"/>
  <c r="AU428" i="191"/>
  <c r="AU427" i="191"/>
  <c r="AU426" i="191"/>
  <c r="AU425" i="191"/>
  <c r="AU424" i="191"/>
  <c r="AU423" i="191"/>
  <c r="AU422" i="191"/>
  <c r="AU421" i="191"/>
  <c r="AU420" i="191"/>
  <c r="AU419" i="191"/>
  <c r="AU418" i="191"/>
  <c r="AU417" i="191"/>
  <c r="AU416" i="191"/>
  <c r="AU415" i="191"/>
  <c r="AU414" i="191"/>
  <c r="AU413" i="191"/>
  <c r="AU412" i="191"/>
  <c r="AU411" i="191"/>
  <c r="AU410" i="191"/>
  <c r="AU409" i="191"/>
  <c r="AU408" i="191"/>
  <c r="AU407" i="191"/>
  <c r="AU406" i="191"/>
  <c r="AU405" i="191"/>
  <c r="AU404" i="191"/>
  <c r="AU403" i="191"/>
  <c r="AU402" i="191"/>
  <c r="AU401" i="191"/>
  <c r="AU400" i="191"/>
  <c r="AU399" i="191"/>
  <c r="AU398" i="191"/>
  <c r="AU397" i="191"/>
  <c r="AU396" i="191"/>
  <c r="AU395" i="191"/>
  <c r="AU394" i="191"/>
  <c r="AU393" i="191"/>
  <c r="AU392" i="191"/>
  <c r="AU391" i="191"/>
  <c r="AU390" i="191"/>
  <c r="AU389" i="191"/>
  <c r="AU388" i="191"/>
  <c r="AU387" i="191"/>
  <c r="AU386" i="191"/>
  <c r="AU385" i="191"/>
  <c r="AU384" i="191"/>
  <c r="AU383" i="191"/>
  <c r="AU382" i="191"/>
  <c r="AU381" i="191"/>
  <c r="AU380" i="191"/>
  <c r="AU379" i="191"/>
  <c r="AU378" i="191"/>
  <c r="AU377" i="191"/>
  <c r="AU376" i="191"/>
  <c r="AU375" i="191"/>
  <c r="AU374" i="191"/>
  <c r="AU373" i="191"/>
  <c r="AU372" i="191"/>
  <c r="AU371" i="191"/>
  <c r="AU370" i="191"/>
  <c r="AU369" i="191"/>
  <c r="AU368" i="191"/>
  <c r="AU367" i="191"/>
  <c r="AU366" i="191"/>
  <c r="AU365" i="191"/>
  <c r="AU364" i="191"/>
  <c r="AU363" i="191"/>
  <c r="AU362" i="191"/>
  <c r="AU361" i="191"/>
  <c r="AU360" i="191"/>
  <c r="AU359" i="191"/>
  <c r="AU358" i="191"/>
  <c r="AU357" i="191"/>
  <c r="AU356" i="191"/>
  <c r="AU355" i="191"/>
  <c r="AU354" i="191"/>
  <c r="AU353" i="191"/>
  <c r="AU352" i="191"/>
  <c r="AU351" i="191"/>
  <c r="AU350" i="191"/>
  <c r="AU349" i="191"/>
  <c r="AU348" i="191"/>
  <c r="AU347" i="191"/>
  <c r="AU346" i="191"/>
  <c r="AU345" i="191"/>
  <c r="AU344" i="191"/>
  <c r="AU343" i="191"/>
  <c r="AU342" i="191"/>
  <c r="AU341" i="191"/>
  <c r="AU340" i="191"/>
  <c r="AU339" i="191"/>
  <c r="AU338" i="191"/>
  <c r="AU337" i="191"/>
  <c r="AU336" i="191"/>
  <c r="AU335" i="191"/>
  <c r="AU334" i="191"/>
  <c r="AU333" i="191"/>
  <c r="AU332" i="191"/>
  <c r="AU331" i="191"/>
  <c r="AU330" i="191"/>
  <c r="AU329" i="191"/>
  <c r="AU328" i="191"/>
  <c r="AU327" i="191"/>
  <c r="AU326" i="191"/>
  <c r="AU325" i="191"/>
  <c r="AU324" i="191"/>
  <c r="AU323" i="191"/>
  <c r="AU322" i="191"/>
  <c r="AU321" i="191"/>
  <c r="AU320" i="191"/>
  <c r="AU319" i="191"/>
  <c r="AU318" i="191"/>
  <c r="AU317" i="191"/>
  <c r="AU316" i="191"/>
  <c r="AU315" i="191"/>
  <c r="AU314" i="191"/>
  <c r="AU313" i="191"/>
  <c r="AU312" i="191"/>
  <c r="AU311" i="191"/>
  <c r="AU310" i="191"/>
  <c r="AU309" i="191"/>
  <c r="AU308" i="191"/>
  <c r="AU307" i="191"/>
  <c r="AU306" i="191"/>
  <c r="AU305" i="191"/>
  <c r="AU304" i="191"/>
  <c r="AU303" i="191"/>
  <c r="AU302" i="191"/>
  <c r="AU301" i="191"/>
  <c r="AU300" i="191"/>
  <c r="AU299" i="191"/>
  <c r="AU298" i="191"/>
  <c r="AU297" i="191"/>
  <c r="AU296" i="191"/>
  <c r="AU295" i="191"/>
  <c r="AU294" i="191"/>
  <c r="AU293" i="191"/>
  <c r="AU292" i="191"/>
  <c r="AU291" i="191"/>
  <c r="AU290" i="191"/>
  <c r="AU289" i="191"/>
  <c r="AU288" i="191"/>
  <c r="AU287" i="191"/>
  <c r="AU286" i="191"/>
  <c r="AU285" i="191"/>
  <c r="AU284" i="191"/>
  <c r="AU283" i="191"/>
  <c r="AU282" i="191"/>
  <c r="AU281" i="191"/>
  <c r="AU280" i="191"/>
  <c r="AU279" i="191"/>
  <c r="AU278" i="191"/>
  <c r="AU277" i="191"/>
  <c r="AU276" i="191"/>
  <c r="AU275" i="191"/>
  <c r="AU274" i="191"/>
  <c r="AU273" i="191"/>
  <c r="AU272" i="191"/>
  <c r="AU271" i="191"/>
  <c r="AU270" i="191"/>
  <c r="AU269" i="191"/>
  <c r="AU268" i="191"/>
  <c r="AU267" i="191"/>
  <c r="AU266" i="191"/>
  <c r="AU265" i="191"/>
  <c r="AU264" i="191"/>
  <c r="AU263" i="191"/>
  <c r="AU262" i="191"/>
  <c r="AU261" i="191"/>
  <c r="AU260" i="191"/>
  <c r="AU259" i="191"/>
  <c r="AU258" i="191"/>
  <c r="AU257" i="191"/>
  <c r="AU256" i="191"/>
  <c r="AU255" i="191"/>
  <c r="AU254" i="191"/>
  <c r="AU253" i="191"/>
  <c r="AU252" i="191"/>
  <c r="AU251" i="191"/>
  <c r="AU250" i="191"/>
  <c r="AU249" i="191"/>
  <c r="AU248" i="191"/>
  <c r="AU247" i="191"/>
  <c r="AU246" i="191"/>
  <c r="AU245" i="191"/>
  <c r="AU244" i="191"/>
  <c r="AU243" i="191"/>
  <c r="AU242" i="191"/>
  <c r="AU241" i="191"/>
  <c r="AU240" i="191"/>
  <c r="AU239" i="191"/>
  <c r="AU238" i="191"/>
  <c r="AU237" i="191"/>
  <c r="AU236" i="191"/>
  <c r="AU235" i="191"/>
  <c r="AU234" i="191"/>
  <c r="AU233" i="191"/>
  <c r="AU232" i="191"/>
  <c r="AU231" i="191"/>
  <c r="AU230" i="191"/>
  <c r="AU229" i="191"/>
  <c r="AU228" i="191"/>
  <c r="AU227" i="191"/>
  <c r="AU226" i="191"/>
  <c r="AU225" i="191"/>
  <c r="AU224" i="191"/>
  <c r="AU223" i="191"/>
  <c r="AU222" i="191"/>
  <c r="AU221" i="191"/>
  <c r="AU220" i="191"/>
  <c r="AU219" i="191"/>
  <c r="AU218" i="191"/>
  <c r="AU217" i="191"/>
  <c r="AU216" i="191"/>
  <c r="AU215" i="191"/>
  <c r="AU214" i="191"/>
  <c r="AU213" i="191"/>
  <c r="AU212" i="191"/>
  <c r="AU211" i="191"/>
  <c r="AU210" i="191"/>
  <c r="AU209" i="191"/>
  <c r="AU208" i="191"/>
  <c r="AU207" i="191"/>
  <c r="AU206" i="191"/>
  <c r="AU205" i="191"/>
  <c r="AU204" i="191"/>
  <c r="AU203" i="191"/>
  <c r="AU202" i="191"/>
  <c r="AU201" i="191"/>
  <c r="AU200" i="191"/>
  <c r="AU199" i="191"/>
  <c r="AU198" i="191"/>
  <c r="AU197" i="191"/>
  <c r="AU196" i="191"/>
  <c r="AU195" i="191"/>
  <c r="AU194" i="191"/>
  <c r="AU193" i="191"/>
  <c r="AU192" i="191"/>
  <c r="AU191" i="191"/>
  <c r="AU190" i="191"/>
  <c r="AU189" i="191"/>
  <c r="AU188" i="191"/>
  <c r="AU187" i="191"/>
  <c r="AU186" i="191"/>
  <c r="AU185" i="191"/>
  <c r="AU184" i="191"/>
  <c r="AU183" i="191"/>
  <c r="AU182" i="191"/>
  <c r="AU181" i="191"/>
  <c r="AU180" i="191"/>
  <c r="AU179" i="191"/>
  <c r="AU178" i="191"/>
  <c r="AU177" i="191"/>
  <c r="AU176" i="191"/>
  <c r="AU175" i="191"/>
  <c r="AU174" i="191"/>
  <c r="AU173" i="191"/>
  <c r="AU172" i="191"/>
  <c r="AU171" i="191"/>
  <c r="AU170" i="191"/>
  <c r="AU169" i="191"/>
  <c r="AU168" i="191"/>
  <c r="AU167" i="191"/>
  <c r="AU166" i="191"/>
  <c r="AU165" i="191"/>
  <c r="AU164" i="191"/>
  <c r="AU163" i="191"/>
  <c r="AU162" i="191"/>
  <c r="AU161" i="191"/>
  <c r="AU160" i="191"/>
  <c r="AU159" i="191"/>
  <c r="AU158" i="191"/>
  <c r="AU157" i="191"/>
  <c r="AU156" i="191"/>
  <c r="AU155" i="191"/>
  <c r="AU154" i="191"/>
  <c r="AU153" i="191"/>
  <c r="AU152" i="191"/>
  <c r="AU151" i="191"/>
  <c r="AU150" i="191"/>
  <c r="AU149" i="191"/>
  <c r="AU148" i="191"/>
  <c r="AU147" i="191"/>
  <c r="AU146" i="191"/>
  <c r="AU145" i="191"/>
  <c r="AU144" i="191"/>
  <c r="AU143" i="191"/>
  <c r="AU142" i="191"/>
  <c r="AU141" i="191"/>
  <c r="AU140" i="191"/>
  <c r="AU139" i="191"/>
  <c r="AU138" i="191"/>
  <c r="AU137" i="191"/>
  <c r="AU136" i="191"/>
  <c r="AU135" i="191"/>
  <c r="AU134" i="191"/>
  <c r="AU133" i="191"/>
  <c r="AU132" i="191"/>
  <c r="AU131" i="191"/>
  <c r="AU130" i="191"/>
  <c r="AU129" i="191"/>
  <c r="AU128" i="191"/>
  <c r="AU127" i="191"/>
  <c r="AU126" i="191"/>
  <c r="AU125" i="191"/>
  <c r="AU124" i="191"/>
  <c r="AU123" i="191"/>
  <c r="AU122" i="191"/>
  <c r="AU121" i="191"/>
  <c r="AU120" i="191"/>
  <c r="AU119" i="191"/>
  <c r="AU118" i="191"/>
  <c r="AU117" i="191"/>
  <c r="AU116" i="191"/>
  <c r="AU115" i="191"/>
  <c r="AU114" i="191"/>
  <c r="AU113" i="191"/>
  <c r="AU112" i="191"/>
  <c r="AU111" i="191"/>
  <c r="AU110" i="191"/>
  <c r="AU109" i="191"/>
  <c r="AU108" i="191"/>
  <c r="AU107" i="191"/>
  <c r="AU106" i="191"/>
  <c r="AU105" i="191"/>
  <c r="AU104" i="191"/>
  <c r="AU103" i="191"/>
  <c r="AU102" i="191"/>
  <c r="AU101" i="191"/>
  <c r="AU100" i="191"/>
  <c r="AU99" i="191"/>
  <c r="AU98" i="191"/>
  <c r="AU97" i="191"/>
  <c r="AU96" i="191"/>
  <c r="AU95" i="191"/>
  <c r="AU94" i="191"/>
  <c r="AU93" i="191"/>
  <c r="AU92" i="191"/>
  <c r="AU91" i="191"/>
  <c r="AU90" i="191"/>
  <c r="AU89" i="191"/>
  <c r="AU88" i="191"/>
  <c r="AU87" i="191"/>
  <c r="AU86" i="191"/>
  <c r="AU85" i="191"/>
  <c r="AU84" i="191"/>
  <c r="AU83" i="191"/>
  <c r="AU82" i="191"/>
  <c r="AU81" i="191"/>
  <c r="AU80" i="191"/>
  <c r="AU79" i="191"/>
  <c r="AU78" i="191"/>
  <c r="AU77" i="191"/>
  <c r="AU76" i="191"/>
  <c r="AU75" i="191"/>
  <c r="AU74" i="191"/>
  <c r="AU73" i="191"/>
  <c r="AU72" i="191"/>
  <c r="AU71" i="191"/>
  <c r="AU70" i="191"/>
  <c r="AU69" i="191"/>
  <c r="AU68" i="191"/>
  <c r="AU67" i="191"/>
  <c r="AU66" i="191"/>
  <c r="AU65" i="191"/>
  <c r="AU64" i="191"/>
  <c r="AU63" i="191"/>
  <c r="AU62" i="191"/>
  <c r="AU61" i="191"/>
  <c r="AU60" i="191"/>
  <c r="AU59" i="191"/>
  <c r="AU58" i="191"/>
  <c r="AU57" i="191"/>
  <c r="AU56" i="191"/>
  <c r="AU55" i="191"/>
  <c r="AU54" i="191"/>
  <c r="AU53" i="191"/>
  <c r="AU52" i="191"/>
  <c r="AU51" i="191"/>
  <c r="AU50" i="191"/>
  <c r="AU49" i="191"/>
  <c r="AU48" i="191"/>
  <c r="AU47" i="191"/>
  <c r="AU46" i="191"/>
  <c r="AU45" i="191"/>
  <c r="AU44" i="191"/>
  <c r="AU43" i="191"/>
  <c r="AU42" i="191"/>
  <c r="AU41" i="191"/>
  <c r="AU40" i="191"/>
  <c r="AU39" i="191"/>
  <c r="AU38" i="191"/>
  <c r="AU37" i="191"/>
  <c r="AU36" i="191"/>
  <c r="AU35" i="191"/>
  <c r="AU34" i="191"/>
  <c r="AU33" i="191"/>
  <c r="AU32" i="191"/>
  <c r="AU31" i="191"/>
  <c r="AU30" i="191"/>
  <c r="AU29" i="191"/>
  <c r="AU28" i="191"/>
  <c r="AU27" i="191"/>
  <c r="AU26" i="191"/>
  <c r="AU25" i="191"/>
  <c r="AU24" i="191"/>
  <c r="AU23" i="191"/>
  <c r="AU22" i="191"/>
  <c r="AU21" i="191"/>
  <c r="AU20" i="191"/>
  <c r="AU19" i="191"/>
  <c r="AU18" i="191"/>
  <c r="AU17" i="191"/>
  <c r="AU16" i="191"/>
  <c r="AU15" i="191"/>
  <c r="AU14" i="191"/>
  <c r="AU13" i="191"/>
  <c r="AU12" i="191"/>
  <c r="AU11" i="191"/>
  <c r="AU10" i="191"/>
  <c r="AU9" i="191"/>
  <c r="AU8" i="191"/>
  <c r="AU7" i="191"/>
  <c r="AU6" i="191"/>
  <c r="AU5" i="191"/>
  <c r="AU4" i="191"/>
  <c r="AU3" i="191"/>
  <c r="A4" i="191"/>
  <c r="A5" i="191" s="1"/>
  <c r="A6" i="191" s="1"/>
  <c r="A7" i="191" s="1"/>
  <c r="A8" i="191" s="1"/>
  <c r="A9" i="191" s="1"/>
  <c r="A10" i="191" s="1"/>
  <c r="A11" i="191" s="1"/>
  <c r="A12" i="191" s="1"/>
  <c r="A13" i="191" s="1"/>
  <c r="A14" i="191" s="1"/>
  <c r="A15" i="191" s="1"/>
  <c r="A16" i="191" s="1"/>
  <c r="A17" i="191" s="1"/>
  <c r="A18" i="191" s="1"/>
  <c r="A19" i="191" s="1"/>
  <c r="A20" i="191" s="1"/>
  <c r="A21" i="191" s="1"/>
  <c r="A22" i="191" s="1"/>
  <c r="A23" i="191" s="1"/>
  <c r="A24" i="191" s="1"/>
  <c r="A25" i="191" s="1"/>
  <c r="A26" i="191" s="1"/>
  <c r="A27" i="191" s="1"/>
  <c r="A28" i="191" s="1"/>
  <c r="A29" i="191" s="1"/>
  <c r="A30" i="191" s="1"/>
  <c r="A31" i="191" s="1"/>
  <c r="A32" i="191" s="1"/>
  <c r="A33" i="191" s="1"/>
  <c r="A34" i="191" s="1"/>
  <c r="A35" i="191" s="1"/>
  <c r="A36" i="191" s="1"/>
  <c r="A37" i="191" s="1"/>
  <c r="A38" i="191" s="1"/>
  <c r="A39" i="191" s="1"/>
  <c r="A40" i="191" s="1"/>
  <c r="A41" i="191" s="1"/>
  <c r="A42" i="191" s="1"/>
  <c r="A43" i="191" s="1"/>
  <c r="A44" i="191" s="1"/>
  <c r="A45" i="191" s="1"/>
  <c r="A46" i="191" s="1"/>
  <c r="A47" i="191" s="1"/>
  <c r="A48" i="191" s="1"/>
  <c r="A49" i="191" s="1"/>
  <c r="A50" i="191" s="1"/>
  <c r="A51" i="191" s="1"/>
  <c r="A52" i="191" s="1"/>
  <c r="A53" i="191" s="1"/>
  <c r="A54" i="191" s="1"/>
  <c r="A55" i="191" s="1"/>
  <c r="A56" i="191" s="1"/>
  <c r="A57" i="191" s="1"/>
  <c r="A58" i="191" s="1"/>
  <c r="A59" i="191" s="1"/>
  <c r="A60" i="191" s="1"/>
  <c r="A61" i="191" s="1"/>
  <c r="A62" i="191" s="1"/>
  <c r="A63" i="191" s="1"/>
  <c r="A64" i="191" s="1"/>
  <c r="A65" i="191" s="1"/>
  <c r="A66" i="191" s="1"/>
  <c r="A67" i="191" s="1"/>
  <c r="A68" i="191" s="1"/>
  <c r="A69" i="191" s="1"/>
  <c r="A70" i="191" s="1"/>
  <c r="A71" i="191" s="1"/>
  <c r="A72" i="191" s="1"/>
  <c r="A73" i="191" s="1"/>
  <c r="A74" i="191" s="1"/>
  <c r="A75" i="191" s="1"/>
  <c r="A76" i="191" s="1"/>
  <c r="A77" i="191" s="1"/>
  <c r="A78" i="191" s="1"/>
  <c r="A79" i="191" s="1"/>
  <c r="A80" i="191" s="1"/>
  <c r="A81" i="191" s="1"/>
  <c r="A82" i="191" s="1"/>
  <c r="A83" i="191" s="1"/>
  <c r="A84" i="191" s="1"/>
  <c r="A85" i="191" s="1"/>
  <c r="A86" i="191" s="1"/>
  <c r="A87" i="191" s="1"/>
  <c r="A88" i="191" s="1"/>
  <c r="A89" i="191" s="1"/>
  <c r="A90" i="191" s="1"/>
  <c r="A91" i="191" s="1"/>
  <c r="A92" i="191" s="1"/>
  <c r="A93" i="191" s="1"/>
  <c r="A94" i="191" s="1"/>
  <c r="A95" i="191" s="1"/>
  <c r="A96" i="191" s="1"/>
  <c r="A97" i="191" s="1"/>
  <c r="A98" i="191" s="1"/>
  <c r="A99" i="191" s="1"/>
  <c r="A100" i="191" s="1"/>
  <c r="A101" i="191" s="1"/>
  <c r="A102" i="191" s="1"/>
  <c r="A103" i="191" s="1"/>
  <c r="A104" i="191" s="1"/>
  <c r="A105" i="191" s="1"/>
  <c r="A106" i="191" s="1"/>
  <c r="A107" i="191" s="1"/>
  <c r="A108" i="191" s="1"/>
  <c r="A109" i="191" s="1"/>
  <c r="A110" i="191" s="1"/>
  <c r="A111" i="191" s="1"/>
  <c r="A112" i="191" s="1"/>
  <c r="A113" i="191" s="1"/>
  <c r="A114" i="191" s="1"/>
  <c r="A115" i="191" s="1"/>
  <c r="A116" i="191" s="1"/>
  <c r="A117" i="191" s="1"/>
  <c r="A118" i="191" s="1"/>
  <c r="A119" i="191" s="1"/>
  <c r="A120" i="191" s="1"/>
  <c r="A121" i="191" s="1"/>
  <c r="A122" i="191" s="1"/>
  <c r="A123" i="191" s="1"/>
  <c r="A124" i="191" s="1"/>
  <c r="A125" i="191" s="1"/>
  <c r="A126" i="191" s="1"/>
  <c r="A127" i="191" s="1"/>
  <c r="A128" i="191" s="1"/>
  <c r="A129" i="191" s="1"/>
  <c r="A130" i="191" s="1"/>
  <c r="A131" i="191" s="1"/>
  <c r="A132" i="191" s="1"/>
  <c r="A133" i="191" s="1"/>
  <c r="A134" i="191" s="1"/>
  <c r="A135" i="191" s="1"/>
  <c r="A136" i="191" s="1"/>
  <c r="A137" i="191" s="1"/>
  <c r="A138" i="191" s="1"/>
  <c r="A139" i="191" s="1"/>
  <c r="A140" i="191" s="1"/>
  <c r="A141" i="191" s="1"/>
  <c r="A142" i="191" s="1"/>
  <c r="A143" i="191" s="1"/>
  <c r="A144" i="191" s="1"/>
  <c r="A145" i="191" s="1"/>
  <c r="A146" i="191" s="1"/>
  <c r="A147" i="191" s="1"/>
  <c r="A148" i="191" s="1"/>
  <c r="A149" i="191" s="1"/>
  <c r="A150" i="191" s="1"/>
  <c r="A151" i="191" s="1"/>
  <c r="A152" i="191" s="1"/>
  <c r="A153" i="191" s="1"/>
  <c r="A154" i="191" s="1"/>
  <c r="A155" i="191" s="1"/>
  <c r="A156" i="191" s="1"/>
  <c r="A157" i="191" s="1"/>
  <c r="A158" i="191" s="1"/>
  <c r="A159" i="191" s="1"/>
  <c r="A160" i="191" s="1"/>
  <c r="A161" i="191" s="1"/>
  <c r="A162" i="191" s="1"/>
  <c r="A163" i="191" s="1"/>
  <c r="A164" i="191" s="1"/>
  <c r="A165" i="191" s="1"/>
  <c r="A166" i="191" s="1"/>
  <c r="A167" i="191" s="1"/>
  <c r="A168" i="191" s="1"/>
  <c r="A169" i="191" s="1"/>
  <c r="A170" i="191" s="1"/>
  <c r="A171" i="191" s="1"/>
  <c r="A172" i="191" s="1"/>
  <c r="A173" i="191" s="1"/>
  <c r="A174" i="191" s="1"/>
  <c r="A175" i="191" s="1"/>
  <c r="A176" i="191" s="1"/>
  <c r="A177" i="191" s="1"/>
  <c r="A178" i="191" s="1"/>
  <c r="A179" i="191" s="1"/>
  <c r="A180" i="191" s="1"/>
  <c r="A181" i="191" s="1"/>
  <c r="A182" i="191" s="1"/>
  <c r="A183" i="191" s="1"/>
  <c r="A184" i="191" s="1"/>
  <c r="A185" i="191" s="1"/>
  <c r="A186" i="191" s="1"/>
  <c r="A187" i="191" s="1"/>
  <c r="A188" i="191" s="1"/>
  <c r="A189" i="191" s="1"/>
  <c r="A190" i="191" s="1"/>
  <c r="A191" i="191" s="1"/>
  <c r="A192" i="191" s="1"/>
  <c r="A193" i="191" s="1"/>
  <c r="A194" i="191" s="1"/>
  <c r="A195" i="191" s="1"/>
  <c r="A196" i="191" s="1"/>
  <c r="A197" i="191" s="1"/>
  <c r="A198" i="191" s="1"/>
  <c r="A199" i="191" s="1"/>
  <c r="A200" i="191" s="1"/>
  <c r="A201" i="191" s="1"/>
  <c r="A202" i="191" s="1"/>
  <c r="A203" i="191" s="1"/>
  <c r="A204" i="191" s="1"/>
  <c r="A205" i="191" s="1"/>
  <c r="A206" i="191" s="1"/>
  <c r="A207" i="191" s="1"/>
  <c r="A208" i="191" s="1"/>
  <c r="A209" i="191" s="1"/>
  <c r="A210" i="191" s="1"/>
  <c r="A211" i="191" s="1"/>
  <c r="A212" i="191" s="1"/>
  <c r="A213" i="191" s="1"/>
  <c r="A214" i="191" s="1"/>
  <c r="A215" i="191" s="1"/>
  <c r="A216" i="191" s="1"/>
  <c r="A217" i="191" s="1"/>
  <c r="A218" i="191" s="1"/>
  <c r="A219" i="191" s="1"/>
  <c r="A220" i="191" s="1"/>
  <c r="A221" i="191" s="1"/>
  <c r="A222" i="191" s="1"/>
  <c r="A223" i="191" s="1"/>
  <c r="A224" i="191" s="1"/>
  <c r="A225" i="191" s="1"/>
  <c r="A226" i="191" s="1"/>
  <c r="A227" i="191" s="1"/>
  <c r="A228" i="191" s="1"/>
  <c r="A229" i="191" s="1"/>
  <c r="A230" i="191" s="1"/>
  <c r="A231" i="191" s="1"/>
  <c r="A232" i="191" s="1"/>
  <c r="A233" i="191" s="1"/>
  <c r="A234" i="191" s="1"/>
  <c r="A235" i="191" s="1"/>
  <c r="A236" i="191" s="1"/>
  <c r="A237" i="191" s="1"/>
  <c r="A238" i="191" s="1"/>
  <c r="A239" i="191" s="1"/>
  <c r="A240" i="191" s="1"/>
  <c r="A241" i="191" s="1"/>
  <c r="A242" i="191" s="1"/>
  <c r="A243" i="191" s="1"/>
  <c r="A244" i="191" s="1"/>
  <c r="A245" i="191" s="1"/>
  <c r="A246" i="191" s="1"/>
  <c r="A247" i="191" s="1"/>
  <c r="A248" i="191" s="1"/>
  <c r="A249" i="191" s="1"/>
  <c r="A250" i="191" s="1"/>
  <c r="A251" i="191" s="1"/>
  <c r="A252" i="191" s="1"/>
  <c r="A253" i="191" s="1"/>
  <c r="A254" i="191" s="1"/>
  <c r="A255" i="191" s="1"/>
  <c r="A256" i="191" s="1"/>
  <c r="A257" i="191" s="1"/>
  <c r="A258" i="191" s="1"/>
  <c r="A259" i="191" s="1"/>
  <c r="A260" i="191" s="1"/>
  <c r="A261" i="191" s="1"/>
  <c r="A262" i="191" s="1"/>
  <c r="A263" i="191" s="1"/>
  <c r="A264" i="191" s="1"/>
  <c r="A265" i="191" s="1"/>
  <c r="A266" i="191" s="1"/>
  <c r="A267" i="191" s="1"/>
  <c r="A268" i="191" s="1"/>
  <c r="A269" i="191" s="1"/>
  <c r="A270" i="191" s="1"/>
  <c r="A271" i="191" s="1"/>
  <c r="A272" i="191" s="1"/>
  <c r="A273" i="191" s="1"/>
  <c r="A274" i="191" s="1"/>
  <c r="A275" i="191" s="1"/>
  <c r="A276" i="191" s="1"/>
  <c r="A277" i="191" s="1"/>
  <c r="A278" i="191" s="1"/>
  <c r="A279" i="191" s="1"/>
  <c r="A280" i="191" s="1"/>
  <c r="A281" i="191" s="1"/>
  <c r="A282" i="191" s="1"/>
  <c r="A283" i="191" s="1"/>
  <c r="A284" i="191" s="1"/>
  <c r="A285" i="191" s="1"/>
  <c r="A286" i="191" s="1"/>
  <c r="A287" i="191" s="1"/>
  <c r="A288" i="191" s="1"/>
  <c r="A289" i="191" s="1"/>
  <c r="A290" i="191" s="1"/>
  <c r="A291" i="191" s="1"/>
  <c r="A292" i="191" s="1"/>
  <c r="A293" i="191" s="1"/>
  <c r="A294" i="191" s="1"/>
  <c r="A295" i="191" s="1"/>
  <c r="A296" i="191" s="1"/>
  <c r="A297" i="191" s="1"/>
  <c r="A298" i="191" s="1"/>
  <c r="A299" i="191" s="1"/>
  <c r="A300" i="191" s="1"/>
  <c r="A301" i="191" s="1"/>
  <c r="A302" i="191" s="1"/>
  <c r="A303" i="191" s="1"/>
  <c r="A304" i="191" s="1"/>
  <c r="A305" i="191" s="1"/>
  <c r="A306" i="191" s="1"/>
  <c r="A307" i="191" s="1"/>
  <c r="A308" i="191" s="1"/>
  <c r="A309" i="191" s="1"/>
  <c r="A310" i="191" s="1"/>
  <c r="A311" i="191" s="1"/>
  <c r="A312" i="191" s="1"/>
  <c r="A313" i="191" s="1"/>
  <c r="A314" i="191" s="1"/>
  <c r="A315" i="191" s="1"/>
  <c r="A316" i="191" s="1"/>
  <c r="A317" i="191" s="1"/>
  <c r="A318" i="191" s="1"/>
  <c r="A319" i="191" s="1"/>
  <c r="A320" i="191" s="1"/>
  <c r="A321" i="191" s="1"/>
  <c r="A322" i="191" s="1"/>
  <c r="A323" i="191" s="1"/>
  <c r="A324" i="191" s="1"/>
  <c r="A325" i="191" s="1"/>
  <c r="A326" i="191" s="1"/>
  <c r="A327" i="191" s="1"/>
  <c r="A328" i="191" s="1"/>
  <c r="A329" i="191" s="1"/>
  <c r="A330" i="191" s="1"/>
  <c r="A331" i="191" s="1"/>
  <c r="A332" i="191" s="1"/>
  <c r="A333" i="191" s="1"/>
  <c r="A334" i="191" s="1"/>
  <c r="A335" i="191" s="1"/>
  <c r="A336" i="191" s="1"/>
  <c r="A337" i="191" s="1"/>
  <c r="A338" i="191" s="1"/>
  <c r="A339" i="191" s="1"/>
  <c r="A340" i="191" s="1"/>
  <c r="A341" i="191" s="1"/>
  <c r="A342" i="191" s="1"/>
  <c r="A343" i="191" s="1"/>
  <c r="A344" i="191" s="1"/>
  <c r="A345" i="191" s="1"/>
  <c r="A346" i="191" s="1"/>
  <c r="A347" i="191" s="1"/>
  <c r="A348" i="191" s="1"/>
  <c r="A349" i="191" s="1"/>
  <c r="A350" i="191" s="1"/>
  <c r="A351" i="191" s="1"/>
  <c r="A352" i="191" s="1"/>
  <c r="A353" i="191" s="1"/>
  <c r="A354" i="191" s="1"/>
  <c r="A355" i="191" s="1"/>
  <c r="A356" i="191" s="1"/>
  <c r="A357" i="191" s="1"/>
  <c r="A358" i="191" s="1"/>
  <c r="A359" i="191" s="1"/>
  <c r="A360" i="191" s="1"/>
  <c r="A361" i="191" s="1"/>
  <c r="A362" i="191" s="1"/>
  <c r="A363" i="191" s="1"/>
  <c r="A364" i="191" s="1"/>
  <c r="A365" i="191" s="1"/>
  <c r="A366" i="191" s="1"/>
  <c r="A367" i="191" s="1"/>
  <c r="A368" i="191" s="1"/>
  <c r="A369" i="191" s="1"/>
  <c r="A370" i="191" s="1"/>
  <c r="A371" i="191" s="1"/>
  <c r="A372" i="191" s="1"/>
  <c r="A373" i="191" s="1"/>
  <c r="A374" i="191" s="1"/>
  <c r="A375" i="191" s="1"/>
  <c r="A376" i="191" s="1"/>
  <c r="A377" i="191" s="1"/>
  <c r="A378" i="191" s="1"/>
  <c r="A379" i="191" s="1"/>
  <c r="A380" i="191" s="1"/>
  <c r="A381" i="191" s="1"/>
  <c r="A382" i="191" s="1"/>
  <c r="A383" i="191" s="1"/>
  <c r="A384" i="191" s="1"/>
  <c r="A385" i="191" s="1"/>
  <c r="A386" i="191" s="1"/>
  <c r="A387" i="191" s="1"/>
  <c r="A388" i="191" s="1"/>
  <c r="A389" i="191" s="1"/>
  <c r="A390" i="191" s="1"/>
  <c r="A391" i="191" s="1"/>
  <c r="A392" i="191" s="1"/>
  <c r="A393" i="191" s="1"/>
  <c r="A394" i="191" s="1"/>
  <c r="A395" i="191" s="1"/>
  <c r="A396" i="191" s="1"/>
  <c r="A397" i="191" s="1"/>
  <c r="A398" i="191" s="1"/>
  <c r="A399" i="191" s="1"/>
  <c r="A400" i="191" s="1"/>
  <c r="A401" i="191" s="1"/>
  <c r="A402" i="191" s="1"/>
  <c r="A403" i="191" s="1"/>
  <c r="A404" i="191" s="1"/>
  <c r="A405" i="191" s="1"/>
  <c r="A406" i="191" s="1"/>
  <c r="A407" i="191" s="1"/>
  <c r="A408" i="191" s="1"/>
  <c r="A409" i="191" s="1"/>
  <c r="A410" i="191" s="1"/>
  <c r="A411" i="191" s="1"/>
  <c r="A412" i="191" s="1"/>
  <c r="A413" i="191" s="1"/>
  <c r="A414" i="191" s="1"/>
  <c r="A415" i="191" s="1"/>
  <c r="A416" i="191" s="1"/>
  <c r="A417" i="191" s="1"/>
  <c r="A418" i="191" s="1"/>
  <c r="A419" i="191" s="1"/>
  <c r="A420" i="191" s="1"/>
  <c r="A421" i="191" s="1"/>
  <c r="A422" i="191" s="1"/>
  <c r="A423" i="191" s="1"/>
  <c r="A424" i="191" s="1"/>
  <c r="A425" i="191" s="1"/>
  <c r="A426" i="191" s="1"/>
  <c r="A427" i="191" s="1"/>
  <c r="A428" i="191" s="1"/>
  <c r="A429" i="191" s="1"/>
  <c r="A430" i="191" s="1"/>
  <c r="A431" i="191" s="1"/>
  <c r="A432" i="191" s="1"/>
  <c r="A433" i="191" s="1"/>
  <c r="A434" i="191" s="1"/>
  <c r="A435" i="191" s="1"/>
  <c r="A436" i="191" s="1"/>
  <c r="A437" i="191" s="1"/>
  <c r="A438" i="191" s="1"/>
  <c r="A439" i="191" s="1"/>
  <c r="A440" i="191" s="1"/>
  <c r="A441" i="191" s="1"/>
  <c r="A442" i="191" s="1"/>
  <c r="A443" i="191" s="1"/>
  <c r="A444" i="191" s="1"/>
  <c r="A445" i="191" s="1"/>
  <c r="A446" i="191" s="1"/>
  <c r="A447" i="191" s="1"/>
  <c r="A448" i="191" s="1"/>
  <c r="A449" i="191" s="1"/>
  <c r="A450" i="191" s="1"/>
  <c r="A451" i="191" s="1"/>
  <c r="A452" i="191" s="1"/>
  <c r="A453" i="191" s="1"/>
  <c r="A454" i="191" s="1"/>
  <c r="A455" i="191" s="1"/>
  <c r="A456" i="191" s="1"/>
  <c r="A457" i="191" s="1"/>
  <c r="A458" i="191" s="1"/>
  <c r="A459" i="191" s="1"/>
  <c r="A460" i="191" s="1"/>
  <c r="A461" i="191" s="1"/>
  <c r="A462" i="191" s="1"/>
  <c r="A463" i="191" s="1"/>
  <c r="A464" i="191" s="1"/>
  <c r="A465" i="191" s="1"/>
  <c r="A466" i="191" s="1"/>
  <c r="A467" i="191" s="1"/>
  <c r="A468" i="191" s="1"/>
  <c r="A469" i="191" s="1"/>
  <c r="A470" i="191" s="1"/>
  <c r="A471" i="191" s="1"/>
  <c r="A472" i="191" s="1"/>
  <c r="A473" i="191" s="1"/>
  <c r="A474" i="191" s="1"/>
  <c r="A475" i="191" s="1"/>
  <c r="A476" i="191" s="1"/>
  <c r="A477" i="191" s="1"/>
  <c r="A478" i="191" s="1"/>
  <c r="A479" i="191" s="1"/>
  <c r="A480" i="191" s="1"/>
  <c r="A481" i="191" s="1"/>
  <c r="A482" i="191" s="1"/>
  <c r="A483" i="191" s="1"/>
  <c r="A484" i="191" s="1"/>
  <c r="A485" i="191" s="1"/>
  <c r="A486" i="191" s="1"/>
  <c r="A487" i="191" s="1"/>
  <c r="A488" i="191" s="1"/>
  <c r="A489" i="191" s="1"/>
  <c r="A490" i="191" s="1"/>
  <c r="A491" i="191" s="1"/>
  <c r="A492" i="191" s="1"/>
  <c r="A493" i="191" s="1"/>
  <c r="A494" i="191" s="1"/>
  <c r="A495" i="191" s="1"/>
  <c r="A496" i="191" s="1"/>
  <c r="A497" i="191" s="1"/>
  <c r="A498" i="191" s="1"/>
  <c r="A499" i="191" s="1"/>
  <c r="A500" i="191" s="1"/>
  <c r="A501" i="191" s="1"/>
  <c r="A502" i="191" s="1"/>
  <c r="A503" i="191" s="1"/>
  <c r="A504" i="191" s="1"/>
  <c r="A505" i="191" s="1"/>
  <c r="A506" i="191" s="1"/>
  <c r="A507" i="191" s="1"/>
  <c r="A508" i="191" s="1"/>
  <c r="A509" i="191" s="1"/>
  <c r="A510" i="191" s="1"/>
  <c r="A511" i="191" s="1"/>
  <c r="A512" i="191" s="1"/>
  <c r="A513" i="191" s="1"/>
  <c r="A514" i="191" s="1"/>
  <c r="A515" i="191" s="1"/>
  <c r="A516" i="191" s="1"/>
  <c r="A517" i="191" s="1"/>
  <c r="A518" i="191" s="1"/>
  <c r="A519" i="191" s="1"/>
  <c r="A520" i="191" s="1"/>
  <c r="A521" i="191" s="1"/>
  <c r="A522" i="191" s="1"/>
  <c r="A523" i="191" s="1"/>
  <c r="A524" i="191" s="1"/>
  <c r="A525" i="191" s="1"/>
  <c r="A526" i="191" s="1"/>
  <c r="A527" i="191" s="1"/>
  <c r="A528" i="191" s="1"/>
  <c r="A529" i="191" s="1"/>
  <c r="A530" i="191" s="1"/>
  <c r="A531" i="191" s="1"/>
  <c r="A532" i="191" s="1"/>
  <c r="A533" i="191" s="1"/>
  <c r="A534" i="191" s="1"/>
  <c r="A535" i="191" s="1"/>
  <c r="A536" i="191" s="1"/>
  <c r="A537" i="191" s="1"/>
  <c r="A538" i="191" s="1"/>
  <c r="A539" i="191" s="1"/>
  <c r="A540" i="191" s="1"/>
  <c r="A541" i="191" s="1"/>
  <c r="A542" i="191" s="1"/>
  <c r="A543" i="191" s="1"/>
  <c r="A544" i="191" s="1"/>
  <c r="A545" i="191" s="1"/>
  <c r="A546" i="191" s="1"/>
  <c r="A547" i="191" s="1"/>
  <c r="A548" i="191" s="1"/>
  <c r="A549" i="191" s="1"/>
  <c r="A550" i="191" s="1"/>
  <c r="A551" i="191" s="1"/>
  <c r="A552" i="191" s="1"/>
  <c r="A553" i="191" s="1"/>
  <c r="A554" i="191" s="1"/>
  <c r="A555" i="191" s="1"/>
  <c r="A556" i="191" s="1"/>
  <c r="A557" i="191" s="1"/>
  <c r="A558" i="191" s="1"/>
  <c r="A559" i="191" s="1"/>
  <c r="A560" i="191" s="1"/>
  <c r="A561" i="191" s="1"/>
  <c r="A562" i="191" s="1"/>
  <c r="A563" i="191" s="1"/>
  <c r="A564" i="191" s="1"/>
  <c r="A565" i="191" s="1"/>
  <c r="A566" i="191" s="1"/>
  <c r="A567" i="191" s="1"/>
  <c r="A568" i="191" s="1"/>
  <c r="A569" i="191" s="1"/>
  <c r="A570" i="191" s="1"/>
  <c r="A571" i="191" s="1"/>
  <c r="A572" i="191" s="1"/>
  <c r="A573" i="191" s="1"/>
  <c r="A574" i="191" s="1"/>
  <c r="A575" i="191" s="1"/>
  <c r="A576" i="191" s="1"/>
  <c r="A577" i="191" s="1"/>
  <c r="A578" i="191" s="1"/>
  <c r="A579" i="191" s="1"/>
  <c r="A580" i="191" s="1"/>
  <c r="A581" i="191" s="1"/>
  <c r="A582" i="191" s="1"/>
  <c r="A583" i="191" s="1"/>
  <c r="A584" i="191" s="1"/>
  <c r="A585" i="191" s="1"/>
  <c r="A586" i="191" s="1"/>
  <c r="A587" i="191" s="1"/>
  <c r="A588" i="191" s="1"/>
  <c r="A589" i="191" s="1"/>
  <c r="A590" i="191" s="1"/>
  <c r="A591" i="191" s="1"/>
  <c r="A592" i="191" s="1"/>
  <c r="A593" i="191" s="1"/>
  <c r="A594" i="191" s="1"/>
  <c r="A595" i="191" s="1"/>
  <c r="A596" i="191" s="1"/>
  <c r="A597" i="191" s="1"/>
  <c r="A598" i="191" s="1"/>
  <c r="A599" i="191" s="1"/>
  <c r="A600" i="191" s="1"/>
  <c r="A601" i="191" s="1"/>
  <c r="A602" i="191" s="1"/>
  <c r="A603" i="191" s="1"/>
  <c r="A604" i="191" s="1"/>
  <c r="A605" i="191" s="1"/>
  <c r="A606" i="191" s="1"/>
  <c r="A607" i="191" s="1"/>
  <c r="A608" i="191" s="1"/>
  <c r="A609" i="191" s="1"/>
  <c r="A610" i="191" s="1"/>
  <c r="A611" i="191" s="1"/>
  <c r="A612" i="191" s="1"/>
  <c r="A613" i="191" s="1"/>
  <c r="A614" i="191" s="1"/>
  <c r="A615" i="191" s="1"/>
  <c r="A616" i="191" s="1"/>
  <c r="A617" i="191" s="1"/>
  <c r="A618" i="191" s="1"/>
  <c r="A619" i="191" s="1"/>
  <c r="A620" i="191" s="1"/>
  <c r="A621" i="191" s="1"/>
  <c r="A622" i="191" s="1"/>
  <c r="A623" i="191" s="1"/>
  <c r="A624" i="191" s="1"/>
  <c r="A625" i="191" s="1"/>
  <c r="A626" i="191" s="1"/>
  <c r="A627" i="191" s="1"/>
  <c r="A628" i="191" s="1"/>
  <c r="A629" i="191" s="1"/>
  <c r="A630" i="191" s="1"/>
  <c r="A631" i="191" s="1"/>
  <c r="A632" i="191" s="1"/>
  <c r="A633" i="191" s="1"/>
  <c r="A634" i="191" s="1"/>
  <c r="A635" i="191" s="1"/>
  <c r="A636" i="191" s="1"/>
  <c r="A637" i="191" s="1"/>
  <c r="A638" i="191" s="1"/>
  <c r="A639" i="191" s="1"/>
  <c r="A640" i="191" s="1"/>
  <c r="A641" i="191" s="1"/>
  <c r="A642" i="191" s="1"/>
  <c r="A643" i="191" s="1"/>
  <c r="A644" i="191" s="1"/>
  <c r="A645" i="191" s="1"/>
  <c r="A646" i="191" s="1"/>
  <c r="A647" i="191" s="1"/>
  <c r="A648" i="191" s="1"/>
  <c r="A649" i="191" s="1"/>
  <c r="A650" i="191" s="1"/>
  <c r="A651" i="191" s="1"/>
  <c r="A652" i="191" s="1"/>
  <c r="A653" i="191" s="1"/>
  <c r="A654" i="191" s="1"/>
  <c r="A655" i="191" s="1"/>
  <c r="A656" i="191" s="1"/>
  <c r="A657" i="191" s="1"/>
  <c r="A658" i="191" s="1"/>
  <c r="A659" i="191" s="1"/>
  <c r="A660" i="191" s="1"/>
  <c r="A661" i="191" s="1"/>
  <c r="A662" i="191" s="1"/>
  <c r="A663" i="191" s="1"/>
  <c r="A664" i="191" s="1"/>
  <c r="A665" i="191" s="1"/>
  <c r="A666" i="191" s="1"/>
  <c r="A667" i="191" s="1"/>
  <c r="A668" i="191" s="1"/>
  <c r="A669" i="191" s="1"/>
  <c r="A670" i="191" s="1"/>
  <c r="A671" i="191" s="1"/>
  <c r="A672" i="191" s="1"/>
  <c r="A673" i="191" s="1"/>
  <c r="A674" i="191" s="1"/>
  <c r="A675" i="191" s="1"/>
  <c r="A676" i="191" s="1"/>
  <c r="A677" i="191" s="1"/>
  <c r="A678" i="191" s="1"/>
  <c r="A679" i="191" s="1"/>
  <c r="A680" i="191" s="1"/>
  <c r="A681" i="191" s="1"/>
  <c r="A682" i="191" s="1"/>
  <c r="A683" i="191" s="1"/>
  <c r="A684" i="191" s="1"/>
  <c r="A685" i="191" s="1"/>
  <c r="A686" i="191" s="1"/>
  <c r="A687" i="191" s="1"/>
  <c r="A688" i="191" s="1"/>
  <c r="A689" i="191" s="1"/>
  <c r="A690" i="191" s="1"/>
  <c r="A691" i="191" s="1"/>
  <c r="A692" i="191" s="1"/>
  <c r="A693" i="191" s="1"/>
  <c r="A694" i="191" s="1"/>
  <c r="A695" i="191" s="1"/>
  <c r="A696" i="191" s="1"/>
  <c r="A697" i="191" s="1"/>
  <c r="A698" i="191" s="1"/>
  <c r="A699" i="191" s="1"/>
  <c r="A700" i="191" s="1"/>
  <c r="A701" i="191" s="1"/>
  <c r="A702" i="191" s="1"/>
  <c r="A703" i="191" s="1"/>
  <c r="A704" i="191" s="1"/>
  <c r="A705" i="191" s="1"/>
  <c r="A706" i="191" s="1"/>
  <c r="A707" i="191" s="1"/>
  <c r="A708" i="191" s="1"/>
  <c r="A709" i="191" s="1"/>
  <c r="A710" i="191" s="1"/>
  <c r="A711" i="191" s="1"/>
  <c r="A712" i="191" s="1"/>
  <c r="A713" i="191" s="1"/>
  <c r="A714" i="191" s="1"/>
  <c r="A715" i="191" s="1"/>
  <c r="A716" i="191" s="1"/>
  <c r="A717" i="191" s="1"/>
  <c r="A718" i="191" s="1"/>
  <c r="A719" i="191" s="1"/>
  <c r="A720" i="191" s="1"/>
  <c r="A721" i="191" s="1"/>
  <c r="A722" i="191" s="1"/>
  <c r="A723" i="191" s="1"/>
  <c r="A724" i="191" s="1"/>
  <c r="A725" i="191" s="1"/>
  <c r="A726" i="191" s="1"/>
  <c r="A727" i="191" s="1"/>
  <c r="A728" i="191" s="1"/>
  <c r="A729" i="191" s="1"/>
  <c r="A730" i="191" s="1"/>
  <c r="A731" i="191" s="1"/>
  <c r="A732" i="191" s="1"/>
  <c r="A733" i="191" s="1"/>
  <c r="A734" i="191" s="1"/>
  <c r="A735" i="191" s="1"/>
  <c r="A736" i="191" s="1"/>
  <c r="A737" i="191" s="1"/>
  <c r="A738" i="191" s="1"/>
  <c r="A739" i="191" s="1"/>
  <c r="A740" i="191" s="1"/>
  <c r="A741" i="191" s="1"/>
  <c r="A742" i="191" s="1"/>
  <c r="A743" i="191" s="1"/>
  <c r="A744" i="191" s="1"/>
  <c r="A745" i="191" s="1"/>
  <c r="A746" i="191" s="1"/>
  <c r="A747" i="191" s="1"/>
  <c r="A748" i="191" s="1"/>
  <c r="A749" i="191" s="1"/>
  <c r="A750" i="191" s="1"/>
  <c r="A751" i="191" s="1"/>
  <c r="A752" i="191" s="1"/>
  <c r="A753" i="191" s="1"/>
  <c r="A754" i="191" s="1"/>
  <c r="A755" i="191" s="1"/>
  <c r="A756" i="191" s="1"/>
  <c r="A757" i="191" s="1"/>
  <c r="A758" i="191" s="1"/>
  <c r="A759" i="191" s="1"/>
  <c r="A760" i="191" s="1"/>
  <c r="A761" i="191" s="1"/>
  <c r="A762" i="191" s="1"/>
  <c r="A763" i="191" s="1"/>
  <c r="A764" i="191" s="1"/>
  <c r="A765" i="191" s="1"/>
  <c r="A766" i="191" s="1"/>
  <c r="A767" i="191" s="1"/>
  <c r="A768" i="191" s="1"/>
  <c r="A769" i="191" s="1"/>
  <c r="A770" i="191" s="1"/>
  <c r="A771" i="191" s="1"/>
  <c r="A772" i="191" s="1"/>
  <c r="A773" i="191" s="1"/>
  <c r="A774" i="191" s="1"/>
  <c r="A775" i="191" s="1"/>
  <c r="A776" i="191" s="1"/>
  <c r="A777" i="191" s="1"/>
  <c r="A778" i="191" s="1"/>
  <c r="A779" i="191" s="1"/>
  <c r="A780" i="191" s="1"/>
  <c r="A781" i="191" s="1"/>
  <c r="A782" i="191" s="1"/>
  <c r="A783" i="191" s="1"/>
  <c r="A784" i="191" s="1"/>
  <c r="A785" i="191" s="1"/>
  <c r="A786" i="191" s="1"/>
  <c r="A787" i="191" s="1"/>
  <c r="A788" i="191" s="1"/>
  <c r="A789" i="191" s="1"/>
  <c r="A790" i="191" s="1"/>
  <c r="A791" i="191" s="1"/>
  <c r="A792" i="191" s="1"/>
  <c r="A793" i="191" s="1"/>
  <c r="A794" i="191" s="1"/>
  <c r="A795" i="191" s="1"/>
  <c r="A796" i="191" s="1"/>
  <c r="A797" i="191" s="1"/>
  <c r="A798" i="191" s="1"/>
  <c r="A799" i="191" s="1"/>
  <c r="A800" i="191" s="1"/>
  <c r="A801" i="191" s="1"/>
  <c r="A802" i="191" s="1"/>
  <c r="A803" i="191" s="1"/>
  <c r="A804" i="191" s="1"/>
  <c r="A805" i="191" s="1"/>
  <c r="A806" i="191" s="1"/>
  <c r="A807" i="191" s="1"/>
  <c r="A808" i="191" s="1"/>
  <c r="A809" i="191" s="1"/>
  <c r="A810" i="191" s="1"/>
  <c r="A811" i="191" s="1"/>
  <c r="A812" i="191" s="1"/>
  <c r="A813" i="191" s="1"/>
  <c r="A814" i="191" s="1"/>
  <c r="A815" i="191" s="1"/>
  <c r="A816" i="191" s="1"/>
  <c r="A817" i="191" s="1"/>
  <c r="A818" i="191" s="1"/>
  <c r="A819" i="191" s="1"/>
  <c r="A820" i="191" s="1"/>
  <c r="A821" i="191" s="1"/>
  <c r="A822" i="191" s="1"/>
  <c r="A823" i="191" s="1"/>
  <c r="A824" i="191" s="1"/>
  <c r="A825" i="191" s="1"/>
  <c r="A826" i="191" s="1"/>
  <c r="A827" i="191" s="1"/>
  <c r="A828" i="191" s="1"/>
  <c r="A829" i="191" s="1"/>
  <c r="A830" i="191" s="1"/>
  <c r="A831" i="191" s="1"/>
  <c r="A832" i="191" s="1"/>
  <c r="A833" i="191" s="1"/>
  <c r="A834" i="191" s="1"/>
  <c r="A835" i="191" s="1"/>
  <c r="A836" i="191" s="1"/>
  <c r="A837" i="191" s="1"/>
  <c r="A838" i="191" s="1"/>
  <c r="A839" i="191" s="1"/>
  <c r="A840" i="191" s="1"/>
  <c r="A841" i="191" s="1"/>
  <c r="A842" i="191" s="1"/>
  <c r="A843" i="191" s="1"/>
  <c r="A844" i="191" s="1"/>
  <c r="A845" i="191" s="1"/>
  <c r="A846" i="191" s="1"/>
  <c r="A847" i="191" s="1"/>
  <c r="A848" i="191" s="1"/>
  <c r="A849" i="191" s="1"/>
  <c r="A850" i="191" s="1"/>
  <c r="A851" i="191" s="1"/>
  <c r="A852" i="191" s="1"/>
  <c r="A853" i="191" s="1"/>
  <c r="A854" i="191" s="1"/>
  <c r="A855" i="191" s="1"/>
  <c r="A856" i="191" s="1"/>
  <c r="A857" i="191" s="1"/>
  <c r="A858" i="191" s="1"/>
  <c r="A859" i="191" s="1"/>
  <c r="A860" i="191" s="1"/>
  <c r="A861" i="191" s="1"/>
  <c r="A862" i="191" s="1"/>
  <c r="A863" i="191" s="1"/>
  <c r="A864" i="191" s="1"/>
  <c r="A865" i="191" s="1"/>
  <c r="A866" i="191" s="1"/>
  <c r="A867" i="191" s="1"/>
  <c r="A868" i="191" s="1"/>
  <c r="A869" i="191" s="1"/>
  <c r="A870" i="191" s="1"/>
  <c r="A871" i="191" s="1"/>
  <c r="A872" i="191" s="1"/>
  <c r="A873" i="191" s="1"/>
  <c r="A874" i="191" s="1"/>
  <c r="A875" i="191" s="1"/>
  <c r="A876" i="191" s="1"/>
  <c r="A877" i="191" s="1"/>
  <c r="A878" i="191" s="1"/>
  <c r="A879" i="191" s="1"/>
  <c r="A880" i="191" s="1"/>
  <c r="A881" i="191" s="1"/>
  <c r="A882" i="191" s="1"/>
  <c r="A883" i="191" s="1"/>
  <c r="A884" i="191" s="1"/>
  <c r="A885" i="191" s="1"/>
  <c r="A886" i="191" s="1"/>
  <c r="A887" i="191" s="1"/>
  <c r="A888" i="191" s="1"/>
  <c r="A889" i="191" s="1"/>
  <c r="A890" i="191" s="1"/>
  <c r="A891" i="191" s="1"/>
  <c r="A892" i="191" s="1"/>
  <c r="A893" i="191" s="1"/>
  <c r="A894" i="191" s="1"/>
  <c r="A895" i="191" s="1"/>
  <c r="A896" i="191" s="1"/>
  <c r="A897" i="191" s="1"/>
  <c r="A898" i="191" s="1"/>
  <c r="A899" i="191" s="1"/>
  <c r="A900" i="191" s="1"/>
  <c r="A901" i="191" s="1"/>
  <c r="A902" i="191" s="1"/>
  <c r="A903" i="191" s="1"/>
  <c r="A904" i="191" s="1"/>
  <c r="A905" i="191" s="1"/>
  <c r="A906" i="191" s="1"/>
  <c r="A907" i="191" s="1"/>
  <c r="A908" i="191" s="1"/>
  <c r="A909" i="191" s="1"/>
  <c r="A910" i="191" s="1"/>
  <c r="A911" i="191" s="1"/>
  <c r="A912" i="191" s="1"/>
  <c r="A913" i="191" s="1"/>
  <c r="A914" i="191" s="1"/>
  <c r="A915" i="191" s="1"/>
  <c r="A916" i="191" s="1"/>
  <c r="A917" i="191" s="1"/>
  <c r="A918" i="191" s="1"/>
  <c r="A919" i="191" s="1"/>
  <c r="A920" i="191" s="1"/>
  <c r="A921" i="191" s="1"/>
  <c r="A922" i="191" s="1"/>
  <c r="A923" i="191" s="1"/>
  <c r="A924" i="191" s="1"/>
  <c r="A925" i="191" s="1"/>
  <c r="A926" i="191" s="1"/>
  <c r="A927" i="191" s="1"/>
  <c r="A928" i="191" s="1"/>
  <c r="A929" i="191" s="1"/>
  <c r="A930" i="191" s="1"/>
  <c r="A931" i="191" s="1"/>
  <c r="A932" i="191" s="1"/>
  <c r="A933" i="191" s="1"/>
  <c r="A934" i="191" s="1"/>
  <c r="A935" i="191" s="1"/>
  <c r="A936" i="191" s="1"/>
  <c r="A937" i="191" s="1"/>
  <c r="A938" i="191" s="1"/>
  <c r="A939" i="191" s="1"/>
  <c r="A940" i="191" s="1"/>
  <c r="A941" i="191" s="1"/>
  <c r="A942" i="191" s="1"/>
  <c r="A943" i="191" s="1"/>
  <c r="A944" i="191" s="1"/>
  <c r="A945" i="191" s="1"/>
  <c r="A946" i="191" s="1"/>
  <c r="A947" i="191" s="1"/>
  <c r="A948" i="191" s="1"/>
  <c r="A949" i="191" s="1"/>
  <c r="A950" i="191" s="1"/>
  <c r="A951" i="191" s="1"/>
  <c r="A952" i="191" s="1"/>
  <c r="A953" i="191" s="1"/>
  <c r="A954" i="191" s="1"/>
  <c r="A955" i="191" s="1"/>
  <c r="A956" i="191" s="1"/>
  <c r="A957" i="191" s="1"/>
  <c r="A958" i="191" s="1"/>
  <c r="A959" i="191" s="1"/>
  <c r="A960" i="191" s="1"/>
  <c r="A961" i="191" s="1"/>
  <c r="A962" i="191" s="1"/>
  <c r="A963" i="191" s="1"/>
  <c r="A964" i="191" s="1"/>
  <c r="A965" i="191" s="1"/>
  <c r="A966" i="191" s="1"/>
  <c r="A967" i="191" s="1"/>
  <c r="A968" i="191" s="1"/>
  <c r="A969" i="191" s="1"/>
  <c r="A970" i="191" s="1"/>
  <c r="A971" i="191" s="1"/>
  <c r="A972" i="191" s="1"/>
  <c r="A973" i="191" s="1"/>
  <c r="A974" i="191" s="1"/>
  <c r="A975" i="191" s="1"/>
  <c r="A976" i="191" s="1"/>
  <c r="A977" i="191" s="1"/>
  <c r="A978" i="191" s="1"/>
  <c r="A979" i="191" s="1"/>
  <c r="A980" i="191" s="1"/>
  <c r="A981" i="191" s="1"/>
  <c r="A982" i="191" s="1"/>
  <c r="A983" i="191" s="1"/>
  <c r="A984" i="191" s="1"/>
  <c r="A985" i="191" s="1"/>
  <c r="A986" i="191" s="1"/>
  <c r="A987" i="191" s="1"/>
  <c r="A988" i="191" s="1"/>
  <c r="A989" i="191" s="1"/>
  <c r="A990" i="191" s="1"/>
  <c r="A991" i="191" s="1"/>
  <c r="A992" i="191" s="1"/>
  <c r="A993" i="191" s="1"/>
  <c r="A994" i="191" s="1"/>
  <c r="A995" i="191" s="1"/>
  <c r="A996" i="191" s="1"/>
  <c r="A997" i="191" s="1"/>
  <c r="A998" i="191" s="1"/>
  <c r="A999" i="191" s="1"/>
  <c r="A1000" i="191" s="1"/>
  <c r="A1001" i="191" s="1"/>
  <c r="A1002" i="191" s="1"/>
  <c r="A1003" i="191" s="1"/>
  <c r="A1004" i="191" s="1"/>
  <c r="A1005" i="191" s="1"/>
  <c r="A1006" i="191" s="1"/>
  <c r="A1007" i="191" s="1"/>
  <c r="A1008" i="191" s="1"/>
  <c r="A1009" i="191" s="1"/>
  <c r="A1010" i="191" s="1"/>
  <c r="A1011" i="191" s="1"/>
  <c r="A1012" i="191" s="1"/>
  <c r="A1013" i="191" s="1"/>
  <c r="A1014" i="191" s="1"/>
  <c r="A1015" i="191" s="1"/>
  <c r="A1016" i="191" s="1"/>
  <c r="A1017" i="191" s="1"/>
  <c r="A1018" i="191" s="1"/>
  <c r="A1019" i="191" s="1"/>
  <c r="A1020" i="191" s="1"/>
  <c r="A1021" i="191" s="1"/>
  <c r="A1022" i="191" s="1"/>
  <c r="A1023" i="191" s="1"/>
  <c r="A1024" i="191" s="1"/>
  <c r="A1025" i="191" s="1"/>
  <c r="A1026" i="191" s="1"/>
  <c r="A1027" i="191" s="1"/>
  <c r="A1028" i="191" s="1"/>
  <c r="A1029" i="191" s="1"/>
  <c r="A1030" i="191" s="1"/>
  <c r="A1031" i="191" s="1"/>
  <c r="A1032" i="191" s="1"/>
  <c r="A1033" i="191" s="1"/>
  <c r="A1034" i="191" s="1"/>
  <c r="A1035" i="191" s="1"/>
  <c r="A1036" i="191" s="1"/>
  <c r="A1037" i="191" s="1"/>
  <c r="A1038" i="191" s="1"/>
  <c r="A1039" i="191" s="1"/>
  <c r="A1040" i="191" s="1"/>
  <c r="A1041" i="191" s="1"/>
  <c r="A1042" i="191" s="1"/>
  <c r="A1043" i="191" s="1"/>
  <c r="A1044" i="191" s="1"/>
  <c r="A1045" i="191" s="1"/>
  <c r="A1046" i="191" s="1"/>
  <c r="A1047" i="191" s="1"/>
  <c r="A1048" i="191" s="1"/>
  <c r="A1049" i="191" s="1"/>
  <c r="A1050" i="191" s="1"/>
  <c r="A1051" i="191" s="1"/>
  <c r="A1052" i="191" s="1"/>
  <c r="A1053" i="191" s="1"/>
  <c r="A1054" i="191" s="1"/>
  <c r="A1055" i="191" s="1"/>
  <c r="A1056" i="191" s="1"/>
  <c r="A1057" i="191" s="1"/>
  <c r="A1058" i="191" s="1"/>
  <c r="A1059" i="191" s="1"/>
  <c r="A1060" i="191" s="1"/>
  <c r="A1061" i="191" s="1"/>
  <c r="A1062" i="191" s="1"/>
  <c r="A1063" i="191" s="1"/>
  <c r="A1064" i="191" s="1"/>
  <c r="A1065" i="191" s="1"/>
  <c r="A1066" i="191" s="1"/>
  <c r="A1067" i="191" s="1"/>
  <c r="A1068" i="191" s="1"/>
  <c r="A1069" i="191" s="1"/>
  <c r="A1070" i="191" s="1"/>
  <c r="A1071" i="191" s="1"/>
  <c r="A1072" i="191" s="1"/>
  <c r="A1073" i="191" s="1"/>
  <c r="A1074" i="191" s="1"/>
  <c r="A1075" i="191" s="1"/>
  <c r="A1076" i="191" s="1"/>
  <c r="A1077" i="191" s="1"/>
  <c r="A1078" i="191" s="1"/>
  <c r="AJ60" i="189" l="1"/>
  <c r="AJ59" i="189"/>
  <c r="AJ58" i="189"/>
  <c r="AJ19" i="189"/>
  <c r="AJ18" i="189"/>
  <c r="AJ17" i="189"/>
  <c r="AJ16" i="189"/>
  <c r="AJ15" i="189"/>
  <c r="AJ14" i="189"/>
  <c r="AJ13" i="189"/>
  <c r="AJ12" i="189"/>
  <c r="AJ11" i="189"/>
  <c r="AJ10" i="189"/>
  <c r="AJ9" i="189"/>
  <c r="AJ8" i="189"/>
  <c r="AJ7" i="189"/>
  <c r="AJ6" i="189"/>
  <c r="A4" i="189"/>
  <c r="A5" i="189" s="1"/>
  <c r="A6" i="189" s="1"/>
  <c r="A7" i="189" s="1"/>
  <c r="A8" i="189" s="1"/>
  <c r="A9" i="189" s="1"/>
  <c r="A10" i="189" s="1"/>
  <c r="A11" i="189" s="1"/>
  <c r="A12" i="189" s="1"/>
  <c r="A13" i="189" s="1"/>
  <c r="A14" i="189" s="1"/>
  <c r="A15" i="189" s="1"/>
  <c r="A16" i="189" s="1"/>
  <c r="A17" i="189" s="1"/>
  <c r="A18" i="189" s="1"/>
  <c r="A19" i="189" s="1"/>
  <c r="A20" i="189" s="1"/>
  <c r="A21" i="189" s="1"/>
  <c r="A22" i="189" s="1"/>
  <c r="A23" i="189" s="1"/>
  <c r="A24" i="189" s="1"/>
  <c r="A25" i="189" s="1"/>
  <c r="A26" i="189" s="1"/>
  <c r="A27" i="189" s="1"/>
  <c r="A28" i="189" s="1"/>
  <c r="A29" i="189" s="1"/>
  <c r="A30" i="189" s="1"/>
  <c r="A31" i="189" s="1"/>
  <c r="A32" i="189" s="1"/>
  <c r="A33" i="189" l="1"/>
  <c r="A34" i="189" s="1"/>
  <c r="A35" i="189" s="1"/>
  <c r="A36" i="189" s="1"/>
  <c r="A37" i="189" s="1"/>
  <c r="A38" i="189" s="1"/>
  <c r="A39" i="189" s="1"/>
  <c r="O63" i="189"/>
  <c r="AJ5" i="189"/>
  <c r="AJ63" i="189" s="1"/>
  <c r="A40" i="189" l="1"/>
  <c r="A41" i="189" s="1"/>
  <c r="A42" i="189" s="1"/>
  <c r="A43" i="189" s="1"/>
  <c r="A44" i="189" s="1"/>
  <c r="A45" i="189" s="1"/>
  <c r="A46" i="189" s="1"/>
  <c r="A47" i="189" s="1"/>
  <c r="A48" i="189" s="1"/>
  <c r="A49" i="189" s="1"/>
  <c r="A50" i="189" s="1"/>
  <c r="A51" i="189" s="1"/>
  <c r="A52" i="189" s="1"/>
  <c r="A53" i="189" s="1"/>
  <c r="A54" i="189" s="1"/>
  <c r="A55" i="189" s="1"/>
  <c r="A56" i="189" s="1"/>
  <c r="A57" i="189" s="1"/>
  <c r="A58" i="189" s="1"/>
  <c r="A59" i="189" s="1"/>
  <c r="A60" i="189" s="1"/>
  <c r="A61" i="189" s="1"/>
</calcChain>
</file>

<file path=xl/comments1.xml><?xml version="1.0" encoding="utf-8"?>
<comments xmlns="http://schemas.openxmlformats.org/spreadsheetml/2006/main">
  <authors>
    <author>Yin Phary</author>
    <author>HR01</author>
    <author>HR04</author>
  </authors>
  <commentList>
    <comment ref="C57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 ឈិវ ទុំ</t>
        </r>
      </text>
    </comment>
    <comment ref="C64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</t>
        </r>
      </text>
    </comment>
    <comment ref="C151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</t>
        </r>
      </text>
    </comment>
    <comment ref="C155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CHANGED NAME</t>
        </r>
      </text>
    </comment>
    <comment ref="C157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 </t>
        </r>
      </text>
    </comment>
    <comment ref="C578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</text>
    </comment>
    <comment ref="C579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0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80" authorId="1" shapeId="0">
      <text>
        <r>
          <rPr>
            <sz val="9"/>
            <color indexed="81"/>
            <rFont val="Tahoma"/>
            <family val="2"/>
          </rPr>
          <t xml:space="preserve">not clear
</t>
        </r>
      </text>
    </comment>
    <comment ref="C581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81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2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82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3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4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5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59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68" authorId="1" shapeId="0">
      <text>
        <r>
          <rPr>
            <sz val="9"/>
            <color indexed="81"/>
            <rFont val="Tahoma"/>
            <family val="2"/>
          </rPr>
          <t xml:space="preserve">CANNOT SEE CODE
</t>
        </r>
      </text>
    </comment>
    <comment ref="H697" authorId="1" shapeId="0">
      <text>
        <r>
          <rPr>
            <sz val="9"/>
            <color indexed="81"/>
            <rFont val="Tahoma"/>
            <family val="2"/>
          </rPr>
          <t xml:space="preserve">WRONG SPELLING IN KHMER ID
</t>
        </r>
      </text>
    </comment>
    <comment ref="D702" authorId="1" shapeId="0">
      <text>
        <r>
          <rPr>
            <b/>
            <sz val="9"/>
            <color indexed="81"/>
            <rFont val="Tahoma"/>
            <family val="2"/>
          </rPr>
          <t>CANNOT SEE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15" authorId="1" shapeId="0">
      <text>
        <r>
          <rPr>
            <b/>
            <sz val="9"/>
            <color indexed="81"/>
            <rFont val="Tahoma"/>
            <family val="2"/>
          </rPr>
          <t>CANNOT SEE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27" authorId="2" shapeId="0">
      <text>
        <r>
          <rPr>
            <b/>
            <sz val="9"/>
            <color indexed="81"/>
            <rFont val="Tahoma"/>
            <family val="2"/>
          </rPr>
          <t>ចុង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44" authorId="1" shapeId="0">
      <text>
        <r>
          <rPr>
            <sz val="9"/>
            <color indexed="81"/>
            <rFont val="Tahoma"/>
            <family val="2"/>
          </rPr>
          <t xml:space="preserve">CANNOT SEE CODE
</t>
        </r>
      </text>
    </comment>
    <comment ref="D758" authorId="1" shapeId="0">
      <text>
        <r>
          <rPr>
            <b/>
            <sz val="9"/>
            <color indexed="81"/>
            <rFont val="Tahoma"/>
            <family val="2"/>
          </rPr>
          <t>CODE 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59" authorId="1" shapeId="0">
      <text>
        <r>
          <rPr>
            <b/>
            <sz val="9"/>
            <color indexed="81"/>
            <rFont val="Tahoma"/>
            <family val="2"/>
          </rPr>
          <t>CODE 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02" authorId="1" shapeId="0">
      <text>
        <r>
          <rPr>
            <b/>
            <sz val="9"/>
            <color indexed="81"/>
            <rFont val="Tahoma"/>
            <family val="2"/>
          </rPr>
          <t>FROM KHMER ID</t>
        </r>
      </text>
    </comment>
    <comment ref="D811" authorId="1" shapeId="0">
      <text>
        <r>
          <rPr>
            <sz val="9"/>
            <color indexed="81"/>
            <rFont val="Tahoma"/>
            <family val="2"/>
          </rPr>
          <t xml:space="preserve">CANNOT SEE CODE
</t>
        </r>
      </text>
    </comment>
    <comment ref="D820" authorId="1" shapeId="0">
      <text>
        <r>
          <rPr>
            <sz val="9"/>
            <color indexed="81"/>
            <rFont val="Tahoma"/>
            <family val="2"/>
          </rPr>
          <t xml:space="preserve">CANNOT SEE CODE
</t>
        </r>
      </text>
    </comment>
    <comment ref="D878" authorId="1" shapeId="0">
      <text>
        <r>
          <rPr>
            <b/>
            <sz val="9"/>
            <color indexed="81"/>
            <rFont val="Tahoma"/>
            <family val="2"/>
          </rPr>
          <t>NOT CLEAR</t>
        </r>
      </text>
    </comment>
    <comment ref="D890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78" authorId="1" shapeId="0">
      <text>
        <r>
          <rPr>
            <sz val="9"/>
            <color indexed="81"/>
            <rFont val="Tahoma"/>
            <family val="2"/>
          </rPr>
          <t xml:space="preserve">NOT CLEAR
</t>
        </r>
      </text>
    </comment>
    <comment ref="E994" authorId="1" shapeId="0">
      <text>
        <r>
          <rPr>
            <sz val="9"/>
            <color indexed="81"/>
            <rFont val="Tahoma"/>
            <family val="2"/>
          </rPr>
          <t xml:space="preserve">CANNOT SEE IN khmer id. Get from application form
</t>
        </r>
      </text>
    </comment>
    <comment ref="D1029" authorId="1" shapeId="0">
      <text>
        <r>
          <rPr>
            <sz val="9"/>
            <color indexed="81"/>
            <rFont val="Tahoma"/>
            <family val="2"/>
          </rPr>
          <t xml:space="preserve">NOT CLEAR
</t>
        </r>
      </text>
    </comment>
    <comment ref="D1052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59" authorId="1" shapeId="0">
      <text>
        <r>
          <rPr>
            <b/>
            <sz val="9"/>
            <color indexed="81"/>
            <rFont val="Tahoma"/>
            <family val="2"/>
          </rPr>
          <t xml:space="preserve">TAKE TO SHOP 2 TO COMPLETE TO FIND OUT THE APPLICATION FORM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76" authorId="1" shapeId="0">
      <text>
        <r>
          <rPr>
            <sz val="9"/>
            <color indexed="81"/>
            <rFont val="Tahoma"/>
            <family val="2"/>
          </rPr>
          <t xml:space="preserve">3764/3686
</t>
        </r>
      </text>
    </comment>
  </commentList>
</comments>
</file>

<file path=xl/sharedStrings.xml><?xml version="1.0" encoding="utf-8"?>
<sst xmlns="http://schemas.openxmlformats.org/spreadsheetml/2006/main" count="22734" uniqueCount="6108">
  <si>
    <t>Name</t>
  </si>
  <si>
    <r>
      <t>N</t>
    </r>
    <r>
      <rPr>
        <sz val="11"/>
        <color theme="1"/>
        <rFont val="Times New Roman"/>
        <family val="1"/>
      </rPr>
      <t>°</t>
    </r>
  </si>
  <si>
    <t>ID</t>
  </si>
  <si>
    <t>Position</t>
  </si>
  <si>
    <t>Join Date</t>
  </si>
  <si>
    <t>Seniority</t>
  </si>
  <si>
    <t>Skill</t>
  </si>
  <si>
    <t>Language</t>
  </si>
  <si>
    <t>Leader Cutting</t>
  </si>
  <si>
    <t>Assist. Cutting</t>
  </si>
  <si>
    <t>Leader Sample</t>
  </si>
  <si>
    <t>Doctor</t>
  </si>
  <si>
    <t>Thouk</t>
  </si>
  <si>
    <t>Thy</t>
  </si>
  <si>
    <t>Cutting Table</t>
  </si>
  <si>
    <t>Cutting  A</t>
  </si>
  <si>
    <t>MENG</t>
  </si>
  <si>
    <t>RATHA</t>
  </si>
  <si>
    <t>BUN</t>
  </si>
  <si>
    <t>SREI  KHIM</t>
  </si>
  <si>
    <t>YAUN</t>
  </si>
  <si>
    <t>SAMOEUN</t>
  </si>
  <si>
    <t>SOUY</t>
  </si>
  <si>
    <t>VANDY</t>
  </si>
  <si>
    <t>NEANG</t>
  </si>
  <si>
    <t>POCH</t>
  </si>
  <si>
    <t>QC</t>
  </si>
  <si>
    <t>QC Garment A</t>
  </si>
  <si>
    <t>LEAM</t>
  </si>
  <si>
    <t>VY</t>
  </si>
  <si>
    <t>SRY</t>
  </si>
  <si>
    <t>LEANG</t>
  </si>
  <si>
    <t>Ngy</t>
  </si>
  <si>
    <t>Lady</t>
  </si>
  <si>
    <t>Cut and Sew</t>
  </si>
  <si>
    <t>LOCH</t>
  </si>
  <si>
    <t>TAB</t>
  </si>
  <si>
    <t>MEN</t>
  </si>
  <si>
    <t>Ra</t>
  </si>
  <si>
    <t>Kuy</t>
  </si>
  <si>
    <t>Khley</t>
  </si>
  <si>
    <t>Prom</t>
  </si>
  <si>
    <t>Boeun</t>
  </si>
  <si>
    <t>Sao</t>
  </si>
  <si>
    <t>Tap</t>
  </si>
  <si>
    <t>Seng</t>
  </si>
  <si>
    <t>Sokha</t>
  </si>
  <si>
    <t>Bou</t>
  </si>
  <si>
    <t>Sak</t>
  </si>
  <si>
    <t>Chan</t>
  </si>
  <si>
    <t>Ty</t>
  </si>
  <si>
    <t>Born</t>
  </si>
  <si>
    <t>Rikreay</t>
  </si>
  <si>
    <t>Sov</t>
  </si>
  <si>
    <t>Van</t>
  </si>
  <si>
    <t>Lau</t>
  </si>
  <si>
    <t>Leak</t>
  </si>
  <si>
    <t>Man</t>
  </si>
  <si>
    <t>Sary</t>
  </si>
  <si>
    <t>Dy</t>
  </si>
  <si>
    <t>Sina</t>
  </si>
  <si>
    <t>ល.រ</t>
  </si>
  <si>
    <t>គោត្តនាមឡាតាំង</t>
  </si>
  <si>
    <t>នាមឡាតាំង</t>
  </si>
  <si>
    <t>ថ្ងៃខែឆ្នាំកំណើត</t>
  </si>
  <si>
    <t>កាលបរិ. ចូលធ្វើការ</t>
  </si>
  <si>
    <t>ក្រុម</t>
  </si>
  <si>
    <t>តួនាទី</t>
  </si>
  <si>
    <t>Nº</t>
  </si>
  <si>
    <t>Factory ID</t>
  </si>
  <si>
    <t>Khmer Name</t>
  </si>
  <si>
    <t>English Sure name</t>
  </si>
  <si>
    <t>Birth of Date</t>
  </si>
  <si>
    <t>Department</t>
  </si>
  <si>
    <t>Basic</t>
  </si>
  <si>
    <t>Housing &amp;Transportation</t>
  </si>
  <si>
    <t>Motivation</t>
  </si>
  <si>
    <t>Total</t>
  </si>
  <si>
    <t>NOL</t>
  </si>
  <si>
    <t>MEGNHOUY</t>
  </si>
  <si>
    <t>Administration</t>
  </si>
  <si>
    <t>Warehouse Trims</t>
  </si>
  <si>
    <t>PHON</t>
  </si>
  <si>
    <t>PHEARA</t>
  </si>
  <si>
    <t>Loading</t>
  </si>
  <si>
    <t>Oem</t>
  </si>
  <si>
    <t>The</t>
  </si>
  <si>
    <t>Warehouse</t>
  </si>
  <si>
    <t>Phang</t>
  </si>
  <si>
    <t>Huy</t>
  </si>
  <si>
    <t>Ly</t>
  </si>
  <si>
    <t>Rang</t>
  </si>
  <si>
    <t>Long</t>
  </si>
  <si>
    <t>Sokun</t>
  </si>
  <si>
    <t>Srey</t>
  </si>
  <si>
    <t>Phearun</t>
  </si>
  <si>
    <t>Kim</t>
  </si>
  <si>
    <t>Srey Houch</t>
  </si>
  <si>
    <t>RIN</t>
  </si>
  <si>
    <t>CHANTHA</t>
  </si>
  <si>
    <t>Ouk</t>
  </si>
  <si>
    <t>Molika</t>
  </si>
  <si>
    <t>Admin &amp; Nurse</t>
  </si>
  <si>
    <t>chhorn</t>
  </si>
  <si>
    <t>Vay</t>
  </si>
  <si>
    <t>Sum</t>
  </si>
  <si>
    <t>Hing</t>
  </si>
  <si>
    <t>Sorn</t>
  </si>
  <si>
    <t>Phary</t>
  </si>
  <si>
    <t>Chivkun</t>
  </si>
  <si>
    <t>Han</t>
  </si>
  <si>
    <t>Nak</t>
  </si>
  <si>
    <t>Sann</t>
  </si>
  <si>
    <t>Sodom</t>
  </si>
  <si>
    <t>Hang</t>
  </si>
  <si>
    <t>Vanna</t>
  </si>
  <si>
    <t>Yan</t>
  </si>
  <si>
    <t>Salary Report 2019</t>
  </si>
  <si>
    <t>姓名</t>
  </si>
  <si>
    <t>底薪</t>
    <phoneticPr fontId="11" type="noConversion"/>
  </si>
  <si>
    <t>工齡</t>
    <phoneticPr fontId="11" type="noConversion"/>
  </si>
  <si>
    <t>技能</t>
    <phoneticPr fontId="11" type="noConversion"/>
  </si>
  <si>
    <t>職位</t>
    <phoneticPr fontId="11" type="noConversion"/>
  </si>
  <si>
    <t>語言</t>
    <phoneticPr fontId="11" type="noConversion"/>
  </si>
  <si>
    <r>
      <rPr>
        <sz val="9"/>
        <color rgb="FF7030A0"/>
        <rFont val="MingLiU"/>
        <family val="3"/>
        <charset val="136"/>
      </rPr>
      <t>房屋</t>
    </r>
    <r>
      <rPr>
        <sz val="9"/>
        <color rgb="FF7030A0"/>
        <rFont val="Arial"/>
        <family val="2"/>
      </rPr>
      <t>/</t>
    </r>
    <r>
      <rPr>
        <sz val="9"/>
        <color rgb="FF7030A0"/>
        <rFont val="MingLiU"/>
        <family val="3"/>
        <charset val="136"/>
      </rPr>
      <t>交通</t>
    </r>
    <phoneticPr fontId="11" type="noConversion"/>
  </si>
  <si>
    <t>全勤</t>
    <phoneticPr fontId="11" type="noConversion"/>
  </si>
  <si>
    <t>Attendance</t>
    <phoneticPr fontId="11" type="noConversion"/>
  </si>
  <si>
    <t>Attendance</t>
    <phoneticPr fontId="11" type="noConversion"/>
  </si>
  <si>
    <t>入職日期</t>
    <phoneticPr fontId="11" type="noConversion"/>
  </si>
  <si>
    <t>崗位名稱</t>
    <phoneticPr fontId="11" type="noConversion"/>
  </si>
  <si>
    <t>លេខកូត VRT</t>
  </si>
  <si>
    <t>អត្ត.ប.ស.ស</t>
  </si>
  <si>
    <t>អត្ត.ប្រជាពលរដ្ឋ</t>
  </si>
  <si>
    <t>គោត្តនាម</t>
  </si>
  <si>
    <t>នាម</t>
  </si>
  <si>
    <t>ភេទ</t>
  </si>
  <si>
    <t>សញ្ជាតិ</t>
  </si>
  <si>
    <t>កាលបរិ. កិច្ចសន្យាចាស់</t>
  </si>
  <si>
    <t>រោងចក្រ</t>
  </si>
  <si>
    <t>ស្ថានភាព</t>
  </si>
  <si>
    <t>កន្លែងកំណើត</t>
  </si>
  <si>
    <t>Reason of leave</t>
  </si>
  <si>
    <t>Resigned Date</t>
  </si>
  <si>
    <t>Family book</t>
  </si>
  <si>
    <t>Birth Certificate Nº</t>
  </si>
  <si>
    <t>Education</t>
  </si>
  <si>
    <t>Phone</t>
  </si>
  <si>
    <t>sßanPaBRKYsar</t>
  </si>
  <si>
    <t>Health Certificate</t>
  </si>
  <si>
    <t>Health Certificate Number</t>
  </si>
  <si>
    <t>Work book</t>
  </si>
  <si>
    <t>Address</t>
  </si>
  <si>
    <t>VRT Code</t>
  </si>
  <si>
    <t>Nssf Code</t>
  </si>
  <si>
    <t>ID/Pass Port No.</t>
  </si>
  <si>
    <t>Khmer Sure name</t>
  </si>
  <si>
    <t>Sex</t>
  </si>
  <si>
    <t>Nationality</t>
  </si>
  <si>
    <t>Contract date old</t>
  </si>
  <si>
    <t xml:space="preserve">Factory </t>
  </si>
  <si>
    <t>Status</t>
  </si>
  <si>
    <t>Place of Bith</t>
  </si>
  <si>
    <t>នៅលីវ</t>
  </si>
  <si>
    <t>រៀបការ</t>
  </si>
  <si>
    <t>លែងលះ</t>
  </si>
  <si>
    <t>muxrbrbþI rWRbBn§</t>
  </si>
  <si>
    <t>ទី១</t>
  </si>
  <si>
    <t>ទី២</t>
  </si>
  <si>
    <t>ទី៣</t>
  </si>
  <si>
    <t>ទី៤</t>
  </si>
  <si>
    <t>ទី៥</t>
  </si>
  <si>
    <t>ទី៦</t>
  </si>
  <si>
    <t>VRT8</t>
  </si>
  <si>
    <t>28210160398812ធ</t>
  </si>
  <si>
    <t>ញ៉ិល</t>
  </si>
  <si>
    <t>ចន័្នធា</t>
  </si>
  <si>
    <t>NHEL</t>
  </si>
  <si>
    <t>CHANTHEA</t>
  </si>
  <si>
    <t>ស្រី</t>
  </si>
  <si>
    <t>ខ្មែរ</t>
  </si>
  <si>
    <t>Cut &amp; Sew</t>
  </si>
  <si>
    <t>A</t>
  </si>
  <si>
    <t>កំពុងធ្វើការ</t>
  </si>
  <si>
    <t>ខេត្តកំពង់ចាម</t>
  </si>
  <si>
    <t>គ្មាន</t>
  </si>
  <si>
    <t>097 965 409 6</t>
  </si>
  <si>
    <t>a</t>
  </si>
  <si>
    <t>កម្មករ</t>
  </si>
  <si>
    <t>សិស្ស</t>
  </si>
  <si>
    <t>បន្ទុក</t>
  </si>
  <si>
    <t>No</t>
  </si>
  <si>
    <t xml:space="preserve">Yes </t>
  </si>
  <si>
    <t>Group13, Phum3, Sangkat1, Sihanouk ville, Sihanouk province</t>
  </si>
  <si>
    <t>VRT12</t>
  </si>
  <si>
    <t>27510160384785ម</t>
  </si>
  <si>
    <t>គឹម</t>
  </si>
  <si>
    <t>សារិន</t>
  </si>
  <si>
    <t>Koem</t>
  </si>
  <si>
    <t>Sarim</t>
  </si>
  <si>
    <t>Cleaner</t>
  </si>
  <si>
    <t>មាន</t>
  </si>
  <si>
    <t>088 909 588 0</t>
  </si>
  <si>
    <t>រត់ម៉ូតូ</t>
  </si>
  <si>
    <t>Yes</t>
  </si>
  <si>
    <t>Phum5, Sangkat4, Sihanouk ville, Sihanouk province</t>
  </si>
  <si>
    <t>VRT16</t>
  </si>
  <si>
    <t>19210160397622ថ</t>
  </si>
  <si>
    <t>ច័ន្ទថុនា</t>
  </si>
  <si>
    <t>Chanthuna</t>
  </si>
  <si>
    <t>ប្រុស</t>
  </si>
  <si>
    <t>Maker Office</t>
  </si>
  <si>
    <t>ខេត្តតាកែវ</t>
  </si>
  <si>
    <t>069 433 482</t>
  </si>
  <si>
    <t>ធ្វើការរោងចក្រ</t>
  </si>
  <si>
    <t>Group18, Phum1, Sangkat1, Khan Mittapheap, Sihanouk ville</t>
  </si>
  <si>
    <t>VRT18</t>
  </si>
  <si>
    <t>18603170680554ផ</t>
  </si>
  <si>
    <t>ធួក</t>
  </si>
  <si>
    <t>ធី</t>
  </si>
  <si>
    <t>ខេត្តព្រៃវែង</t>
  </si>
  <si>
    <t>Phum2, Sangkat1, Khan Mittapheap, Sihanouk ville</t>
  </si>
  <si>
    <t>VRT22</t>
  </si>
  <si>
    <t>28210160384722ឍ</t>
  </si>
  <si>
    <t>អ៊ឹម</t>
  </si>
  <si>
    <t>ផានី</t>
  </si>
  <si>
    <t>Im</t>
  </si>
  <si>
    <t>Phany</t>
  </si>
  <si>
    <t>Garment Line A4</t>
  </si>
  <si>
    <t>ខេត្តកំពត</t>
  </si>
  <si>
    <t>Rent house</t>
  </si>
  <si>
    <t>VRT26</t>
  </si>
  <si>
    <t>28610160384673ព</t>
  </si>
  <si>
    <t>ស្រីហួច</t>
  </si>
  <si>
    <t>097 800 3 448</t>
  </si>
  <si>
    <t>VRT28</t>
  </si>
  <si>
    <t>28203170680369ព</t>
  </si>
  <si>
    <t>ភោក</t>
  </si>
  <si>
    <t>ស៊ីណា</t>
  </si>
  <si>
    <t>Phouk</t>
  </si>
  <si>
    <t>097 738 800 9</t>
  </si>
  <si>
    <t>ពេទ្យ</t>
  </si>
  <si>
    <t>Phum2, Sangkat1, Sihanouk ville, Sihanouk province</t>
  </si>
  <si>
    <t>VRT30</t>
  </si>
  <si>
    <t>27610160397666ល</t>
  </si>
  <si>
    <t>ហៀ</t>
  </si>
  <si>
    <t>ហឿង</t>
  </si>
  <si>
    <t>Hear</t>
  </si>
  <si>
    <t>Hoeung</t>
  </si>
  <si>
    <t xml:space="preserve"> leader  apron line</t>
  </si>
  <si>
    <t>B</t>
  </si>
  <si>
    <t>087 70 99 58</t>
  </si>
  <si>
    <t>Group8, Phum3, Sangkat3, Sihanouk ville, Sihanouk province</t>
  </si>
  <si>
    <t>VRT37</t>
  </si>
  <si>
    <t>28910160384483ម</t>
  </si>
  <si>
    <t>ស្រីល័ក្ខ</t>
  </si>
  <si>
    <t>Srey Leak</t>
  </si>
  <si>
    <t>ខេត្តព្រះសីហនុ</t>
  </si>
  <si>
    <t>016 996 916</t>
  </si>
  <si>
    <t>Group19, Phum3, Sangkat1, Sihanouk ville, Sihanouk province</t>
  </si>
  <si>
    <t>VRT42</t>
  </si>
  <si>
    <t>28703170680339ម</t>
  </si>
  <si>
    <t>ប៊ុន</t>
  </si>
  <si>
    <t>គឹមសែ</t>
  </si>
  <si>
    <t>Bun</t>
  </si>
  <si>
    <t>Kimse</t>
  </si>
  <si>
    <t>Garment Line A9</t>
  </si>
  <si>
    <t xml:space="preserve"> Phum3, Sangkat3, Sihanouk ville, Sihanouk province</t>
  </si>
  <si>
    <t>VRT45</t>
  </si>
  <si>
    <t>26603170680300ញ</t>
  </si>
  <si>
    <t>ឃុន</t>
  </si>
  <si>
    <t>សាខន</t>
  </si>
  <si>
    <t>Khun</t>
  </si>
  <si>
    <t>Sakhân</t>
  </si>
  <si>
    <t>Apron A4</t>
  </si>
  <si>
    <t>070 794 565</t>
  </si>
  <si>
    <t>Group10, Phum3, Sangkat1, Sihanouk ville, Sihanouk province</t>
  </si>
  <si>
    <t>VRT63</t>
  </si>
  <si>
    <t>27610160384746ព</t>
  </si>
  <si>
    <t>ទុន</t>
  </si>
  <si>
    <t>សុខុន</t>
  </si>
  <si>
    <t>Tun</t>
  </si>
  <si>
    <t>sokhon</t>
  </si>
  <si>
    <t>Apron B1</t>
  </si>
  <si>
    <t>015 78 72 83</t>
  </si>
  <si>
    <t>ជាងថ្នាំ</t>
  </si>
  <si>
    <t>VRT64</t>
  </si>
  <si>
    <t>28310160397648យ</t>
  </si>
  <si>
    <t>ហុង</t>
  </si>
  <si>
    <t>សេងចន្នី</t>
  </si>
  <si>
    <t>HONG</t>
  </si>
  <si>
    <t>SENG CHANNY</t>
  </si>
  <si>
    <t>Packing</t>
  </si>
  <si>
    <t>Apron A5</t>
  </si>
  <si>
    <t>រត់ម៉ូឌុប</t>
  </si>
  <si>
    <t>VRT66</t>
  </si>
  <si>
    <t>28010160397394ប</t>
  </si>
  <si>
    <t>0</t>
  </si>
  <si>
    <t>ធង</t>
  </si>
  <si>
    <t>អួន</t>
  </si>
  <si>
    <t>THORNG</t>
  </si>
  <si>
    <t>UON</t>
  </si>
  <si>
    <t>Garment lineA6</t>
  </si>
  <si>
    <t>Sihanouk ville, Sihanouk province</t>
  </si>
  <si>
    <t>VRT71</t>
  </si>
  <si>
    <t>27903170680453ព</t>
  </si>
  <si>
    <t>ពេជ</t>
  </si>
  <si>
    <t>សោភា</t>
  </si>
  <si>
    <t>Pich</t>
  </si>
  <si>
    <t>Sophea</t>
  </si>
  <si>
    <t>Garment lineA7</t>
  </si>
  <si>
    <t>ខេត្តកំពង់ស្ពឺ</t>
  </si>
  <si>
    <t>093 426 672</t>
  </si>
  <si>
    <t>VRT75</t>
  </si>
  <si>
    <t>28610160384552ធ</t>
  </si>
  <si>
    <t>ម៉ូវ</t>
  </si>
  <si>
    <t>សុធឿន</t>
  </si>
  <si>
    <t>MOUV</t>
  </si>
  <si>
    <t>SOTHOEUNRN</t>
  </si>
  <si>
    <t>Apron B2</t>
  </si>
  <si>
    <t>VRT78</t>
  </si>
  <si>
    <t>27710160397970រ</t>
  </si>
  <si>
    <t>វ៉ន</t>
  </si>
  <si>
    <t>ភា</t>
  </si>
  <si>
    <t>Vorn</t>
  </si>
  <si>
    <t>Phea</t>
  </si>
  <si>
    <t>កំព​ង់ផែ</t>
  </si>
  <si>
    <t>VRT85</t>
  </si>
  <si>
    <t>29110160384661ត</t>
  </si>
  <si>
    <t>សុខឡាង</t>
  </si>
  <si>
    <t>HOEUNG</t>
  </si>
  <si>
    <t>SOK LANG</t>
  </si>
  <si>
    <t>ខេត្តកណ្តាល</t>
  </si>
  <si>
    <t>Phum1, Sangkat2, Sihanouk ville, Sihanouk province</t>
  </si>
  <si>
    <t>VRT102</t>
  </si>
  <si>
    <t>28010160397454ទ</t>
  </si>
  <si>
    <t>ណុច</t>
  </si>
  <si>
    <t>ចន្ធី</t>
  </si>
  <si>
    <t>Noch</t>
  </si>
  <si>
    <t>Chanthy</t>
  </si>
  <si>
    <t>Fhoss&amp; Garment A10</t>
  </si>
  <si>
    <t>Maternity leave</t>
  </si>
  <si>
    <t>1/6/2016-1/9/2016</t>
  </si>
  <si>
    <t>VRT105</t>
  </si>
  <si>
    <t>28010160397458ផ</t>
  </si>
  <si>
    <t>អៀម</t>
  </si>
  <si>
    <t>សារីម</t>
  </si>
  <si>
    <t>IEM</t>
  </si>
  <si>
    <t>SARIM</t>
  </si>
  <si>
    <t>Garment A2</t>
  </si>
  <si>
    <t>VRT106</t>
  </si>
  <si>
    <t>28203170680431ឌ</t>
  </si>
  <si>
    <t>ខាត់</t>
  </si>
  <si>
    <t>ឈុំ</t>
  </si>
  <si>
    <t>Khat</t>
  </si>
  <si>
    <t>Chhum</t>
  </si>
  <si>
    <t>1/9/2016-1/12/2016</t>
  </si>
  <si>
    <t>កសិករ</t>
  </si>
  <si>
    <t xml:space="preserve"> Sihanouk ville, Sihanouk province</t>
  </si>
  <si>
    <t>VRT113</t>
  </si>
  <si>
    <t>28203170680340ឋ</t>
  </si>
  <si>
    <t>គ្រី</t>
  </si>
  <si>
    <t>គុន្ធា</t>
  </si>
  <si>
    <t>Kri</t>
  </si>
  <si>
    <t>kunthea</t>
  </si>
  <si>
    <t>ជាងភ្លើង</t>
  </si>
  <si>
    <t>VRT126</t>
  </si>
  <si>
    <t>28410160397631ធ</t>
  </si>
  <si>
    <t>សឿង</t>
  </si>
  <si>
    <t>សុភក្តិ</t>
  </si>
  <si>
    <t>SOEURNG</t>
  </si>
  <si>
    <t>SOPHEAK</t>
  </si>
  <si>
    <t>នៅផ្ទះ</t>
  </si>
  <si>
    <t xml:space="preserve"> Phum1,Sangkat2, Sihanouk ville, Sihanouk province</t>
  </si>
  <si>
    <t>VRT132</t>
  </si>
  <si>
    <t>28010160384998រ</t>
  </si>
  <si>
    <t>ពេជ្យ</t>
  </si>
  <si>
    <t>សាបាន</t>
  </si>
  <si>
    <t>PICH</t>
  </si>
  <si>
    <t>SAMBAN</t>
  </si>
  <si>
    <t>ធ្វើការនៅសណ្ឋាគា</t>
  </si>
  <si>
    <t>VRT136</t>
  </si>
  <si>
    <t>27110160397843ន</t>
  </si>
  <si>
    <t>ទៀប</t>
  </si>
  <si>
    <t>សូនី</t>
  </si>
  <si>
    <t>Teab</t>
  </si>
  <si>
    <t>sony</t>
  </si>
  <si>
    <t>Garment A3</t>
  </si>
  <si>
    <t>រត់ម៉ូតូឌុប</t>
  </si>
  <si>
    <t>Phum4, Sangkat4, Sihanouk ville, Sihanouk province</t>
  </si>
  <si>
    <t>VRT150</t>
  </si>
  <si>
    <t>29510160397854ល</t>
  </si>
  <si>
    <t>សែត</t>
  </si>
  <si>
    <t>មឿន</t>
  </si>
  <si>
    <t>Set</t>
  </si>
  <si>
    <t>moeun</t>
  </si>
  <si>
    <t>086 587 204</t>
  </si>
  <si>
    <t>VRT152</t>
  </si>
  <si>
    <t>28210160397764ភ</t>
  </si>
  <si>
    <t>ខៀវ</t>
  </si>
  <si>
    <t>ចាន់នួន</t>
  </si>
  <si>
    <t>keav</t>
  </si>
  <si>
    <t>channoun</t>
  </si>
  <si>
    <t>Sample</t>
  </si>
  <si>
    <t>1/11/2016-1/2/2017</t>
  </si>
  <si>
    <t>096 794 53 48</t>
  </si>
  <si>
    <t>VRT158</t>
  </si>
  <si>
    <t>28910160385371ផ</t>
  </si>
  <si>
    <t>សោម</t>
  </si>
  <si>
    <t>Som</t>
  </si>
  <si>
    <t>Bachelor</t>
  </si>
  <si>
    <t>VRT162</t>
  </si>
  <si>
    <t>28010160397400ឈ</t>
  </si>
  <si>
    <t>ឃុំ</t>
  </si>
  <si>
    <t>ផល្លី</t>
  </si>
  <si>
    <t>khom</t>
  </si>
  <si>
    <t>pholy</t>
  </si>
  <si>
    <t>Garment Line A1</t>
  </si>
  <si>
    <t>97 3424865</t>
  </si>
  <si>
    <t>VRT181</t>
  </si>
  <si>
    <t>27310160384809ន</t>
  </si>
  <si>
    <t>លឹម</t>
  </si>
  <si>
    <t>រី</t>
  </si>
  <si>
    <t>Lim</t>
  </si>
  <si>
    <t xml:space="preserve">ry </t>
  </si>
  <si>
    <t>Take leave one month</t>
  </si>
  <si>
    <t>សំណង់</t>
  </si>
  <si>
    <t>Phum19, Sangkat1, Sihanouk ville, Sihanouk province</t>
  </si>
  <si>
    <t>VRT196</t>
  </si>
  <si>
    <t>27810160384671ផ</t>
  </si>
  <si>
    <t>ជឿន</t>
  </si>
  <si>
    <t>រឿម</t>
  </si>
  <si>
    <t>Choeun</t>
  </si>
  <si>
    <t>Roeum</t>
  </si>
  <si>
    <t>ខេត្តបាត់ដំបង</t>
  </si>
  <si>
    <t>VRT198</t>
  </si>
  <si>
    <t>28210160384469ផ</t>
  </si>
  <si>
    <t>រស់</t>
  </si>
  <si>
    <t>Ros</t>
  </si>
  <si>
    <t>Poly</t>
  </si>
  <si>
    <t>ប៉ូលីស</t>
  </si>
  <si>
    <t>Phum3, Sangkat4, Sihanouk ville, Sihanouk province</t>
  </si>
  <si>
    <t>VRT211</t>
  </si>
  <si>
    <t>28507170817791ហ</t>
  </si>
  <si>
    <t>សុក</t>
  </si>
  <si>
    <t>សារឿន</t>
  </si>
  <si>
    <t>Sut</t>
  </si>
  <si>
    <t>saroeun</t>
  </si>
  <si>
    <t>1/1/2017-1/4/2017</t>
  </si>
  <si>
    <t>VRT236</t>
  </si>
  <si>
    <t>27910160384634ផ</t>
  </si>
  <si>
    <t>វុន</t>
  </si>
  <si>
    <t>តាំង</t>
  </si>
  <si>
    <t>VUN</t>
  </si>
  <si>
    <t>TAING</t>
  </si>
  <si>
    <t>ភូមិ 1សង្កាត់ 01 ខ័ណ្ឌមិត្តភាព ខេត្តព្រះសីហនុ</t>
  </si>
  <si>
    <t>VRT242</t>
  </si>
  <si>
    <t>29310160384657ព</t>
  </si>
  <si>
    <t>កែវ</t>
  </si>
  <si>
    <t>ពុទ្ធា</t>
  </si>
  <si>
    <t>KEO</t>
  </si>
  <si>
    <t>PUTHEA</t>
  </si>
  <si>
    <t>ក្រុម 18 ភូមិ 04 សង្កាត់ 04 ខេត្តព្រះសីហនុ</t>
  </si>
  <si>
    <t>VRT244</t>
  </si>
  <si>
    <t>27310160397529ព</t>
  </si>
  <si>
    <t>ម៉ិល</t>
  </si>
  <si>
    <t>វី</t>
  </si>
  <si>
    <t>MIL</t>
  </si>
  <si>
    <t>søab;</t>
  </si>
  <si>
    <t>bnÞúk</t>
  </si>
  <si>
    <t>PUmi 12 sgáat; 03 extþRBHsIhnu</t>
  </si>
  <si>
    <t>VRT253</t>
  </si>
  <si>
    <t>27310160384539ន</t>
  </si>
  <si>
    <t>ស</t>
  </si>
  <si>
    <t>សាវន</t>
  </si>
  <si>
    <t>SOR</t>
  </si>
  <si>
    <t>SAVORN</t>
  </si>
  <si>
    <t>enApÞH</t>
  </si>
  <si>
    <t>sisS</t>
  </si>
  <si>
    <t>PUmi  2 sgáat; 01 extþRBHsIhnu</t>
  </si>
  <si>
    <t>VRT264</t>
  </si>
  <si>
    <t>28410160384792ព</t>
  </si>
  <si>
    <t>នាក់</t>
  </si>
  <si>
    <t>នួន</t>
  </si>
  <si>
    <t>NAK</t>
  </si>
  <si>
    <t>NGUON</t>
  </si>
  <si>
    <t>PUmi 5 sgáat;4extþRBHsIhnu</t>
  </si>
  <si>
    <t>VRT267</t>
  </si>
  <si>
    <t>29510160398175ម</t>
  </si>
  <si>
    <t>រិន</t>
  </si>
  <si>
    <t>ចាន់ថា</t>
  </si>
  <si>
    <t>PUmi 3 sgáat ;3 extþRBHsIhnu</t>
  </si>
  <si>
    <t>VRT277</t>
  </si>
  <si>
    <t>28403170680331ឍ</t>
  </si>
  <si>
    <t>ផង់</t>
  </si>
  <si>
    <t>ហៃ</t>
  </si>
  <si>
    <t>PHANG</t>
  </si>
  <si>
    <t>HEY</t>
  </si>
  <si>
    <t>rt;m:UtU</t>
  </si>
  <si>
    <t>VRT281</t>
  </si>
  <si>
    <t>28110160384759ព</t>
  </si>
  <si>
    <t>ហង្ស</t>
  </si>
  <si>
    <t>ភារុន</t>
  </si>
  <si>
    <t>SARUN</t>
  </si>
  <si>
    <t>ខេត្តក្រចេះ</t>
  </si>
  <si>
    <t>15 533722</t>
  </si>
  <si>
    <t>PUmi 2 sgáat; 1 extþRBHsIhnu</t>
  </si>
  <si>
    <t>VRT296</t>
  </si>
  <si>
    <t>28210160384410ជ</t>
  </si>
  <si>
    <t>ផល</t>
  </si>
  <si>
    <t>សុខា</t>
  </si>
  <si>
    <t>POL</t>
  </si>
  <si>
    <t>SOKHA</t>
  </si>
  <si>
    <t>Garment Line A5</t>
  </si>
  <si>
    <t>16 941334</t>
  </si>
  <si>
    <t>sMNg;</t>
  </si>
  <si>
    <t>PUmi 12 sgáat; 3 extþRBHsIhnu</t>
  </si>
  <si>
    <t>VRT298</t>
  </si>
  <si>
    <t>28910160398527វ</t>
  </si>
  <si>
    <t>និត</t>
  </si>
  <si>
    <t>ស្រីនាង</t>
  </si>
  <si>
    <t>NIT</t>
  </si>
  <si>
    <t>SREYNEANG</t>
  </si>
  <si>
    <t>Take leave one month April/16</t>
  </si>
  <si>
    <t>88 7659397</t>
  </si>
  <si>
    <t>PUmi 5 sgáat; 4 extþRBHsIhnu</t>
  </si>
  <si>
    <t>VRT311</t>
  </si>
  <si>
    <t>18310160384706ត</t>
  </si>
  <si>
    <t>លី</t>
  </si>
  <si>
    <t>ប៊ុនរិទ្ធ</t>
  </si>
  <si>
    <t>LY</t>
  </si>
  <si>
    <t>BONRETH</t>
  </si>
  <si>
    <t>Genset</t>
  </si>
  <si>
    <t>Generator</t>
  </si>
  <si>
    <t>ខេត្តកំពង់ធំ</t>
  </si>
  <si>
    <t>Take leave just back to work on May/1/2015</t>
  </si>
  <si>
    <t>16 263307</t>
  </si>
  <si>
    <t>pÞH</t>
  </si>
  <si>
    <t>PUmi 3 sgáat; 3extþRBHsIhnu</t>
  </si>
  <si>
    <t>VRT313</t>
  </si>
  <si>
    <t>27810160384523ទ</t>
  </si>
  <si>
    <t>ផាន់</t>
  </si>
  <si>
    <t>ផេន</t>
  </si>
  <si>
    <t>PHAN</t>
  </si>
  <si>
    <t>PHEN</t>
  </si>
  <si>
    <t>92 806058</t>
  </si>
  <si>
    <t>Cag m:UtU</t>
  </si>
  <si>
    <t>VRT344</t>
  </si>
  <si>
    <t>19010160397693ព</t>
  </si>
  <si>
    <t>ដេង</t>
  </si>
  <si>
    <t>តេង</t>
  </si>
  <si>
    <t>DANG</t>
  </si>
  <si>
    <t>TANG</t>
  </si>
  <si>
    <t>Packing  Apron</t>
  </si>
  <si>
    <t>93 95 86 12</t>
  </si>
  <si>
    <t>Pumi 1 sgáat;  1 extþRBHsIhnu</t>
  </si>
  <si>
    <t>VRT4</t>
  </si>
  <si>
    <t>29310160384703ណ</t>
  </si>
  <si>
    <t>គង់</t>
  </si>
  <si>
    <t>ស្រស់</t>
  </si>
  <si>
    <t>KONG</t>
  </si>
  <si>
    <t>SROS</t>
  </si>
  <si>
    <t>Packing  Garment</t>
  </si>
  <si>
    <t>eragcRk</t>
  </si>
  <si>
    <t>bnÞuk</t>
  </si>
  <si>
    <t>Pumi 2 sgáat;  2 extþRBHsIhnu</t>
  </si>
  <si>
    <t>VRT5</t>
  </si>
  <si>
    <t>29110160398134ត</t>
  </si>
  <si>
    <t>ស្រីនី</t>
  </si>
  <si>
    <t>SREYNY</t>
  </si>
  <si>
    <t>Pumi 4 sgáat;  4 extþRBHsIhnu</t>
  </si>
  <si>
    <t>VRT122</t>
  </si>
  <si>
    <t>28210160384689យ</t>
  </si>
  <si>
    <t>វ៉ែន</t>
  </si>
  <si>
    <t>ផាន</t>
  </si>
  <si>
    <t>VEN</t>
  </si>
  <si>
    <t>093 352 502</t>
  </si>
  <si>
    <t>kmµkr</t>
  </si>
  <si>
    <t>PUumi  3 sgáat; 1 x½NÐmitþPaB extþRBHsIhnu</t>
  </si>
  <si>
    <t>VRT130</t>
  </si>
  <si>
    <t>29303170680345ធ</t>
  </si>
  <si>
    <t>ណាវី</t>
  </si>
  <si>
    <t>KRY</t>
  </si>
  <si>
    <t>NAVY</t>
  </si>
  <si>
    <t>97 24 30 445</t>
  </si>
  <si>
    <t>PUumi  5 sgáat; 4 x½NÐmitþPaB  extþRBHsIhnu</t>
  </si>
  <si>
    <t>VRT191</t>
  </si>
  <si>
    <t>28010160397378ព</t>
  </si>
  <si>
    <t>ប៊ិញ</t>
  </si>
  <si>
    <t>លូត</t>
  </si>
  <si>
    <t>BICH</t>
  </si>
  <si>
    <t>LOT</t>
  </si>
  <si>
    <t>ksikr</t>
  </si>
  <si>
    <t>PUumi GU 2x½NÐmitþPaB  extþRBHsIhnu</t>
  </si>
  <si>
    <t>VRT220</t>
  </si>
  <si>
    <t>29210160397637ភ</t>
  </si>
  <si>
    <t>ទន</t>
  </si>
  <si>
    <t>PHEA</t>
  </si>
  <si>
    <t>THHON</t>
  </si>
  <si>
    <t>010 355 851</t>
  </si>
  <si>
    <t>PUumi 3 sgáat; 4x½NÐmitþPaB  extþRBHsIhnu</t>
  </si>
  <si>
    <t>VRT222</t>
  </si>
  <si>
    <t>28803170680337ភ</t>
  </si>
  <si>
    <t>ឈួន</t>
  </si>
  <si>
    <t>CHHOUN</t>
  </si>
  <si>
    <t>Apron A7</t>
  </si>
  <si>
    <t>PUumi 2 sgáat; 4x½NÐmitþPaB  extþRBHsIhnu</t>
  </si>
  <si>
    <t>VRT239</t>
  </si>
  <si>
    <t>29310160397777ស</t>
  </si>
  <si>
    <t>ធិនា</t>
  </si>
  <si>
    <t>SORM</t>
  </si>
  <si>
    <t>THINEA</t>
  </si>
  <si>
    <t>093 422 198</t>
  </si>
  <si>
    <t>PUumi 3 sgáat; 1x½NÐmitþPaB  extþRBHsIhnu</t>
  </si>
  <si>
    <t>VRT293</t>
  </si>
  <si>
    <t>28603170680308ន</t>
  </si>
  <si>
    <t>ខែក</t>
  </si>
  <si>
    <t>ក្អួក</t>
  </si>
  <si>
    <t xml:space="preserve">KHEK </t>
  </si>
  <si>
    <t>KA UOK</t>
  </si>
  <si>
    <t>3/10/2016-3/1/2017</t>
  </si>
  <si>
    <t>016 53 73 97</t>
  </si>
  <si>
    <t>PUumi 5 sgáat; 4x½NÐmitþPaB  extþRBHsIhnu</t>
  </si>
  <si>
    <t>VRT302</t>
  </si>
  <si>
    <t>28610160397679អ</t>
  </si>
  <si>
    <t>ងាវ</t>
  </si>
  <si>
    <t>ណាគ្រី</t>
  </si>
  <si>
    <t>NGEAV</t>
  </si>
  <si>
    <t>NAKRY</t>
  </si>
  <si>
    <t>93 93 73 44</t>
  </si>
  <si>
    <t>sNæaKa</t>
  </si>
  <si>
    <t>PUumi 2 sgáat; 2x½NÐmitþPaB  extþRBHsIhnu</t>
  </si>
  <si>
    <t>VRT331</t>
  </si>
  <si>
    <t>28710160384762ព</t>
  </si>
  <si>
    <t>ស៊ីឌឿន</t>
  </si>
  <si>
    <t>MOEUN</t>
  </si>
  <si>
    <t xml:space="preserve">SYDOEUN </t>
  </si>
  <si>
    <t>QC Apron</t>
  </si>
  <si>
    <t>97 62 81 414</t>
  </si>
  <si>
    <t>RKUbeRgon</t>
  </si>
  <si>
    <t xml:space="preserve"> PUumi 3 sgáat; 3x½NÐmitþPaB  extþRBHsIhnu</t>
  </si>
  <si>
    <t>VRT354</t>
  </si>
  <si>
    <t>29610160384817ភ</t>
  </si>
  <si>
    <t xml:space="preserve">ខេង </t>
  </si>
  <si>
    <t>មួយគៀង</t>
  </si>
  <si>
    <t>KHENG</t>
  </si>
  <si>
    <t>MOUY KEAN</t>
  </si>
  <si>
    <t xml:space="preserve"> PUumi 2 sgáat; 1x½NÐmitþPaB  extþRBHsIhnu</t>
  </si>
  <si>
    <t>VRT357</t>
  </si>
  <si>
    <t>27910160398768ខ</t>
  </si>
  <si>
    <t>សេង</t>
  </si>
  <si>
    <t>ប៊ុនថា</t>
  </si>
  <si>
    <t>SANG</t>
  </si>
  <si>
    <t>BUNTHA</t>
  </si>
  <si>
    <t>15 4444 57</t>
  </si>
  <si>
    <t xml:space="preserve"> PUumi 1 sgáat; 2x½NÐmitþPaB  extþRBHsIhnu</t>
  </si>
  <si>
    <t>VRT375</t>
  </si>
  <si>
    <t>28010160384562ឍ</t>
  </si>
  <si>
    <t>សារ៉េន</t>
  </si>
  <si>
    <t>EM</t>
  </si>
  <si>
    <t>SARAT</t>
  </si>
  <si>
    <t>16 55 78 18</t>
  </si>
  <si>
    <t xml:space="preserve"> Puumi 5 sgáat; 4x½NÐmitþPaB  extþRBHsIhnu</t>
  </si>
  <si>
    <t>VRT377</t>
  </si>
  <si>
    <t>29110160384642ណ</t>
  </si>
  <si>
    <t>ប៉ែត</t>
  </si>
  <si>
    <t>គឹមស្រស់</t>
  </si>
  <si>
    <t>PHET</t>
  </si>
  <si>
    <t>KIMSROS</t>
  </si>
  <si>
    <t>VRT382</t>
  </si>
  <si>
    <t>29703170680327ព</t>
  </si>
  <si>
    <t>ធីណាច</t>
  </si>
  <si>
    <t>THYNACH</t>
  </si>
  <si>
    <t xml:space="preserve"> Puumi 1x½NÐmitþPaB  extþRBHsIhnu</t>
  </si>
  <si>
    <t>VRT383</t>
  </si>
  <si>
    <t>28810160384427ផ</t>
  </si>
  <si>
    <t>ហេង</t>
  </si>
  <si>
    <t>ឡៃស៊ា</t>
  </si>
  <si>
    <t>HANG</t>
  </si>
  <si>
    <t>LEASEANG</t>
  </si>
  <si>
    <t>VRT396</t>
  </si>
  <si>
    <t>28110160384788ម</t>
  </si>
  <si>
    <t>ភោគ</t>
  </si>
  <si>
    <t>ចាន់រដ្ឋធានី</t>
  </si>
  <si>
    <t>PHOUK</t>
  </si>
  <si>
    <t>CHANROTHEANY</t>
  </si>
  <si>
    <t>097 7514 289</t>
  </si>
  <si>
    <t xml:space="preserve"> Puumi 3 sgáat; 2 x½NÐmitþPaB  extþRBHsIhnu</t>
  </si>
  <si>
    <t>VRT397</t>
  </si>
  <si>
    <t>28403170680383ប</t>
  </si>
  <si>
    <t>ទុយ</t>
  </si>
  <si>
    <t>ស្រីម៉ៅ</t>
  </si>
  <si>
    <t>TUY</t>
  </si>
  <si>
    <t>SREYMAO</t>
  </si>
  <si>
    <t>015 563 789</t>
  </si>
  <si>
    <t>គ្រូបង្រៀន</t>
  </si>
  <si>
    <t xml:space="preserve"> Puumi 5 sgáat; 4 x½NÐmitþPaB  extþRBHsIhnu</t>
  </si>
  <si>
    <t>VRT400</t>
  </si>
  <si>
    <t>28410160397675រ</t>
  </si>
  <si>
    <t>ចាន់ដា</t>
  </si>
  <si>
    <t>KIM</t>
  </si>
  <si>
    <t>CHANDA</t>
  </si>
  <si>
    <t xml:space="preserve"> Puumi 1 sgáat; 1 x½NÐmitþPaB  extþRBHsIhnu</t>
  </si>
  <si>
    <t>VRT13</t>
  </si>
  <si>
    <t>19410160385343ត</t>
  </si>
  <si>
    <t>ម៉េង</t>
  </si>
  <si>
    <t>រដ្ឋា</t>
  </si>
  <si>
    <t>ខេត្តកែប</t>
  </si>
  <si>
    <t>087 896798</t>
  </si>
  <si>
    <t>VRT14</t>
  </si>
  <si>
    <t>29010160384594ន</t>
  </si>
  <si>
    <t>តាវ</t>
  </si>
  <si>
    <t>TAV</t>
  </si>
  <si>
    <t>096 9614 908</t>
  </si>
  <si>
    <t xml:space="preserve"> Puumi 3 sgáat; 3 x½NÐmitþPaB  extþRBHsIhnu</t>
  </si>
  <si>
    <t>VRT50</t>
  </si>
  <si>
    <t>29610160397907ល</t>
  </si>
  <si>
    <t>លន</t>
  </si>
  <si>
    <t>ស្រីលីន</t>
  </si>
  <si>
    <t>LOAN</t>
  </si>
  <si>
    <t>SREYLIN</t>
  </si>
  <si>
    <t>093 390680</t>
  </si>
  <si>
    <t>VRT97</t>
  </si>
  <si>
    <t>28310160397720ថ</t>
  </si>
  <si>
    <t>ឈិន</t>
  </si>
  <si>
    <t>ដាវី</t>
  </si>
  <si>
    <t>CHIN</t>
  </si>
  <si>
    <t>DAVY</t>
  </si>
  <si>
    <t>ខេត្តស្វាយរៀង</t>
  </si>
  <si>
    <t>017 74 95 25</t>
  </si>
  <si>
    <t>eron</t>
  </si>
  <si>
    <t>VRT194</t>
  </si>
  <si>
    <t>28410160398198ល</t>
  </si>
  <si>
    <t>សឿន</t>
  </si>
  <si>
    <t>សុខនី</t>
  </si>
  <si>
    <t>SOEUN</t>
  </si>
  <si>
    <t>SOKNY</t>
  </si>
  <si>
    <t>87 218012</t>
  </si>
  <si>
    <t xml:space="preserve">Yes  </t>
  </si>
  <si>
    <t xml:space="preserve"> Puumi 2 sgáat; 2 x½NÐmitþPaB  extþRBHsIhnu</t>
  </si>
  <si>
    <t>VRT207</t>
  </si>
  <si>
    <t>28210160397455ប</t>
  </si>
  <si>
    <t>សើន</t>
  </si>
  <si>
    <t>នាង</t>
  </si>
  <si>
    <t>SEUN</t>
  </si>
  <si>
    <t>096 25 388 79</t>
  </si>
  <si>
    <t>VRT294</t>
  </si>
  <si>
    <t>28610160384818ភ</t>
  </si>
  <si>
    <t>ទឹម</t>
  </si>
  <si>
    <t>ស្រីរ៉ា</t>
  </si>
  <si>
    <t>TEUM</t>
  </si>
  <si>
    <t>SREY RA</t>
  </si>
  <si>
    <t>VRT337</t>
  </si>
  <si>
    <t>28010160384855ធ</t>
  </si>
  <si>
    <t>ខេន</t>
  </si>
  <si>
    <t>KHEN</t>
  </si>
  <si>
    <t>16 63 68 18</t>
  </si>
  <si>
    <t xml:space="preserve"> Puumi 5sgáat; 4x½NÐmitþPaB  extþRBHsIhnu</t>
  </si>
  <si>
    <t>VRT117</t>
  </si>
  <si>
    <t>27703170680417ប</t>
  </si>
  <si>
    <t>អ៊ុយ</t>
  </si>
  <si>
    <t>PHUK</t>
  </si>
  <si>
    <t>UY</t>
  </si>
  <si>
    <t>017 72 16 77</t>
  </si>
  <si>
    <t>eFIVEhþs</t>
  </si>
  <si>
    <t>Pumi 1 sgáat;elx 20 extþRBHsIhnu</t>
  </si>
  <si>
    <t>VRT120</t>
  </si>
  <si>
    <t>28310160398482ព</t>
  </si>
  <si>
    <t>ឆង</t>
  </si>
  <si>
    <t>តយ</t>
  </si>
  <si>
    <t>TAY</t>
  </si>
  <si>
    <t>Pum i03 sgáat;elx 01 extþRBHsIhnu</t>
  </si>
  <si>
    <t>VRT123</t>
  </si>
  <si>
    <t>28110160397597រ</t>
  </si>
  <si>
    <t>ម៉ាលី</t>
  </si>
  <si>
    <t>MALY</t>
  </si>
  <si>
    <t>097 800 227</t>
  </si>
  <si>
    <t>Pum i01 sgáat;elx 01 extþRBHsIhnu</t>
  </si>
  <si>
    <t>VRT129</t>
  </si>
  <si>
    <t>28410160384701ឌ</t>
  </si>
  <si>
    <t>បន</t>
  </si>
  <si>
    <t>BORN</t>
  </si>
  <si>
    <t>SREY MAO</t>
  </si>
  <si>
    <t>016 960 828</t>
  </si>
  <si>
    <t>Rkum 11 Pumi 03 extþRBHsIhnu</t>
  </si>
  <si>
    <t>VRT139</t>
  </si>
  <si>
    <t>29003170680355ថ</t>
  </si>
  <si>
    <t>ស្រីធី</t>
  </si>
  <si>
    <t>SREYTHY</t>
  </si>
  <si>
    <t>96 22 69 373</t>
  </si>
  <si>
    <t>VRT148</t>
  </si>
  <si>
    <t>28310160397986ហ</t>
  </si>
  <si>
    <t>ម៉ី</t>
  </si>
  <si>
    <t>លក្ខិណា</t>
  </si>
  <si>
    <t>MEY</t>
  </si>
  <si>
    <t>LEAKHENA</t>
  </si>
  <si>
    <t>extþRBHsIhnu</t>
  </si>
  <si>
    <t>VRT172</t>
  </si>
  <si>
    <t>28510160398400ណ</t>
  </si>
  <si>
    <t>ថុន</t>
  </si>
  <si>
    <t>ថាវី</t>
  </si>
  <si>
    <t>THON</t>
  </si>
  <si>
    <t>THAVY</t>
  </si>
  <si>
    <t>097 77 30 019</t>
  </si>
  <si>
    <t xml:space="preserve"> eset sgáat; 2 extþRBHsIhnu</t>
  </si>
  <si>
    <t>VRT173</t>
  </si>
  <si>
    <t>28810160397518រ</t>
  </si>
  <si>
    <t>កន</t>
  </si>
  <si>
    <t>កើត</t>
  </si>
  <si>
    <t>KORN</t>
  </si>
  <si>
    <t>KOET</t>
  </si>
  <si>
    <t>088 78 93 832</t>
  </si>
  <si>
    <t>Pumi 5 sgáat; 4 extþRBHsIhnu</t>
  </si>
  <si>
    <t>VRT285</t>
  </si>
  <si>
    <t>29510160397931ភ</t>
  </si>
  <si>
    <t>គៀន</t>
  </si>
  <si>
    <t>យូរី</t>
  </si>
  <si>
    <t>KIEN</t>
  </si>
  <si>
    <t>YORI</t>
  </si>
  <si>
    <t>016-617 099</t>
  </si>
  <si>
    <t>Pumi 02 sgáat; 02 extþRBHsIhnu</t>
  </si>
  <si>
    <t>VRT321</t>
  </si>
  <si>
    <t>29002160057958ផ</t>
  </si>
  <si>
    <t>យុន</t>
  </si>
  <si>
    <t>ម៉េងជូ</t>
  </si>
  <si>
    <t>YUN</t>
  </si>
  <si>
    <t>MENG CHOU</t>
  </si>
  <si>
    <t>CagEdk</t>
  </si>
  <si>
    <t>GUmYy extþRBHsIhnu</t>
  </si>
  <si>
    <t>VRT322</t>
  </si>
  <si>
    <t>29210160384603ឌ</t>
  </si>
  <si>
    <t>សំ</t>
  </si>
  <si>
    <t>ចិន្តា</t>
  </si>
  <si>
    <t>SOM</t>
  </si>
  <si>
    <t>93 4520 42</t>
  </si>
  <si>
    <t>Pumi 01 sgáat; 04 extþRBHsIhnu</t>
  </si>
  <si>
    <t>VRT327</t>
  </si>
  <si>
    <t>29303170680393ផ</t>
  </si>
  <si>
    <t>ម៉េ</t>
  </si>
  <si>
    <t>សុគា</t>
  </si>
  <si>
    <t>MA</t>
  </si>
  <si>
    <t>SOKEA</t>
  </si>
  <si>
    <t>រាជធានីភ្នំពេញ</t>
  </si>
  <si>
    <t>88 51 83 142</t>
  </si>
  <si>
    <t xml:space="preserve"> XøaMgelI extþRBHsIhnu</t>
  </si>
  <si>
    <t>VRT342</t>
  </si>
  <si>
    <t>28610160397659ហ</t>
  </si>
  <si>
    <t>ជៃ</t>
  </si>
  <si>
    <t>នីម</t>
  </si>
  <si>
    <t>CHAI</t>
  </si>
  <si>
    <t>NIM</t>
  </si>
  <si>
    <t>Pumi 46 sgáat; 04 XøaMgelI extþRBHsIhnu</t>
  </si>
  <si>
    <t>VRT345</t>
  </si>
  <si>
    <t>28310160398443ន</t>
  </si>
  <si>
    <t>សុខន</t>
  </si>
  <si>
    <t>SOKHAN</t>
  </si>
  <si>
    <t>16 529 599</t>
  </si>
  <si>
    <t>Pumi 05 sgáat; 04 XøaMgelI extþRBHsIhnu</t>
  </si>
  <si>
    <t>VRT403</t>
  </si>
  <si>
    <t>28610160384587រ</t>
  </si>
  <si>
    <t>រុន</t>
  </si>
  <si>
    <t>រ៉េត</t>
  </si>
  <si>
    <t>RUN</t>
  </si>
  <si>
    <t>RETH</t>
  </si>
  <si>
    <t>96 752 6557</t>
  </si>
  <si>
    <t>Pumi 01 sgáat; 04  extþRBHsIhnu</t>
  </si>
  <si>
    <t>VRT404</t>
  </si>
  <si>
    <t>28010160398582ប</t>
  </si>
  <si>
    <t>រ៉ាត</t>
  </si>
  <si>
    <t>RAT</t>
  </si>
  <si>
    <t>10 573 042</t>
  </si>
  <si>
    <t>GU 2 extþRBHsIhnu</t>
  </si>
  <si>
    <t>VRT406</t>
  </si>
  <si>
    <t>29410160398174ព</t>
  </si>
  <si>
    <t>យុង</t>
  </si>
  <si>
    <t>ចិន</t>
  </si>
  <si>
    <t>YONG</t>
  </si>
  <si>
    <t xml:space="preserve">CHIN </t>
  </si>
  <si>
    <t>68 595 562</t>
  </si>
  <si>
    <t>Rkum 27 sgáat; 05  extþRBHsIhnu</t>
  </si>
  <si>
    <t>VRT407</t>
  </si>
  <si>
    <t>28010160384625ឍ</t>
  </si>
  <si>
    <t>ទូច</t>
  </si>
  <si>
    <t>TOUCH</t>
  </si>
  <si>
    <t xml:space="preserve">NEANG </t>
  </si>
  <si>
    <t>95 661 488</t>
  </si>
  <si>
    <t>CagePøIg</t>
  </si>
  <si>
    <t>Rkum 34 sgáat; 04  extþRBHsIhnu</t>
  </si>
  <si>
    <t>VRT410</t>
  </si>
  <si>
    <t>27410160397882យ</t>
  </si>
  <si>
    <t>លាក់</t>
  </si>
  <si>
    <t>ឌីន</t>
  </si>
  <si>
    <t>LEAK</t>
  </si>
  <si>
    <t>DIN</t>
  </si>
  <si>
    <t>PUmi  5 sgáat; 04 extþRBHsIhnu</t>
  </si>
  <si>
    <t>VRT412</t>
  </si>
  <si>
    <t>27510160397381ប</t>
  </si>
  <si>
    <t>សូ</t>
  </si>
  <si>
    <t>ភាព</t>
  </si>
  <si>
    <t>SO</t>
  </si>
  <si>
    <t>PHEAP</t>
  </si>
  <si>
    <t>071-97 85 878</t>
  </si>
  <si>
    <t>PUmi  3 sgáat; 02  extþRBHsIhnu</t>
  </si>
  <si>
    <t>VRT419</t>
  </si>
  <si>
    <t>28110160397753ប</t>
  </si>
  <si>
    <t>ង៉ែត</t>
  </si>
  <si>
    <t>សូភា</t>
  </si>
  <si>
    <t>NGET</t>
  </si>
  <si>
    <t>SOPHEA</t>
  </si>
  <si>
    <t>12/12/2016-12/3/2017</t>
  </si>
  <si>
    <t>PUmi  02 sgáat; 01  extþRBHsIhnu</t>
  </si>
  <si>
    <t>VRT422</t>
  </si>
  <si>
    <t>29410160384447ប</t>
  </si>
  <si>
    <t>រ៉ាន់</t>
  </si>
  <si>
    <t>RAN</t>
  </si>
  <si>
    <t>PUmi  05 sgáat; 04  extþRBHsIhnu</t>
  </si>
  <si>
    <t>VRT432</t>
  </si>
  <si>
    <t>28610160385004ឋ</t>
  </si>
  <si>
    <t>ចេក</t>
  </si>
  <si>
    <t>NUON</t>
  </si>
  <si>
    <t>CHEK</t>
  </si>
  <si>
    <t>eFVIkarEp</t>
  </si>
  <si>
    <t>PUmi  05 sgáat; 04 extþRBHsIhnu</t>
  </si>
  <si>
    <t>VRT436</t>
  </si>
  <si>
    <t>29210160397776ល</t>
  </si>
  <si>
    <t>អ៊ុត</t>
  </si>
  <si>
    <t>រតនា</t>
  </si>
  <si>
    <t>UT</t>
  </si>
  <si>
    <t>ROTHANA</t>
  </si>
  <si>
    <t>97 2608110</t>
  </si>
  <si>
    <t>rt;tuktuk</t>
  </si>
  <si>
    <t>VRT440</t>
  </si>
  <si>
    <t>28710160397771រ</t>
  </si>
  <si>
    <t>ភឹម</t>
  </si>
  <si>
    <t>ឡាន</t>
  </si>
  <si>
    <t>PHOEM</t>
  </si>
  <si>
    <t>LAN</t>
  </si>
  <si>
    <t>071 94 90 862</t>
  </si>
  <si>
    <t>PUmi  01 sgáat; 01 extþRBHsIhnu</t>
  </si>
  <si>
    <t>VRT457</t>
  </si>
  <si>
    <t>28010160384601ជ</t>
  </si>
  <si>
    <t>វង់</t>
  </si>
  <si>
    <t>សុខចាន់</t>
  </si>
  <si>
    <t>VONG</t>
  </si>
  <si>
    <t>SOKCHAN</t>
  </si>
  <si>
    <t>PUmi  03  sgáat; 01 extþRBHsIhnu</t>
  </si>
  <si>
    <t>VRT458</t>
  </si>
  <si>
    <t>28710160397526ម</t>
  </si>
  <si>
    <t>សិន</t>
  </si>
  <si>
    <t>ស៊ីថាត</t>
  </si>
  <si>
    <t>SIN</t>
  </si>
  <si>
    <t>SITHAT</t>
  </si>
  <si>
    <t>97 2265386</t>
  </si>
  <si>
    <t>PUmi  02  sgáat; 02 extþRBHsIhnu</t>
  </si>
  <si>
    <t>VRT459</t>
  </si>
  <si>
    <t>28310160397949ស</t>
  </si>
  <si>
    <t>អៀត</t>
  </si>
  <si>
    <t>ឈុនហេង</t>
  </si>
  <si>
    <t>IET</t>
  </si>
  <si>
    <t>CHHUNHENG</t>
  </si>
  <si>
    <t>rt;m:UtUDub</t>
  </si>
  <si>
    <t>PUmi  01  sgáat; 02 extþRBHsIhnu</t>
  </si>
  <si>
    <t>VRT461</t>
  </si>
  <si>
    <t>28510160384874ម</t>
  </si>
  <si>
    <t>សុខ</t>
  </si>
  <si>
    <t>SOK</t>
  </si>
  <si>
    <t>PUmi  03  sgáat; 02 extþRBHsIhnu</t>
  </si>
  <si>
    <t>VRT462</t>
  </si>
  <si>
    <t>28610160397205ទ</t>
  </si>
  <si>
    <t>ខូវ</t>
  </si>
  <si>
    <t>សុខខេ</t>
  </si>
  <si>
    <t>KHOV</t>
  </si>
  <si>
    <t>SOKKHE</t>
  </si>
  <si>
    <t>97 57 64 188</t>
  </si>
  <si>
    <t>eFVIERs</t>
  </si>
  <si>
    <t>VRT463</t>
  </si>
  <si>
    <t>28110160397605ថ</t>
  </si>
  <si>
    <t>ពៅ</t>
  </si>
  <si>
    <t>POV</t>
  </si>
  <si>
    <t>97 67 33 241</t>
  </si>
  <si>
    <t>PUmi  05  sgáat; 04 extþRBHsIhnu</t>
  </si>
  <si>
    <t>VRT469</t>
  </si>
  <si>
    <t>19610160385310ឋ</t>
  </si>
  <si>
    <t>ណុល</t>
  </si>
  <si>
    <t>ម៉េងហួយ</t>
  </si>
  <si>
    <t>PUmi  03  sgáat; 03 extþRBHsIhnu</t>
  </si>
  <si>
    <t>VRT473</t>
  </si>
  <si>
    <t>27910160397339ល</t>
  </si>
  <si>
    <t>សុខ​</t>
  </si>
  <si>
    <t>សាវិន</t>
  </si>
  <si>
    <t>SAVIN</t>
  </si>
  <si>
    <t>XøaMgelI extþRBHsIhnu</t>
  </si>
  <si>
    <t>VRT475</t>
  </si>
  <si>
    <t>29010160397754ផ</t>
  </si>
  <si>
    <t>យ៉ែន​</t>
  </si>
  <si>
    <t>ហ៊ុយ</t>
  </si>
  <si>
    <t>YEN</t>
  </si>
  <si>
    <t>HUY</t>
  </si>
  <si>
    <t>96 74 71 802</t>
  </si>
  <si>
    <t>VRT482</t>
  </si>
  <si>
    <t>28110160397530ឍ</t>
  </si>
  <si>
    <t>សារឹម</t>
  </si>
  <si>
    <t>SAREM</t>
  </si>
  <si>
    <t>Pumi 05 sgáat; 04 extþRBHsIhnu</t>
  </si>
  <si>
    <t>VRT483</t>
  </si>
  <si>
    <t>28210160384641ឍ</t>
  </si>
  <si>
    <t>សេន</t>
  </si>
  <si>
    <t>ធាវី</t>
  </si>
  <si>
    <t>SEN</t>
  </si>
  <si>
    <t>THEAVY</t>
  </si>
  <si>
    <t>88 633 611</t>
  </si>
  <si>
    <t xml:space="preserve"> extþRBHsIhnu</t>
  </si>
  <si>
    <t>VRT488</t>
  </si>
  <si>
    <t>27310160398336ន</t>
  </si>
  <si>
    <t>អា</t>
  </si>
  <si>
    <t>លាប</t>
  </si>
  <si>
    <t>KEAP</t>
  </si>
  <si>
    <t>77 73 90 79</t>
  </si>
  <si>
    <t>kMBugEpr</t>
  </si>
  <si>
    <t>VRT494</t>
  </si>
  <si>
    <t>28810160384802ធ</t>
  </si>
  <si>
    <t>សៀក</t>
  </si>
  <si>
    <t>សុខលី</t>
  </si>
  <si>
    <t>SEAK</t>
  </si>
  <si>
    <t>SOK LY</t>
  </si>
  <si>
    <t>015 326840</t>
  </si>
  <si>
    <t>eFVIsMNg;</t>
  </si>
  <si>
    <t>VRT505</t>
  </si>
  <si>
    <t>28710160397639ស</t>
  </si>
  <si>
    <t>តឿ</t>
  </si>
  <si>
    <t>វណ្ណៈ</t>
  </si>
  <si>
    <t>TOEUN</t>
  </si>
  <si>
    <t>VANNAK</t>
  </si>
  <si>
    <t>1/1/2016-1/4/2016</t>
  </si>
  <si>
    <t xml:space="preserve">96 80 48 808 </t>
  </si>
  <si>
    <t>Pumi 1 sgáat; 02 extþRBHsIhnu</t>
  </si>
  <si>
    <t>VRT532</t>
  </si>
  <si>
    <t>28710160398114ធ</t>
  </si>
  <si>
    <t>មុំ</t>
  </si>
  <si>
    <t>សាភាន់</t>
  </si>
  <si>
    <t>MUM</t>
  </si>
  <si>
    <t>SAPHORN</t>
  </si>
  <si>
    <t>1/2/2017-1/5/2017</t>
  </si>
  <si>
    <t>88 27 15 175</t>
  </si>
  <si>
    <t>Pumi 5 sgáat; 04 extþRBHsIhnu</t>
  </si>
  <si>
    <t>VRT533</t>
  </si>
  <si>
    <t>29310160397688ហ</t>
  </si>
  <si>
    <t>សុគន្ធា</t>
  </si>
  <si>
    <t>TEM</t>
  </si>
  <si>
    <t>SOKUNTHEA</t>
  </si>
  <si>
    <t>10 234 661</t>
  </si>
  <si>
    <t>Pumi 12 sgáat; 03 extþRBHsIhnu</t>
  </si>
  <si>
    <t>VRT539</t>
  </si>
  <si>
    <t>28010160384861ត</t>
  </si>
  <si>
    <t>ប៉ុន</t>
  </si>
  <si>
    <t>សូណា</t>
  </si>
  <si>
    <t>SONA</t>
  </si>
  <si>
    <t>71 80 11 753</t>
  </si>
  <si>
    <t>Pumi 3 sgáat; 03 extþRBHsIhnu</t>
  </si>
  <si>
    <t>VRT21</t>
  </si>
  <si>
    <t>28210160384735ទ</t>
  </si>
  <si>
    <t>សុវណ្ណារី</t>
  </si>
  <si>
    <t>NEAK</t>
  </si>
  <si>
    <t>SOVANNARY</t>
  </si>
  <si>
    <t>70 40 97 75</t>
  </si>
  <si>
    <t>VRT103</t>
  </si>
  <si>
    <t>28010160398531ណ</t>
  </si>
  <si>
    <t>ជា</t>
  </si>
  <si>
    <t>សារ៉ុន</t>
  </si>
  <si>
    <t>CHEA</t>
  </si>
  <si>
    <t>SARON</t>
  </si>
  <si>
    <t>69 79 34 22</t>
  </si>
  <si>
    <t>Pumi 02 sgáat; 01 extþRBHsIhnu</t>
  </si>
  <si>
    <t>VRT115</t>
  </si>
  <si>
    <t>28510160384579រ</t>
  </si>
  <si>
    <t>ម៉េន</t>
  </si>
  <si>
    <t>ចាន់មេសា</t>
  </si>
  <si>
    <t>MAN</t>
  </si>
  <si>
    <t>CHANMASA</t>
  </si>
  <si>
    <t>Pumi 03 sgáat; 03 extþRBHsIhnu</t>
  </si>
  <si>
    <t>VRT140</t>
  </si>
  <si>
    <t>28810160398068ល</t>
  </si>
  <si>
    <t>ញ៉ែម</t>
  </si>
  <si>
    <t>សុវណ្ណឧស្សាហ៍</t>
  </si>
  <si>
    <t>NHEM</t>
  </si>
  <si>
    <t>SOVANUKSA</t>
  </si>
  <si>
    <t>Garment Line A8</t>
  </si>
  <si>
    <t>96 91 22 213</t>
  </si>
  <si>
    <t>Pumi 03 sgáat; 02 extþRBHsIhnu</t>
  </si>
  <si>
    <t>VRT187</t>
  </si>
  <si>
    <t>28810160398136ភ</t>
  </si>
  <si>
    <t>អ៊ុន</t>
  </si>
  <si>
    <t>តី</t>
  </si>
  <si>
    <t>UN</t>
  </si>
  <si>
    <t>TEY</t>
  </si>
  <si>
    <t>96 59 29 145</t>
  </si>
  <si>
    <t>ចុះទូក</t>
  </si>
  <si>
    <t>Pumi kascar sgáat; 01 extþRBHsIhnu</t>
  </si>
  <si>
    <t>VRT202</t>
  </si>
  <si>
    <t>28710160384586រ</t>
  </si>
  <si>
    <t>ឈីវ</t>
  </si>
  <si>
    <t>CHAOV</t>
  </si>
  <si>
    <t>POLY</t>
  </si>
  <si>
    <t>70 80 63 26</t>
  </si>
  <si>
    <t>VRT335</t>
  </si>
  <si>
    <t>27610160397770ភ</t>
  </si>
  <si>
    <t>សយ</t>
  </si>
  <si>
    <t>ស្រីឌី</t>
  </si>
  <si>
    <t>SOY</t>
  </si>
  <si>
    <t>SREYDY</t>
  </si>
  <si>
    <t>ខេត្តពោធិសាត់</t>
  </si>
  <si>
    <t>លក់ដូរ</t>
  </si>
  <si>
    <t>Pumi​06 sgáat; 01extþRBHsIhnu</t>
  </si>
  <si>
    <t>VRT347</t>
  </si>
  <si>
    <t>28610160398080ន</t>
  </si>
  <si>
    <t>ហ៊ន</t>
  </si>
  <si>
    <t>ផារ៉េម</t>
  </si>
  <si>
    <t>HORN</t>
  </si>
  <si>
    <t>PHAREM</t>
  </si>
  <si>
    <t>ខេត្តកំពង់ឆ្នាំង</t>
  </si>
  <si>
    <t>81 93 78 66</t>
  </si>
  <si>
    <t>Pumi​​3 sgáat; 01extþRBHsIhnu</t>
  </si>
  <si>
    <t>VRT351</t>
  </si>
  <si>
    <t>28110160384826ទ</t>
  </si>
  <si>
    <t>យ៉ែម</t>
  </si>
  <si>
    <t>សុខុម</t>
  </si>
  <si>
    <t>YEM</t>
  </si>
  <si>
    <t>SOKHOM</t>
  </si>
  <si>
    <t>81 320063</t>
  </si>
  <si>
    <t>Pumi​05 sgáat; 04extþRBHsIhnu</t>
  </si>
  <si>
    <t>VRT387</t>
  </si>
  <si>
    <t>28210160398253ទ</t>
  </si>
  <si>
    <t>អោម​</t>
  </si>
  <si>
    <t>ស៊ីដា</t>
  </si>
  <si>
    <t>ORM</t>
  </si>
  <si>
    <t>SIDA</t>
  </si>
  <si>
    <t>70​​​​ 754362</t>
  </si>
  <si>
    <t>Pumi 3 sgáat; 03extþRBHsIhnu</t>
  </si>
  <si>
    <t>VRT389</t>
  </si>
  <si>
    <t>28310160384666ផ</t>
  </si>
  <si>
    <t>សុត</t>
  </si>
  <si>
    <t>ស៊ាងហាក់</t>
  </si>
  <si>
    <t>SOTH</t>
  </si>
  <si>
    <t>SEANGHAK</t>
  </si>
  <si>
    <t>096 4117 147</t>
  </si>
  <si>
    <t>VRT426</t>
  </si>
  <si>
    <t>28110160398309ធ</t>
  </si>
  <si>
    <t>អូម</t>
  </si>
  <si>
    <t>ចាន់ធូ</t>
  </si>
  <si>
    <t>AUM</t>
  </si>
  <si>
    <t>CHANTHOU</t>
  </si>
  <si>
    <t>096 64 95 945</t>
  </si>
  <si>
    <t>Pumi 5 sgáat; 04extþRBHsIhnu</t>
  </si>
  <si>
    <t>VRT438</t>
  </si>
  <si>
    <t>28910160397674ហ</t>
  </si>
  <si>
    <t>ភី</t>
  </si>
  <si>
    <t>សាវី</t>
  </si>
  <si>
    <t>PHY</t>
  </si>
  <si>
    <t>SAVY</t>
  </si>
  <si>
    <t>016 80 88 84</t>
  </si>
  <si>
    <t>ភូមិ 01 សង្កាត់ 04  ក្រុងព្រះសីហនុ ខេត្តព្រះសីហនុ</t>
  </si>
  <si>
    <t>VRT450</t>
  </si>
  <si>
    <t>28110160398211ដ</t>
  </si>
  <si>
    <t>វ៉ាន់</t>
  </si>
  <si>
    <t>សុធា</t>
  </si>
  <si>
    <t>VAN</t>
  </si>
  <si>
    <t>SOTHEA</t>
  </si>
  <si>
    <t>88​ 79 29 930</t>
  </si>
  <si>
    <t>Pumi 1 sgáat; 02extþRBHsIhnu</t>
  </si>
  <si>
    <t>VRT456</t>
  </si>
  <si>
    <t>28310160398473ព</t>
  </si>
  <si>
    <t>ឡាច</t>
  </si>
  <si>
    <t>ឈុន</t>
  </si>
  <si>
    <t>LACH</t>
  </si>
  <si>
    <t>CHHUN</t>
  </si>
  <si>
    <t>កាត់ដេរ</t>
  </si>
  <si>
    <t>Pumiesetr sgáat; 02extþRBHsIhnu</t>
  </si>
  <si>
    <t>VRT511</t>
  </si>
  <si>
    <t>27510160398284ភ</t>
  </si>
  <si>
    <t>អ៊ុក</t>
  </si>
  <si>
    <t>ចាន់ធឿន</t>
  </si>
  <si>
    <t>UK</t>
  </si>
  <si>
    <t>CHANTHOEUN</t>
  </si>
  <si>
    <t>081 68 71 62</t>
  </si>
  <si>
    <t>មន្រ្តីរាជាការ</t>
  </si>
  <si>
    <t>ភូមិ 03 សង្កាត់ 03  ក្រុងព្រះសីហនុ ខេត្តព្រះសីហនុ</t>
  </si>
  <si>
    <t>VRT527</t>
  </si>
  <si>
    <t>28310160397900ថ</t>
  </si>
  <si>
    <t>ណាត</t>
  </si>
  <si>
    <t>ROS</t>
  </si>
  <si>
    <t>NATH</t>
  </si>
  <si>
    <t>016 32 52 30</t>
  </si>
  <si>
    <t>ជាងសំណង់</t>
  </si>
  <si>
    <t>ភូមិ 03 សង្កាត់ 01  ក្រុងព្រះសីហនុ ខេត្តព្រះសីហនុ</t>
  </si>
  <si>
    <t>VRT529</t>
  </si>
  <si>
    <t>28410160397325ធ</t>
  </si>
  <si>
    <t>ឆាយ</t>
  </si>
  <si>
    <t>ឆៃលាង</t>
  </si>
  <si>
    <t>CHHAY</t>
  </si>
  <si>
    <t>CHHAILEANG</t>
  </si>
  <si>
    <t>ភូមិ 05 សង្កាត់ 04  ក្រុងព្រះសីហនុ ខេត្តព្រះសីហនុ</t>
  </si>
  <si>
    <t>VRT530</t>
  </si>
  <si>
    <t>29110160384907ធ</t>
  </si>
  <si>
    <t>កៃ</t>
  </si>
  <si>
    <t>គឹមលី</t>
  </si>
  <si>
    <t>KAI</t>
  </si>
  <si>
    <t>KIMLY</t>
  </si>
  <si>
    <t>ខេត្តកោះកុង</t>
  </si>
  <si>
    <t>015 899 677</t>
  </si>
  <si>
    <t>ចិញ្ចឹមសត្វ</t>
  </si>
  <si>
    <t>ភូមិ 04 សង្កាត់ 04 ក្រុងព្រះសីហនុ ខេត្តព្រះសីហនុ</t>
  </si>
  <si>
    <t>VRT544</t>
  </si>
  <si>
    <t>29410160397944រ</t>
  </si>
  <si>
    <t>ឃួន</t>
  </si>
  <si>
    <t>សុភាស់</t>
  </si>
  <si>
    <t>KHUON</t>
  </si>
  <si>
    <t>SOPHOIS</t>
  </si>
  <si>
    <t>096 568 4325</t>
  </si>
  <si>
    <t xml:space="preserve"> ភូមិ 03 សង្កាត់ 05 ក្រុងព្រះសីហនុ ខេត្តព្រះសីហនុ</t>
  </si>
  <si>
    <t>VRT547</t>
  </si>
  <si>
    <t>28510160397784វ</t>
  </si>
  <si>
    <t>NOCH</t>
  </si>
  <si>
    <t>VRT553</t>
  </si>
  <si>
    <t>28910160397584ហ</t>
  </si>
  <si>
    <t>ហាក់</t>
  </si>
  <si>
    <t>សាលឹម</t>
  </si>
  <si>
    <t>HAK</t>
  </si>
  <si>
    <t>SALIM</t>
  </si>
  <si>
    <t>ក្រុម 68 ភូមិ01 សង្កាត់ 4 ក្រុងព្រះសីហនុ ខេត្តព្រះសីហនុ</t>
  </si>
  <si>
    <t>VRT555</t>
  </si>
  <si>
    <t>29210160397521ត</t>
  </si>
  <si>
    <t>ផន</t>
  </si>
  <si>
    <t>សារុំ</t>
  </si>
  <si>
    <t>SAROM</t>
  </si>
  <si>
    <t>096 45 78 898</t>
  </si>
  <si>
    <t>ភូមិ 05 សង្កាត់ 04 ក្រុងព្រះសីហនុ ខេត្តព្រះសីហនុ</t>
  </si>
  <si>
    <t>VRT560</t>
  </si>
  <si>
    <t>29410160397146ប</t>
  </si>
  <si>
    <t>ហៀន</t>
  </si>
  <si>
    <t>ពៅល័ក្ខណ</t>
  </si>
  <si>
    <t>HIEN</t>
  </si>
  <si>
    <t>POVLEAK</t>
  </si>
  <si>
    <t>096 47 77 121</t>
  </si>
  <si>
    <t>ក្រុម 20 ភូមិ 03 សង្កាត់ 01  ក្រុងព្រះសីហនុ ខេត្តព្រះសីហនុ</t>
  </si>
  <si>
    <t>VRT574</t>
  </si>
  <si>
    <t>28210160397790ព</t>
  </si>
  <si>
    <t>ងីម</t>
  </si>
  <si>
    <t>ស្រ៊ីម</t>
  </si>
  <si>
    <t>NGIM</t>
  </si>
  <si>
    <t>SRIM</t>
  </si>
  <si>
    <t>097 6667829</t>
  </si>
  <si>
    <t>ភូមិ 02 សង្កាត់ 03  ក្រុងព្រះសីហនុ ខេត្តព្រះសីហនុ</t>
  </si>
  <si>
    <t>VRT575</t>
  </si>
  <si>
    <t>28210160385274ថ</t>
  </si>
  <si>
    <t>នី</t>
  </si>
  <si>
    <t>គន្ធា</t>
  </si>
  <si>
    <t>NY</t>
  </si>
  <si>
    <t>KUNTHEA</t>
  </si>
  <si>
    <t>087 41 8618</t>
  </si>
  <si>
    <t>រត់ឡាន</t>
  </si>
  <si>
    <t>ភូមិ អូរមួយ សង្កាត់ 04  ក្រុងព្រះសីហនុ ខេត្តព្រះសីហនុ</t>
  </si>
  <si>
    <t>VRT585</t>
  </si>
  <si>
    <t>28310160397800ត</t>
  </si>
  <si>
    <t>ហែម</t>
  </si>
  <si>
    <t>ចាន់បូផា</t>
  </si>
  <si>
    <t>HEM</t>
  </si>
  <si>
    <t>CHAN BOPHA</t>
  </si>
  <si>
    <t>ធ្វើស្រែ</t>
  </si>
  <si>
    <t>VRT595</t>
  </si>
  <si>
    <t>28410160385058ធ</t>
  </si>
  <si>
    <t>នុន</t>
  </si>
  <si>
    <t xml:space="preserve">NON </t>
  </si>
  <si>
    <t xml:space="preserve"> សង្កាត់ 04  ក្រុងព្រះសីហនុ ខេត្តព្រះសីហនុ</t>
  </si>
  <si>
    <t>VRT599</t>
  </si>
  <si>
    <t>29110160384668ព</t>
  </si>
  <si>
    <t>96 7267500</t>
  </si>
  <si>
    <t>VRT600</t>
  </si>
  <si>
    <t>27610160397939ហ</t>
  </si>
  <si>
    <t>ប្រាក់</t>
  </si>
  <si>
    <t>ភាន</t>
  </si>
  <si>
    <t>PRAK</t>
  </si>
  <si>
    <t>PHEAN</t>
  </si>
  <si>
    <t>Apron A3</t>
  </si>
  <si>
    <t>អត់</t>
  </si>
  <si>
    <t>VRT121</t>
  </si>
  <si>
    <t>18910160385390ផ</t>
  </si>
  <si>
    <t>ភូ</t>
  </si>
  <si>
    <t>ពុទ្រា</t>
  </si>
  <si>
    <t>PHOU</t>
  </si>
  <si>
    <t>PUTREA</t>
  </si>
  <si>
    <t>016 519 221</t>
  </si>
  <si>
    <t>ភូមិ 01 សង្កាត់ 03  ក្រុងព្រះសីហនុ ខេត្តព្រះសីហនុ</t>
  </si>
  <si>
    <t>VRT263</t>
  </si>
  <si>
    <t>28910160384707ភ</t>
  </si>
  <si>
    <t>ពិ</t>
  </si>
  <si>
    <t>PE</t>
  </si>
  <si>
    <t>VRT480</t>
  </si>
  <si>
    <t>29810160384540ធ</t>
  </si>
  <si>
    <t>នេត</t>
  </si>
  <si>
    <t>សុភាព</t>
  </si>
  <si>
    <t>NET</t>
  </si>
  <si>
    <t>SOPHEAP</t>
  </si>
  <si>
    <t>ភូមិ 04 សង្កាត់ 04  ក្រុងព្រះសីហនុ ខេត្តព្រះសីហនុ</t>
  </si>
  <si>
    <t>VRT558</t>
  </si>
  <si>
    <t>28403170680264ធ</t>
  </si>
  <si>
    <t>រ៉ន</t>
  </si>
  <si>
    <t>PHAUK</t>
  </si>
  <si>
    <t>VRT572</t>
  </si>
  <si>
    <t>19510160397636ម</t>
  </si>
  <si>
    <t>ឌឿន</t>
  </si>
  <si>
    <t>DOEUN</t>
  </si>
  <si>
    <t>VRT603</t>
  </si>
  <si>
    <t>28610160397811ប</t>
  </si>
  <si>
    <t>យ៉ុង</t>
  </si>
  <si>
    <t>ថានី</t>
  </si>
  <si>
    <t xml:space="preserve">YONG </t>
  </si>
  <si>
    <t>THANY</t>
  </si>
  <si>
    <t>093 552151</t>
  </si>
  <si>
    <t>VRT605</t>
  </si>
  <si>
    <t>29610160397488ឡ</t>
  </si>
  <si>
    <t>NO</t>
  </si>
  <si>
    <t>ស្រីអូន</t>
  </si>
  <si>
    <t>SREY OUN</t>
  </si>
  <si>
    <t>096 6032433</t>
  </si>
  <si>
    <t>VRT611</t>
  </si>
  <si>
    <t>29710160397801ផ</t>
  </si>
  <si>
    <t>សាន់</t>
  </si>
  <si>
    <t>សម្ផស្ស</t>
  </si>
  <si>
    <t>SANN</t>
  </si>
  <si>
    <t>SAMPHORS</t>
  </si>
  <si>
    <t>093 449594</t>
  </si>
  <si>
    <t>VRT613</t>
  </si>
  <si>
    <t>29810160384464ភ</t>
  </si>
  <si>
    <t>រូ</t>
  </si>
  <si>
    <t>និច</t>
  </si>
  <si>
    <t>Ro</t>
  </si>
  <si>
    <t>Nich</t>
  </si>
  <si>
    <t>ភូមិ 02 សង្កាត់ 01  ក្រុងព្រះសីហនុ ខេត្តព្រះសីហនុ</t>
  </si>
  <si>
    <t>VRT617</t>
  </si>
  <si>
    <t>27510160397797ឡ</t>
  </si>
  <si>
    <t>អ៊ុំ</t>
  </si>
  <si>
    <t>ហ៊ុន</t>
  </si>
  <si>
    <t>UM</t>
  </si>
  <si>
    <t>HUN</t>
  </si>
  <si>
    <t xml:space="preserve">Cleaning Garment </t>
  </si>
  <si>
    <t>ជាងកាត់សក់</t>
  </si>
  <si>
    <t>VRT624</t>
  </si>
  <si>
    <t>28910160384833ភ</t>
  </si>
  <si>
    <t xml:space="preserve">KIM </t>
  </si>
  <si>
    <t>RATHNA</t>
  </si>
  <si>
    <t>071 9582585</t>
  </si>
  <si>
    <t>VRT630</t>
  </si>
  <si>
    <t>28010160398039ទ</t>
  </si>
  <si>
    <t>ចាន់ថន</t>
  </si>
  <si>
    <t xml:space="preserve">SET </t>
  </si>
  <si>
    <t>CHANTHAN</t>
  </si>
  <si>
    <t>នេសាទ</t>
  </si>
  <si>
    <t>VRT640</t>
  </si>
  <si>
    <t>27910160384984ស</t>
  </si>
  <si>
    <t>មឿង</t>
  </si>
  <si>
    <t>តារា</t>
  </si>
  <si>
    <t>MOEUNG</t>
  </si>
  <si>
    <t>DARA</t>
  </si>
  <si>
    <t>087 863598</t>
  </si>
  <si>
    <t>ជាងដែក</t>
  </si>
  <si>
    <t>VRT655</t>
  </si>
  <si>
    <t>28910160397471យ</t>
  </si>
  <si>
    <t>ផារី</t>
  </si>
  <si>
    <t>PHARY</t>
  </si>
  <si>
    <t>087 770573</t>
  </si>
  <si>
    <t>បើកឡាន</t>
  </si>
  <si>
    <t>VRT669</t>
  </si>
  <si>
    <t>28510160384831ទ</t>
  </si>
  <si>
    <t>ចន្នា</t>
  </si>
  <si>
    <t>CHANNA</t>
  </si>
  <si>
    <t>ពោធិ៍សាត់</t>
  </si>
  <si>
    <t>069 627 819</t>
  </si>
  <si>
    <t>ភូមិ 02 សង្កាត់ 02  ក្រុងព្រះសីហនុ ខេត្តព្រះសីហនុ</t>
  </si>
  <si>
    <t>VRT672</t>
  </si>
  <si>
    <t>29110160398204ឍ</t>
  </si>
  <si>
    <t>រ័ត្ន</t>
  </si>
  <si>
    <t>ROTH</t>
  </si>
  <si>
    <t>VRT91</t>
  </si>
  <si>
    <t>29510160397755ល</t>
  </si>
  <si>
    <t>គា</t>
  </si>
  <si>
    <t>KEA</t>
  </si>
  <si>
    <t>QC Apron B</t>
  </si>
  <si>
    <t>096 099 7021</t>
  </si>
  <si>
    <t>VRT114</t>
  </si>
  <si>
    <t>27210160384750ឍ</t>
  </si>
  <si>
    <t>ពេជ្រ</t>
  </si>
  <si>
    <t>សុផល</t>
  </si>
  <si>
    <t>PECH</t>
  </si>
  <si>
    <t>SOPHAL</t>
  </si>
  <si>
    <t>086 511 967</t>
  </si>
  <si>
    <t>VRT165</t>
  </si>
  <si>
    <t>16910160387080ទ</t>
  </si>
  <si>
    <t>ឆឹម</t>
  </si>
  <si>
    <t>ម៉ុងហួត</t>
  </si>
  <si>
    <t>CHHE</t>
  </si>
  <si>
    <t>MONG HOURT</t>
  </si>
  <si>
    <t>ក្រុងព្រះសីហនុ</t>
  </si>
  <si>
    <t>016 258111</t>
  </si>
  <si>
    <t>VRT175</t>
  </si>
  <si>
    <t>29010160384712ឋ</t>
  </si>
  <si>
    <t>ញ៉យ</t>
  </si>
  <si>
    <t>ញឹម</t>
  </si>
  <si>
    <t>NHORY</t>
  </si>
  <si>
    <t>NHOEM</t>
  </si>
  <si>
    <t>096 352 1383</t>
  </si>
  <si>
    <t>VRT319</t>
  </si>
  <si>
    <t>29110160397775យ</t>
  </si>
  <si>
    <t>ប៉ាន់</t>
  </si>
  <si>
    <t>PANN</t>
  </si>
  <si>
    <t>SIDOEUN</t>
  </si>
  <si>
    <t>VRT376</t>
  </si>
  <si>
    <t>29110160397589វ</t>
  </si>
  <si>
    <t>សាយ</t>
  </si>
  <si>
    <t>វន្នី</t>
  </si>
  <si>
    <t>SAY</t>
  </si>
  <si>
    <t>VANNY</t>
  </si>
  <si>
    <t>088 62 18 181</t>
  </si>
  <si>
    <t>VRT386</t>
  </si>
  <si>
    <t>29410160384734ន</t>
  </si>
  <si>
    <t>ផេង</t>
  </si>
  <si>
    <t>ដានី</t>
  </si>
  <si>
    <t>PHENG</t>
  </si>
  <si>
    <t>DANY</t>
  </si>
  <si>
    <t>086 98 1026</t>
  </si>
  <si>
    <t>ជាងឡាន</t>
  </si>
  <si>
    <t>ភូមិ ភ្នំខៀវ សង្កាត់ 02  ក្រុងព្រះសីហនុ ខេត្តព្រះសីហនុ</t>
  </si>
  <si>
    <t>VRT486</t>
  </si>
  <si>
    <t>29410160397682យ</t>
  </si>
  <si>
    <t>ស្រីនិច្ច</t>
  </si>
  <si>
    <t>SREYNECH</t>
  </si>
  <si>
    <t>ភូមិ ទំនប់រលក សង្កាត់ 02  ក្រុងព្រះសីហនុ ខេត្តព្រះសីហនុ</t>
  </si>
  <si>
    <t>VRT565</t>
  </si>
  <si>
    <t>28510160398164ផ</t>
  </si>
  <si>
    <t>សាក់</t>
  </si>
  <si>
    <t>ចាន់រ៉ា</t>
  </si>
  <si>
    <t>SAK</t>
  </si>
  <si>
    <t>CHANRA</t>
  </si>
  <si>
    <t>010 36 89 49</t>
  </si>
  <si>
    <t>VRT582</t>
  </si>
  <si>
    <t>28610160384975ល</t>
  </si>
  <si>
    <t>ដៀប</t>
  </si>
  <si>
    <t>អន</t>
  </si>
  <si>
    <t>DIEB</t>
  </si>
  <si>
    <t>ON</t>
  </si>
  <si>
    <t>ក្រុម12 សង្កាត់ 04  ក្រុងព្រះសីហនុ ខេត្តព្រះសីហនុ</t>
  </si>
  <si>
    <t>VRT49</t>
  </si>
  <si>
    <t>28610160384920ទ</t>
  </si>
  <si>
    <t>សន</t>
  </si>
  <si>
    <t>ស៊ីណាត</t>
  </si>
  <si>
    <t>SORN</t>
  </si>
  <si>
    <t>SINAT</t>
  </si>
  <si>
    <t>015 55 83 60</t>
  </si>
  <si>
    <t>កម្មករផែរ</t>
  </si>
  <si>
    <t>VRT92</t>
  </si>
  <si>
    <t>29010160397099ភ</t>
  </si>
  <si>
    <t>ស៊ាង</t>
  </si>
  <si>
    <t>ពុទ្ធី</t>
  </si>
  <si>
    <t xml:space="preserve">SEANG </t>
  </si>
  <si>
    <t>PUTHY</t>
  </si>
  <si>
    <t>096 680 6964</t>
  </si>
  <si>
    <t>តុកាត់</t>
  </si>
  <si>
    <t>ភូមិ ឃ្លាំងលើ សង្កាត់ 01  ក្រុងព្រះសីហនុ ខេត្តព្រះសីហនុ</t>
  </si>
  <si>
    <t>VRT176</t>
  </si>
  <si>
    <t>28710160397848ឡ</t>
  </si>
  <si>
    <t>យួង</t>
  </si>
  <si>
    <t>YUONG</t>
  </si>
  <si>
    <t>VRT185</t>
  </si>
  <si>
    <t>27810160397749ឡ</t>
  </si>
  <si>
    <t>ស្រីឃីម</t>
  </si>
  <si>
    <t>03  ក្រុងព្រះសីហនុ ខេត្តព្រះសីហនុ</t>
  </si>
  <si>
    <t>VRT189</t>
  </si>
  <si>
    <t>28910160384653ភ</t>
  </si>
  <si>
    <t>ឆន</t>
  </si>
  <si>
    <t>ស្រីទីន</t>
  </si>
  <si>
    <t>CHHORN</t>
  </si>
  <si>
    <t>SREYTIN</t>
  </si>
  <si>
    <t>093 70 39 80</t>
  </si>
  <si>
    <t>VRT234</t>
  </si>
  <si>
    <t>28510160397632ប</t>
  </si>
  <si>
    <t>យ៉ាន់</t>
  </si>
  <si>
    <t>ចាន់រី</t>
  </si>
  <si>
    <t>YANN</t>
  </si>
  <si>
    <t>CHANRY</t>
  </si>
  <si>
    <t>015 89 51 51</t>
  </si>
  <si>
    <t>រោងចក្រស្របៀ</t>
  </si>
  <si>
    <t>ភូមិ 02 សង្កាត់ 01 ក្រុងព្រះសីហនុ ខេត្តព្រះសីហនុ</t>
  </si>
  <si>
    <t>VRT246</t>
  </si>
  <si>
    <t>28110160397849រ</t>
  </si>
  <si>
    <t xml:space="preserve">យ៉ូន </t>
  </si>
  <si>
    <t>សំអឿន</t>
  </si>
  <si>
    <t>097 273 1977</t>
  </si>
  <si>
    <t>សន្តិសុខ</t>
  </si>
  <si>
    <t>ភូមិ 03 សង្កាត់ 03 ក្រុងព្រះសីហនុ ខេត្តព្រះសីហនុ</t>
  </si>
  <si>
    <t>VRT251</t>
  </si>
  <si>
    <t>28010160397162ឍ</t>
  </si>
  <si>
    <t>KHUN</t>
  </si>
  <si>
    <t>VRT274</t>
  </si>
  <si>
    <t>29110160398392ផ</t>
  </si>
  <si>
    <t>តឹប</t>
  </si>
  <si>
    <t>ចង្រិត</t>
  </si>
  <si>
    <t>TOEB</t>
  </si>
  <si>
    <t>CHANGRETH</t>
  </si>
  <si>
    <t>096 311 4359</t>
  </si>
  <si>
    <t>ភូមិ 01 សង្កាត់ 02 ក្រុងព្រះសីហនុ ខេត្តព្រះសីហនុ</t>
  </si>
  <si>
    <t>VRT280</t>
  </si>
  <si>
    <t>28610160397432ន</t>
  </si>
  <si>
    <t>សុខឿន</t>
  </si>
  <si>
    <t>SOKHOEURN</t>
  </si>
  <si>
    <t>096 8555 998</t>
  </si>
  <si>
    <t>លក់ថ្នាំ</t>
  </si>
  <si>
    <t>ភូមិ 01 សង្កាត់ 04 ក្រុងព្រះសីហនុ ខេត្តព្រះសីហនុ</t>
  </si>
  <si>
    <t>VRT295</t>
  </si>
  <si>
    <t>27110160384915ត</t>
  </si>
  <si>
    <t>ឈឹម</t>
  </si>
  <si>
    <t>រៀម</t>
  </si>
  <si>
    <t>CHHIM</t>
  </si>
  <si>
    <t>REAM</t>
  </si>
  <si>
    <t>016 793 998</t>
  </si>
  <si>
    <t>ភូមិ 12 សង្កាត់ 02 ក្រុងព្រះសីហនុ ខេត្តព្រះសីហនុ</t>
  </si>
  <si>
    <t>VRT308</t>
  </si>
  <si>
    <t>28110160397269ព</t>
  </si>
  <si>
    <t>កូវ</t>
  </si>
  <si>
    <t>សាឌី</t>
  </si>
  <si>
    <t>KOV</t>
  </si>
  <si>
    <t>SADY</t>
  </si>
  <si>
    <t>096 87 86 962</t>
  </si>
  <si>
    <t>ភូមិ 03 សង្កាត់ 02 ក្រុងព្រះសីហនុ ខេត្តព្រះសីហនុ</t>
  </si>
  <si>
    <t>VRT318</t>
  </si>
  <si>
    <t>28510160398407ផ</t>
  </si>
  <si>
    <t>093 59 91 45</t>
  </si>
  <si>
    <t>VRT368</t>
  </si>
  <si>
    <t>27803170680060ត</t>
  </si>
  <si>
    <t>SENG</t>
  </si>
  <si>
    <t>016 68 92 78</t>
  </si>
  <si>
    <t>ក្រុមហ៊ុនសំណង់</t>
  </si>
  <si>
    <t>ភូមិ 03 សង្កាត់ 01 ក្រុងព្រះសីហនុ ខេត្តព្រះសីហនុ</t>
  </si>
  <si>
    <t>VRT379</t>
  </si>
  <si>
    <t>28103170682667ម</t>
  </si>
  <si>
    <t>រត្ននា</t>
  </si>
  <si>
    <t>CHHOEM</t>
  </si>
  <si>
    <t>ROTANA</t>
  </si>
  <si>
    <t>097 800 36 75</t>
  </si>
  <si>
    <t>ភូមិ 02 សង្កាត់ 03 ក្រុងព្រះសីហនុ ខេត្តព្រះសីហនុ</t>
  </si>
  <si>
    <t>VRT414</t>
  </si>
  <si>
    <t>28301160030403ឡ</t>
  </si>
  <si>
    <t>កែ</t>
  </si>
  <si>
    <t>KE</t>
  </si>
  <si>
    <t>កំពង់ធំ</t>
  </si>
  <si>
    <t>010 44 66 07</t>
  </si>
  <si>
    <t>VRT416</t>
  </si>
  <si>
    <t>28503170680306ថ</t>
  </si>
  <si>
    <t>សីណា</t>
  </si>
  <si>
    <t>SEYNA</t>
  </si>
  <si>
    <t>VRT443</t>
  </si>
  <si>
    <t>16210160384775ធ</t>
  </si>
  <si>
    <t>ភារម្យ</t>
  </si>
  <si>
    <t>PHEARUM</t>
  </si>
  <si>
    <t>Service on line</t>
  </si>
  <si>
    <t>ភូមិ 01 សង្កាត់ 01 ក្រុងព្រះសីហនុ ខេត្តព្រះសីហនុ</t>
  </si>
  <si>
    <t>VRT449</t>
  </si>
  <si>
    <t>27910160397189ហ</t>
  </si>
  <si>
    <t>ងួន</t>
  </si>
  <si>
    <t>ស៊ីណែម</t>
  </si>
  <si>
    <t>SINEM</t>
  </si>
  <si>
    <t>097 48 47 823</t>
  </si>
  <si>
    <t>VRT465</t>
  </si>
  <si>
    <t>29410160397704ប</t>
  </si>
  <si>
    <t>ណៃវី</t>
  </si>
  <si>
    <t>NAI VY</t>
  </si>
  <si>
    <t>071 72 50 552</t>
  </si>
  <si>
    <t>កម្មកររោងចក្រ</t>
  </si>
  <si>
    <t>VRT471</t>
  </si>
  <si>
    <t>28110160384765ន</t>
  </si>
  <si>
    <t>ស្រីទូច</t>
  </si>
  <si>
    <t>RET</t>
  </si>
  <si>
    <t>SREYTOUCH</t>
  </si>
  <si>
    <t>070 84 29 01</t>
  </si>
  <si>
    <t>បើកបរ</t>
  </si>
  <si>
    <t>សង្កាត់ 01 ក្រុងព្រះសីហនុ ខេត្តព្រះសីហនុ</t>
  </si>
  <si>
    <t>VRT489</t>
  </si>
  <si>
    <t>29405170764919ឡ</t>
  </si>
  <si>
    <t>ញ៉ែត</t>
  </si>
  <si>
    <t>វ៉ានឌី</t>
  </si>
  <si>
    <t>NHET</t>
  </si>
  <si>
    <t>096 69 333 49</t>
  </si>
  <si>
    <t>កម្មករសំណង់</t>
  </si>
  <si>
    <t>VRT499</t>
  </si>
  <si>
    <t>28610160397706ភ</t>
  </si>
  <si>
    <t>ចាន់វាសនា</t>
  </si>
  <si>
    <t>CHAN VEASNA</t>
  </si>
  <si>
    <t>015 335 835</t>
  </si>
  <si>
    <t>VRT509</t>
  </si>
  <si>
    <t>29010160398468ម</t>
  </si>
  <si>
    <t>អេង</t>
  </si>
  <si>
    <t>ENG</t>
  </si>
  <si>
    <t>088 271 80 44</t>
  </si>
  <si>
    <t>ភូមិ 02 សង្កាត់ 02 ក្រុងព្រះសីហនុ ខេត្តព្រះសីហនុ</t>
  </si>
  <si>
    <t>VRT512</t>
  </si>
  <si>
    <t>28303170680344ថ</t>
  </si>
  <si>
    <t>ស៊ុន</t>
  </si>
  <si>
    <t>សេងឡាង</t>
  </si>
  <si>
    <t>SUN</t>
  </si>
  <si>
    <t>SENGLANG</t>
  </si>
  <si>
    <t>097 61 87 435</t>
  </si>
  <si>
    <t>VRT523</t>
  </si>
  <si>
    <t>28610160384564ផ</t>
  </si>
  <si>
    <t>ទេស</t>
  </si>
  <si>
    <t>សុធី</t>
  </si>
  <si>
    <t>TES</t>
  </si>
  <si>
    <t>SOTHY</t>
  </si>
  <si>
    <t>096 58 71 727</t>
  </si>
  <si>
    <t>ជាងថតរូប</t>
  </si>
  <si>
    <t>VRT542</t>
  </si>
  <si>
    <t>18503170680506ទ</t>
  </si>
  <si>
    <t>សូយ</t>
  </si>
  <si>
    <t>វ៉ាន់ឌី</t>
  </si>
  <si>
    <t>015 29 21 94</t>
  </si>
  <si>
    <t>កម្មការិនី វ៉ានធីជ</t>
  </si>
  <si>
    <t>VRT580</t>
  </si>
  <si>
    <t>29510160384752ប</t>
  </si>
  <si>
    <t>ហម</t>
  </si>
  <si>
    <t>គឹមស្រួយ</t>
  </si>
  <si>
    <t>HOM</t>
  </si>
  <si>
    <t>KEMSROY</t>
  </si>
  <si>
    <t>093 83 84 72</t>
  </si>
  <si>
    <t>ភូមិ 05 សង្កាត់ 01 ក្រុងព្រះសីហនុ ខេត្តព្រះសីហនុ</t>
  </si>
  <si>
    <t>VRT591</t>
  </si>
  <si>
    <t>27203170680341ឋ</t>
  </si>
  <si>
    <t>017 930 255</t>
  </si>
  <si>
    <t>VRT594</t>
  </si>
  <si>
    <t>28603170680126ទ</t>
  </si>
  <si>
    <t>អ៊ុង</t>
  </si>
  <si>
    <t>UNG</t>
  </si>
  <si>
    <t>098 53 44 94</t>
  </si>
  <si>
    <t>VRT614</t>
  </si>
  <si>
    <t>29103170680443ត</t>
  </si>
  <si>
    <t>ហួន</t>
  </si>
  <si>
    <t>ចន្ធូ</t>
  </si>
  <si>
    <t>HUON</t>
  </si>
  <si>
    <t>015 76 44 72</t>
  </si>
  <si>
    <t>VRT637</t>
  </si>
  <si>
    <t>29510160388637រ</t>
  </si>
  <si>
    <t>គួយ</t>
  </si>
  <si>
    <t>KUY</t>
  </si>
  <si>
    <t>RATANA</t>
  </si>
  <si>
    <t>ខេត្តរតនគីរី</t>
  </si>
  <si>
    <t>071 561 3300</t>
  </si>
  <si>
    <t>VRT642</t>
  </si>
  <si>
    <t>28911160399544ស</t>
  </si>
  <si>
    <t>សុន</t>
  </si>
  <si>
    <t>096 420 2008</t>
  </si>
  <si>
    <t>VRT643</t>
  </si>
  <si>
    <t>29811160400028ញ</t>
  </si>
  <si>
    <t>អោម</t>
  </si>
  <si>
    <t>កុសល</t>
  </si>
  <si>
    <t>KOSAL</t>
  </si>
  <si>
    <t>070 912 478</t>
  </si>
  <si>
    <t>VRT666</t>
  </si>
  <si>
    <t>28310160389184ផ</t>
  </si>
  <si>
    <t>ពឿន</t>
  </si>
  <si>
    <t>POEUN</t>
  </si>
  <si>
    <t>097 85 83 304</t>
  </si>
  <si>
    <t>VRT677</t>
  </si>
  <si>
    <t>28403170680286ព</t>
  </si>
  <si>
    <t>អ៊ួង</t>
  </si>
  <si>
    <t>សារ៉ា</t>
  </si>
  <si>
    <t>OUNG</t>
  </si>
  <si>
    <t>SARA</t>
  </si>
  <si>
    <t>096 92 82 998</t>
  </si>
  <si>
    <t>VRT682</t>
  </si>
  <si>
    <t>29203170680109ត</t>
  </si>
  <si>
    <t>ស្រីរត្ន័</t>
  </si>
  <si>
    <t>SREYRORTH</t>
  </si>
  <si>
    <t>088 909 1974</t>
  </si>
  <si>
    <t>VRT684</t>
  </si>
  <si>
    <t>28503170680350ត</t>
  </si>
  <si>
    <t xml:space="preserve">PHENG </t>
  </si>
  <si>
    <t>070 88 64 08</t>
  </si>
  <si>
    <t>VRT155</t>
  </si>
  <si>
    <t>27503170680358ព</t>
  </si>
  <si>
    <t>ហួរ</t>
  </si>
  <si>
    <t>សាវុន</t>
  </si>
  <si>
    <t>HOUR</t>
  </si>
  <si>
    <t>SAVUN</t>
  </si>
  <si>
    <t>097 866 9507</t>
  </si>
  <si>
    <t>មន្រ្តីរាជការ</t>
  </si>
  <si>
    <t>VRT237</t>
  </si>
  <si>
    <t>28310160390862ថ</t>
  </si>
  <si>
    <t>ចន្ថា</t>
  </si>
  <si>
    <t>VANN</t>
  </si>
  <si>
    <t>093 401 233</t>
  </si>
  <si>
    <t>VRT325</t>
  </si>
  <si>
    <t>28903170680334ផ</t>
  </si>
  <si>
    <t>អ៊ីង</t>
  </si>
  <si>
    <t>ណែត</t>
  </si>
  <si>
    <t>ING</t>
  </si>
  <si>
    <t>015 960  791</t>
  </si>
  <si>
    <t>បន្ទក់</t>
  </si>
  <si>
    <t>VRT333</t>
  </si>
  <si>
    <t>18003170680426ឍ</t>
  </si>
  <si>
    <t>ស៊ីថាន</t>
  </si>
  <si>
    <t xml:space="preserve">YOUNG </t>
  </si>
  <si>
    <t>SITHAN</t>
  </si>
  <si>
    <t>016 306 874</t>
  </si>
  <si>
    <t>VRT365</t>
  </si>
  <si>
    <t>29610160398725រ</t>
  </si>
  <si>
    <t>ឌី</t>
  </si>
  <si>
    <t>DY</t>
  </si>
  <si>
    <t>​5</t>
  </si>
  <si>
    <t>016 219 300</t>
  </si>
  <si>
    <t>VRT454</t>
  </si>
  <si>
    <t>29711160399657ក</t>
  </si>
  <si>
    <t>ឌុន</t>
  </si>
  <si>
    <t>ហួង</t>
  </si>
  <si>
    <t>DUN</t>
  </si>
  <si>
    <t>HOUNG</t>
  </si>
  <si>
    <t>096 55 68 745</t>
  </si>
  <si>
    <t>VRT503</t>
  </si>
  <si>
    <t>28610160384745ព</t>
  </si>
  <si>
    <t>ភុស</t>
  </si>
  <si>
    <t>ស្រីពៅ</t>
  </si>
  <si>
    <t>PHOS</t>
  </si>
  <si>
    <t>SREYPOV</t>
  </si>
  <si>
    <t>090 663 300</t>
  </si>
  <si>
    <t>VRT569</t>
  </si>
  <si>
    <t>28103170680361ឍ</t>
  </si>
  <si>
    <t>យឿង</t>
  </si>
  <si>
    <t>YOEUNG</t>
  </si>
  <si>
    <t>071 80 122 76</t>
  </si>
  <si>
    <t>VRT3</t>
  </si>
  <si>
    <t>28603170680195ភ</t>
  </si>
  <si>
    <t>កៅ</t>
  </si>
  <si>
    <t>សុធារី</t>
  </si>
  <si>
    <t>KAO</t>
  </si>
  <si>
    <t>SOTHEARY</t>
  </si>
  <si>
    <t>070 913 215</t>
  </si>
  <si>
    <t>VRT10</t>
  </si>
  <si>
    <t>28611160399797ឃ</t>
  </si>
  <si>
    <t>យ៉ាង</t>
  </si>
  <si>
    <t xml:space="preserve">YANG </t>
  </si>
  <si>
    <t>096 2464713</t>
  </si>
  <si>
    <t>VRT32</t>
  </si>
  <si>
    <t>29403170680310ឋ</t>
  </si>
  <si>
    <t>សក្ខិណា</t>
  </si>
  <si>
    <t>SAKHENA</t>
  </si>
  <si>
    <t>069 263980</t>
  </si>
  <si>
    <t>VRT68</t>
  </si>
  <si>
    <t>29311160400457ដ</t>
  </si>
  <si>
    <t>ឌុយ</t>
  </si>
  <si>
    <t>និមុល</t>
  </si>
  <si>
    <t>DUY</t>
  </si>
  <si>
    <t>NIMOL</t>
  </si>
  <si>
    <t>016 858281</t>
  </si>
  <si>
    <t>VRT69</t>
  </si>
  <si>
    <t>28610160398425ព</t>
  </si>
  <si>
    <t>កេន</t>
  </si>
  <si>
    <t>KEN</t>
  </si>
  <si>
    <t>VRT110</t>
  </si>
  <si>
    <t>28303170680216ណ</t>
  </si>
  <si>
    <t>ទី</t>
  </si>
  <si>
    <t>TY</t>
  </si>
  <si>
    <t>MOM</t>
  </si>
  <si>
    <t>VRT149</t>
  </si>
  <si>
    <t>29503170680046ធ</t>
  </si>
  <si>
    <t xml:space="preserve">មឿន </t>
  </si>
  <si>
    <t>ចន្លី</t>
  </si>
  <si>
    <t>MOEURN</t>
  </si>
  <si>
    <t>CHANLY</t>
  </si>
  <si>
    <t>081 964313</t>
  </si>
  <si>
    <t>ភូមិ 02 សង្កាត់ 04 ក្រុងព្រះសីហនុ ខេត្តព្រះសីហនុ</t>
  </si>
  <si>
    <t>VRT200</t>
  </si>
  <si>
    <t>29510160391572ធ</t>
  </si>
  <si>
    <t xml:space="preserve">KONG </t>
  </si>
  <si>
    <t>093 44 1929</t>
  </si>
  <si>
    <t>VRT241</t>
  </si>
  <si>
    <t>28805170781704យ</t>
  </si>
  <si>
    <t>ឡាង</t>
  </si>
  <si>
    <t>សូន</t>
  </si>
  <si>
    <t>LANG</t>
  </si>
  <si>
    <t>SAUN</t>
  </si>
  <si>
    <t>VRT268</t>
  </si>
  <si>
    <t>19808170874155ឡ</t>
  </si>
  <si>
    <t>ពោច</t>
  </si>
  <si>
    <t>VRT525</t>
  </si>
  <si>
    <t>28603170680161ត</t>
  </si>
  <si>
    <t>ផាត</t>
  </si>
  <si>
    <t>សុ</t>
  </si>
  <si>
    <t>PHATH</t>
  </si>
  <si>
    <t>016 38 28 54</t>
  </si>
  <si>
    <t>បុគ្គលិកនៅក្នុងពេទ្យ</t>
  </si>
  <si>
    <t>VRT590</t>
  </si>
  <si>
    <t>29608170879038គ</t>
  </si>
  <si>
    <t>ប៉ែន</t>
  </si>
  <si>
    <t>ចានមុន្នីរ័ត្ន</t>
  </si>
  <si>
    <t>PEN</t>
  </si>
  <si>
    <t>CHANMUNIROATH</t>
  </si>
  <si>
    <t>010 99 28 07</t>
  </si>
  <si>
    <t>VRT632</t>
  </si>
  <si>
    <t>29205170761932ផ</t>
  </si>
  <si>
    <t>ភាស់</t>
  </si>
  <si>
    <t>SAM</t>
  </si>
  <si>
    <t>PHORS</t>
  </si>
  <si>
    <t>096 40 86 759</t>
  </si>
  <si>
    <t>VRT656</t>
  </si>
  <si>
    <t>29810160398832ល</t>
  </si>
  <si>
    <t>ស្រីនិច</t>
  </si>
  <si>
    <t>SREYNICH</t>
  </si>
  <si>
    <t>015 54 0081</t>
  </si>
  <si>
    <t>VRT662</t>
  </si>
  <si>
    <t>28505178763498អ</t>
  </si>
  <si>
    <t>យឹម</t>
  </si>
  <si>
    <t>ភួន</t>
  </si>
  <si>
    <t>YOEM</t>
  </si>
  <si>
    <t>PHOUN</t>
  </si>
  <si>
    <t>088 343679</t>
  </si>
  <si>
    <t>ភូមិ 05 សង្កាត់ 03 ក្រុងព្រះសីហនុ ខេត្តព្រះសីហនុ</t>
  </si>
  <si>
    <t>VRT663</t>
  </si>
  <si>
    <t>28805170758100ន</t>
  </si>
  <si>
    <t>ស្រីស្រស់</t>
  </si>
  <si>
    <t>SREYSRAS</t>
  </si>
  <si>
    <t>096 57 45 979</t>
  </si>
  <si>
    <t>ជាង ភ្លើង</t>
  </si>
  <si>
    <t>VRT680</t>
  </si>
  <si>
    <t>28010160389220ញ</t>
  </si>
  <si>
    <t>ចាន់</t>
  </si>
  <si>
    <t>CHAN</t>
  </si>
  <si>
    <t>SOKHON</t>
  </si>
  <si>
    <t>015 75 11 54</t>
  </si>
  <si>
    <t>VRT695</t>
  </si>
  <si>
    <t>29310160388771ភ</t>
  </si>
  <si>
    <t>SREYAUN</t>
  </si>
  <si>
    <t>096 46 71294</t>
  </si>
  <si>
    <t>VRT697</t>
  </si>
  <si>
    <t>29110160388035ណ</t>
  </si>
  <si>
    <t>សុខឃៀម</t>
  </si>
  <si>
    <t>SOKKHIEM</t>
  </si>
  <si>
    <t>VRT698</t>
  </si>
  <si>
    <t>29502150018407ឋ</t>
  </si>
  <si>
    <t>ម៉ឹង</t>
  </si>
  <si>
    <t>ប៉ាក់</t>
  </si>
  <si>
    <t>MOENG</t>
  </si>
  <si>
    <t>PAK</t>
  </si>
  <si>
    <t>096 4391741</t>
  </si>
  <si>
    <t>VRT699</t>
  </si>
  <si>
    <t>28710160388354ភ</t>
  </si>
  <si>
    <t>ពិសី</t>
  </si>
  <si>
    <t>SOEURN</t>
  </si>
  <si>
    <t>PISEY</t>
  </si>
  <si>
    <t>066 797393</t>
  </si>
  <si>
    <t>VRT700</t>
  </si>
  <si>
    <t>29608170878602ឡ</t>
  </si>
  <si>
    <t>070 857912</t>
  </si>
  <si>
    <t>VRT11</t>
  </si>
  <si>
    <t>28805170760373ម</t>
  </si>
  <si>
    <t>គីមសាង</t>
  </si>
  <si>
    <t>KIMSANG</t>
  </si>
  <si>
    <t>VRT80</t>
  </si>
  <si>
    <t>29707170826881ក</t>
  </si>
  <si>
    <t>ណយ</t>
  </si>
  <si>
    <t>អាន</t>
  </si>
  <si>
    <t>NOY</t>
  </si>
  <si>
    <t>ANN</t>
  </si>
  <si>
    <t>087 50 99 93</t>
  </si>
  <si>
    <t>VRT88</t>
  </si>
  <si>
    <t>29611160400555ឌ</t>
  </si>
  <si>
    <t>061588573</t>
  </si>
  <si>
    <t>សាន</t>
  </si>
  <si>
    <t>គន្ធី</t>
  </si>
  <si>
    <t>SAN</t>
  </si>
  <si>
    <t>KUNTHY</t>
  </si>
  <si>
    <t>097 83 82 251</t>
  </si>
  <si>
    <t>VRT96</t>
  </si>
  <si>
    <t>28705170766738ខ</t>
  </si>
  <si>
    <t>ផាង</t>
  </si>
  <si>
    <t>គឹមលីលី</t>
  </si>
  <si>
    <t>KOEMLYLY</t>
  </si>
  <si>
    <t>016 380047</t>
  </si>
  <si>
    <t>VRT142</t>
  </si>
  <si>
    <t>27911160399862ឡ</t>
  </si>
  <si>
    <t>ហែ</t>
  </si>
  <si>
    <t>RUOS</t>
  </si>
  <si>
    <t>HE</t>
  </si>
  <si>
    <t>097 50 37 262</t>
  </si>
  <si>
    <t>VRT166</t>
  </si>
  <si>
    <t>18704170693633យ</t>
  </si>
  <si>
    <t>សៀង</t>
  </si>
  <si>
    <t>វាសនា</t>
  </si>
  <si>
    <t>SEANG</t>
  </si>
  <si>
    <t>VEASNA</t>
  </si>
  <si>
    <t>096 447 25 78</t>
  </si>
  <si>
    <t>ភូមិ 19 សង្កាត់ 01 ក្រុងព្រះសីហនុ ខេត្តព្រះសីហនុ</t>
  </si>
  <si>
    <t>VRT171</t>
  </si>
  <si>
    <t>29707170542512ព</t>
  </si>
  <si>
    <t>សារ</t>
  </si>
  <si>
    <t>ស្រីនួន</t>
  </si>
  <si>
    <t>SA</t>
  </si>
  <si>
    <t>SREYNUON</t>
  </si>
  <si>
    <t>ភូមិ 04 សង្កាត់ 05 ក្រុងព្រះសីហនុ ខេត្តព្រះសីហនុ</t>
  </si>
  <si>
    <t>VRT186</t>
  </si>
  <si>
    <t>29107170829189ឡ</t>
  </si>
  <si>
    <t>ខុន</t>
  </si>
  <si>
    <t>KHON</t>
  </si>
  <si>
    <t>VRT195</t>
  </si>
  <si>
    <t>29310160346028ឌ</t>
  </si>
  <si>
    <t>020858804</t>
  </si>
  <si>
    <t>ចុង</t>
  </si>
  <si>
    <t>សុខជា</t>
  </si>
  <si>
    <t>CHONG</t>
  </si>
  <si>
    <t>SOCHEA</t>
  </si>
  <si>
    <t>096 919 44 07</t>
  </si>
  <si>
    <t>VRT199</t>
  </si>
  <si>
    <t>28712160539567ស</t>
  </si>
  <si>
    <t>051358686</t>
  </si>
  <si>
    <t>ជុំ</t>
  </si>
  <si>
    <t>CHUM</t>
  </si>
  <si>
    <t>CHENDA</t>
  </si>
  <si>
    <t>096 23 78 754</t>
  </si>
  <si>
    <t>VRT203</t>
  </si>
  <si>
    <t>28907170845602រ</t>
  </si>
  <si>
    <t>093 95 27 28</t>
  </si>
  <si>
    <t>VRT213</t>
  </si>
  <si>
    <t>28711160400484ឍ</t>
  </si>
  <si>
    <t>051204241</t>
  </si>
  <si>
    <t>វ៉ាន់ដា</t>
  </si>
  <si>
    <t>VANNDA</t>
  </si>
  <si>
    <t>010 24 52 69</t>
  </si>
  <si>
    <t>VRT214</t>
  </si>
  <si>
    <t>29607170829736ខ</t>
  </si>
  <si>
    <t>ស្រីដាវ</t>
  </si>
  <si>
    <t>LIM</t>
  </si>
  <si>
    <t>SREYDAV</t>
  </si>
  <si>
    <t>096 46 90 370</t>
  </si>
  <si>
    <t>ភូមិ 03 សង្កាត់ 04 ក្រុងព្រះសីហនុ ខេត្តព្រះសីហនុ</t>
  </si>
  <si>
    <t>VRT228</t>
  </si>
  <si>
    <t>29007170820413ឋ</t>
  </si>
  <si>
    <t>ហ៊ួន</t>
  </si>
  <si>
    <t>ជី</t>
  </si>
  <si>
    <t>CHY</t>
  </si>
  <si>
    <t>VRT231</t>
  </si>
  <si>
    <t>29011160400349ជ</t>
  </si>
  <si>
    <t>050846317</t>
  </si>
  <si>
    <t>ស៊ីន</t>
  </si>
  <si>
    <t>ស៊ាងហុង</t>
  </si>
  <si>
    <t>SINN</t>
  </si>
  <si>
    <t>SEANG HONG</t>
  </si>
  <si>
    <t>096 60 31 829</t>
  </si>
  <si>
    <t>VRT247</t>
  </si>
  <si>
    <t>29907170822342ឆ</t>
  </si>
  <si>
    <t>ស្រីសួរ</t>
  </si>
  <si>
    <t>KHAV</t>
  </si>
  <si>
    <t>SREYSOUR</t>
  </si>
  <si>
    <t>015 620 993</t>
  </si>
  <si>
    <t>VRT248</t>
  </si>
  <si>
    <t>28707170820438ម</t>
  </si>
  <si>
    <t>សេស</t>
  </si>
  <si>
    <t>សុផាត</t>
  </si>
  <si>
    <t>SES</t>
  </si>
  <si>
    <t>SOPHAT</t>
  </si>
  <si>
    <t>098 93 24 91</t>
  </si>
  <si>
    <t>VRT262</t>
  </si>
  <si>
    <t>28510160388812ប</t>
  </si>
  <si>
    <t>030323530</t>
  </si>
  <si>
    <t>HENG</t>
  </si>
  <si>
    <t>087 86 37 48</t>
  </si>
  <si>
    <t>VRT297</t>
  </si>
  <si>
    <t>29707170834330ផ</t>
  </si>
  <si>
    <t>06100696</t>
  </si>
  <si>
    <t>ធារី</t>
  </si>
  <si>
    <t>093 34 14 55</t>
  </si>
  <si>
    <t>VRT300</t>
  </si>
  <si>
    <t>28607170842515ត</t>
  </si>
  <si>
    <t>050383983</t>
  </si>
  <si>
    <t>ស៊ូ</t>
  </si>
  <si>
    <t>ចាន់នាង</t>
  </si>
  <si>
    <t>SOU</t>
  </si>
  <si>
    <t>CHANNEANG</t>
  </si>
  <si>
    <t>010 35 46 09</t>
  </si>
  <si>
    <t>VRT307</t>
  </si>
  <si>
    <t>294101603889446វ</t>
  </si>
  <si>
    <t>សា</t>
  </si>
  <si>
    <t>ស្តើង</t>
  </si>
  <si>
    <t>SDOENG</t>
  </si>
  <si>
    <t>096 469 0370</t>
  </si>
  <si>
    <t>VRT310</t>
  </si>
  <si>
    <t>29610160389953ឡ</t>
  </si>
  <si>
    <t>THY</t>
  </si>
  <si>
    <t>010 413288</t>
  </si>
  <si>
    <t>VRT324</t>
  </si>
  <si>
    <t>29508170868717ឃ</t>
  </si>
  <si>
    <t>050823398</t>
  </si>
  <si>
    <t>VORN</t>
  </si>
  <si>
    <t>Cut&amp;Sew Office</t>
  </si>
  <si>
    <t>បរិញ្ញាបត្រ</t>
  </si>
  <si>
    <t>016 35 67 25</t>
  </si>
  <si>
    <t>VRT330</t>
  </si>
  <si>
    <t>28211160399756ល</t>
  </si>
  <si>
    <t>051177614</t>
  </si>
  <si>
    <t>វង្ស</t>
  </si>
  <si>
    <t>សុខមាស</t>
  </si>
  <si>
    <t>VORNG</t>
  </si>
  <si>
    <t>SOKMEAS</t>
  </si>
  <si>
    <t>070 81 45 08</t>
  </si>
  <si>
    <t>VRT353</t>
  </si>
  <si>
    <t>29209170897715ខ</t>
  </si>
  <si>
    <t>ស៊ាន</t>
  </si>
  <si>
    <t>ស្រីម៉ុន</t>
  </si>
  <si>
    <t>SEAN</t>
  </si>
  <si>
    <t>SREYMON</t>
  </si>
  <si>
    <t>088 895 11 66</t>
  </si>
  <si>
    <t>VRT366</t>
  </si>
  <si>
    <t>29610170936632ព</t>
  </si>
  <si>
    <t>ហូល</t>
  </si>
  <si>
    <t>HOL</t>
  </si>
  <si>
    <t>088 768 1 844</t>
  </si>
  <si>
    <t>VRT367</t>
  </si>
  <si>
    <t>28710170935640ប</t>
  </si>
  <si>
    <t>040478301</t>
  </si>
  <si>
    <t>សុភា</t>
  </si>
  <si>
    <t>098 546 392</t>
  </si>
  <si>
    <t>ប្តីរត់ម៉ូតូឌុប</t>
  </si>
  <si>
    <t>VRT385</t>
  </si>
  <si>
    <t>17010160341032ស</t>
  </si>
  <si>
    <t>061972377</t>
  </si>
  <si>
    <t>លាម</t>
  </si>
  <si>
    <t>VRT388</t>
  </si>
  <si>
    <t>27603170675445ម</t>
  </si>
  <si>
    <t>061669372</t>
  </si>
  <si>
    <t>សុនាង</t>
  </si>
  <si>
    <t>TOEM</t>
  </si>
  <si>
    <t>SOTEANG</t>
  </si>
  <si>
    <t>VRT391</t>
  </si>
  <si>
    <t>29808170877066ឃ</t>
  </si>
  <si>
    <t>021027861</t>
  </si>
  <si>
    <t>ម៉ៅ</t>
  </si>
  <si>
    <t>ស្រីហួយ</t>
  </si>
  <si>
    <t>MAO</t>
  </si>
  <si>
    <t>SREYHUOY</t>
  </si>
  <si>
    <t>096 7039 552</t>
  </si>
  <si>
    <t>VRT421</t>
  </si>
  <si>
    <t>28310170925389យ</t>
  </si>
  <si>
    <t>SY NAT</t>
  </si>
  <si>
    <t>071 26 71 802</t>
  </si>
  <si>
    <t>VRT430</t>
  </si>
  <si>
    <t>28811160399707ស</t>
  </si>
  <si>
    <t>051563455</t>
  </si>
  <si>
    <t>ភិន</t>
  </si>
  <si>
    <t>068 59 89 58</t>
  </si>
  <si>
    <t>VRT455</t>
  </si>
  <si>
    <t>28610170920907ន</t>
  </si>
  <si>
    <t>020514594</t>
  </si>
  <si>
    <t>ឡៃហ៊ាន</t>
  </si>
  <si>
    <t>LAI HEANG</t>
  </si>
  <si>
    <t>081 50 85 72</t>
  </si>
  <si>
    <t>VRT479</t>
  </si>
  <si>
    <t>28911160399867ង</t>
  </si>
  <si>
    <t>ស៊ឹម</t>
  </si>
  <si>
    <t>ចាន់ដារា</t>
  </si>
  <si>
    <t>SOEM</t>
  </si>
  <si>
    <t>CHANNDARA</t>
  </si>
  <si>
    <t>VRT504</t>
  </si>
  <si>
    <t>19011170955852ផ</t>
  </si>
  <si>
    <t>លាង</t>
  </si>
  <si>
    <t>097 90 37 24</t>
  </si>
  <si>
    <t>VRT541</t>
  </si>
  <si>
    <t>29309160283156ន</t>
  </si>
  <si>
    <t>ស៊ីនួន</t>
  </si>
  <si>
    <t>SINOUN</t>
  </si>
  <si>
    <t>096 71 23 974</t>
  </si>
  <si>
    <t>VRT619</t>
  </si>
  <si>
    <t>29603181291340ថ</t>
  </si>
  <si>
    <t>110466471</t>
  </si>
  <si>
    <t>សារូ</t>
  </si>
  <si>
    <t>SARO</t>
  </si>
  <si>
    <t>093 670 697</t>
  </si>
  <si>
    <t>ភូមិ05 សង្កាត់04 ក្រុងព្រះសីហនុ ខេត្តព្រះសីហនុ</t>
  </si>
  <si>
    <t>VRT631</t>
  </si>
  <si>
    <t>061438162</t>
  </si>
  <si>
    <t>សុខឡាយ</t>
  </si>
  <si>
    <t>SOKLAIY</t>
  </si>
  <si>
    <t>086 49 84 84</t>
  </si>
  <si>
    <t>ភូមិ03 សង្កាត់02 ក្រុងព្រះសីហនុ ខេត្តព្រះសីហនុ</t>
  </si>
  <si>
    <t>28612171028873ភ</t>
  </si>
  <si>
    <t>110338398</t>
  </si>
  <si>
    <t>ម៉ៃ</t>
  </si>
  <si>
    <t>MAI</t>
  </si>
  <si>
    <t>28912171055817ម</t>
  </si>
  <si>
    <t>100582653</t>
  </si>
  <si>
    <t>18906170801069ភ</t>
  </si>
  <si>
    <t>180891169</t>
  </si>
  <si>
    <t>ផុន</t>
  </si>
  <si>
    <t>ភារ៉ា</t>
  </si>
  <si>
    <t>ភូមិ01 សង្កាត់០1 ក្រុងព្រះសីហនុ ខេត្តព្រះសីហនុ</t>
  </si>
  <si>
    <t>28405181407386ម</t>
  </si>
  <si>
    <t>060820362</t>
  </si>
  <si>
    <t>សូត្រ</t>
  </si>
  <si>
    <t>ស្រីឡា</t>
  </si>
  <si>
    <t>Sout</t>
  </si>
  <si>
    <t>Sreyla</t>
  </si>
  <si>
    <t>ភូមិ02 សង្កាត់04 ខេត្តព្រះសីហនុ</t>
  </si>
  <si>
    <t>20005181407399ថ</t>
  </si>
  <si>
    <t>051567136</t>
  </si>
  <si>
    <t>ធីតា</t>
  </si>
  <si>
    <t>Kry</t>
  </si>
  <si>
    <t>Thida</t>
  </si>
  <si>
    <t>28306181433594ម</t>
  </si>
  <si>
    <t>110241171</t>
  </si>
  <si>
    <t>Pheap</t>
  </si>
  <si>
    <t>28906181430860ភ</t>
  </si>
  <si>
    <t>101105130</t>
  </si>
  <si>
    <t>Pen</t>
  </si>
  <si>
    <t>Chanthou</t>
  </si>
  <si>
    <t>27206181444035ណ</t>
  </si>
  <si>
    <t>110028105</t>
  </si>
  <si>
    <t>ងី</t>
  </si>
  <si>
    <t>ឡាឌី</t>
  </si>
  <si>
    <t>29809170903885ឃ</t>
  </si>
  <si>
    <t>ញេប</t>
  </si>
  <si>
    <t>Nheb</t>
  </si>
  <si>
    <t>Mey</t>
  </si>
  <si>
    <t>28906181449221ម</t>
  </si>
  <si>
    <t>120021010</t>
  </si>
  <si>
    <t>ចន្នី</t>
  </si>
  <si>
    <t>Lorn</t>
  </si>
  <si>
    <t>Channy</t>
  </si>
  <si>
    <t>28210160397820ថ</t>
  </si>
  <si>
    <t>051177741</t>
  </si>
  <si>
    <t>នាល</t>
  </si>
  <si>
    <t>Neal</t>
  </si>
  <si>
    <t>Phally</t>
  </si>
  <si>
    <t>098674851</t>
  </si>
  <si>
    <t>28007181483263ប</t>
  </si>
  <si>
    <t>130024658</t>
  </si>
  <si>
    <t>Teu</t>
  </si>
  <si>
    <t>Sopheap</t>
  </si>
  <si>
    <t>087991799</t>
  </si>
  <si>
    <t>29807181483450ល</t>
  </si>
  <si>
    <t>130139828</t>
  </si>
  <si>
    <t>ហ៊ឹម</t>
  </si>
  <si>
    <t>ស្រីវួច</t>
  </si>
  <si>
    <t>Hoem</t>
  </si>
  <si>
    <t>SreyVouch</t>
  </si>
  <si>
    <t>0963573837</t>
  </si>
  <si>
    <t>28204181351003ឋ</t>
  </si>
  <si>
    <t>130185556</t>
  </si>
  <si>
    <t>070516102</t>
  </si>
  <si>
    <t>2940170829525វ</t>
  </si>
  <si>
    <t>110462688</t>
  </si>
  <si>
    <t>រឿន</t>
  </si>
  <si>
    <t>ស្រីឡែន</t>
  </si>
  <si>
    <t>Roeun</t>
  </si>
  <si>
    <t>Sreylen</t>
  </si>
  <si>
    <t>0974503760</t>
  </si>
  <si>
    <t>28208160201642ញ</t>
  </si>
  <si>
    <t>110172153</t>
  </si>
  <si>
    <t>ញីវ</t>
  </si>
  <si>
    <t>Nhiv</t>
  </si>
  <si>
    <t>015552071</t>
  </si>
  <si>
    <t>28508160191443ន</t>
  </si>
  <si>
    <t>010603519</t>
  </si>
  <si>
    <t>សង</t>
  </si>
  <si>
    <t>ច្រិប</t>
  </si>
  <si>
    <t>Sang</t>
  </si>
  <si>
    <t>Chreb</t>
  </si>
  <si>
    <t>28008181631721ត</t>
  </si>
  <si>
    <t>110567904</t>
  </si>
  <si>
    <t>ច្រឹប</t>
  </si>
  <si>
    <t>Koeut</t>
  </si>
  <si>
    <t>Chroeb</t>
  </si>
  <si>
    <t>0966677770</t>
  </si>
  <si>
    <t>29305181379207ម</t>
  </si>
  <si>
    <t>130119637</t>
  </si>
  <si>
    <t>ទេព្យ</t>
  </si>
  <si>
    <t>ចាន់ណា</t>
  </si>
  <si>
    <t>Tep</t>
  </si>
  <si>
    <t>Chenna</t>
  </si>
  <si>
    <t>070861089</t>
  </si>
  <si>
    <t>28102181253667ន</t>
  </si>
  <si>
    <t>100950879</t>
  </si>
  <si>
    <t>Chhan</t>
  </si>
  <si>
    <t>0886370612</t>
  </si>
  <si>
    <t>29602150005834ឧ</t>
  </si>
  <si>
    <t>051244515</t>
  </si>
  <si>
    <t>អ៊ាម</t>
  </si>
  <si>
    <t>Eam</t>
  </si>
  <si>
    <t>Theary</t>
  </si>
  <si>
    <t>0713308062</t>
  </si>
  <si>
    <t>28710181728988ង</t>
  </si>
  <si>
    <t>130086946</t>
  </si>
  <si>
    <t>Ngeth</t>
  </si>
  <si>
    <t>0968097833</t>
  </si>
  <si>
    <t>28405181405979ហ</t>
  </si>
  <si>
    <t>130147258</t>
  </si>
  <si>
    <t>ង៉ា</t>
  </si>
  <si>
    <t>Phan</t>
  </si>
  <si>
    <t>Nga</t>
  </si>
  <si>
    <t>ភូមិ06 សង្កាត់04 ខេត្តព្រះសីហនុ</t>
  </si>
  <si>
    <t>19310181863895ហ</t>
  </si>
  <si>
    <t>ចិត្រា</t>
  </si>
  <si>
    <t>Sean</t>
  </si>
  <si>
    <t>Chetra</t>
  </si>
  <si>
    <t>070406782</t>
  </si>
  <si>
    <t>28205170774497ហ</t>
  </si>
  <si>
    <t>100854662</t>
  </si>
  <si>
    <t>Nget</t>
  </si>
  <si>
    <t>0967787099</t>
  </si>
  <si>
    <t>20011181888636ប</t>
  </si>
  <si>
    <t>110643612</t>
  </si>
  <si>
    <t>សុំ</t>
  </si>
  <si>
    <t>ស្រីលៀ</t>
  </si>
  <si>
    <t>Sam</t>
  </si>
  <si>
    <t>Sreylie</t>
  </si>
  <si>
    <t>19311181895260ព</t>
  </si>
  <si>
    <t>040350388</t>
  </si>
  <si>
    <t>ប៉ាត</t>
  </si>
  <si>
    <t>ថារ៉ាត់</t>
  </si>
  <si>
    <t>Pat</t>
  </si>
  <si>
    <t>Tharat</t>
  </si>
  <si>
    <t>28910160398315ភ</t>
  </si>
  <si>
    <t>130179561</t>
  </si>
  <si>
    <t>ស៊ីរ៉ាត់</t>
  </si>
  <si>
    <t>Von</t>
  </si>
  <si>
    <t>Sirath</t>
  </si>
  <si>
    <t>0882726556</t>
  </si>
  <si>
    <t>29611181899259ច</t>
  </si>
  <si>
    <t>170716258</t>
  </si>
  <si>
    <t>ប៊ូ</t>
  </si>
  <si>
    <t>វ៉ាន់ណារី</t>
  </si>
  <si>
    <t>Vannary</t>
  </si>
  <si>
    <t>099395986</t>
  </si>
  <si>
    <t>28710170919680រ</t>
  </si>
  <si>
    <t>ឡេង</t>
  </si>
  <si>
    <t>LENG</t>
  </si>
  <si>
    <t>CHINDA</t>
  </si>
  <si>
    <t>096 28 94 283</t>
  </si>
  <si>
    <t>29411160400340គ</t>
  </si>
  <si>
    <t>130102186</t>
  </si>
  <si>
    <t xml:space="preserve">ផាត </t>
  </si>
  <si>
    <t>ស្រីមុំ</t>
  </si>
  <si>
    <t>SREYMOM</t>
  </si>
  <si>
    <t>098 510211</t>
  </si>
  <si>
    <t>18310160398022ឋ</t>
  </si>
  <si>
    <t>សុភ័ក្ត</t>
  </si>
  <si>
    <t>Chi</t>
  </si>
  <si>
    <t>Sopheak</t>
  </si>
  <si>
    <t>093567696</t>
  </si>
  <si>
    <t>28612171021019ឈ</t>
  </si>
  <si>
    <t>130181848</t>
  </si>
  <si>
    <t>សំណាង</t>
  </si>
  <si>
    <t>Sok</t>
  </si>
  <si>
    <t>Samnang</t>
  </si>
  <si>
    <t>016974832</t>
  </si>
  <si>
    <t>29009160323600ឈ</t>
  </si>
  <si>
    <t>050713556</t>
  </si>
  <si>
    <t>ដូត</t>
  </si>
  <si>
    <t>Dot</t>
  </si>
  <si>
    <t>Mao</t>
  </si>
  <si>
    <t>28712181931546ល</t>
  </si>
  <si>
    <t>110269788</t>
  </si>
  <si>
    <t>ទួន</t>
  </si>
  <si>
    <t>សាម៉ុត</t>
  </si>
  <si>
    <t>Tuon</t>
  </si>
  <si>
    <t>Samut</t>
  </si>
  <si>
    <t>29802170617428ម</t>
  </si>
  <si>
    <t>030663234</t>
  </si>
  <si>
    <t>ចាន់នី</t>
  </si>
  <si>
    <t>CHANNY</t>
  </si>
  <si>
    <t>097 64 30 604</t>
  </si>
  <si>
    <t>29110160389808ភ</t>
  </si>
  <si>
    <t>ឆឹង</t>
  </si>
  <si>
    <t>រ៉ាយូ</t>
  </si>
  <si>
    <t>CHHOENG</t>
  </si>
  <si>
    <t>RAYOU</t>
  </si>
  <si>
    <t>015805311</t>
  </si>
  <si>
    <t>ភូមិ 03 សងា្កត់ 01 ក្រុងព្រះសីហនុ ខេត្តព្រះសីហនុ</t>
  </si>
  <si>
    <t>19501191958007ភ</t>
  </si>
  <si>
    <t>040349713</t>
  </si>
  <si>
    <t>ឡុច</t>
  </si>
  <si>
    <t>តាប់</t>
  </si>
  <si>
    <t>0976205200</t>
  </si>
  <si>
    <t>20001191958346ថ</t>
  </si>
  <si>
    <t>110590756</t>
  </si>
  <si>
    <t>សូរិយា</t>
  </si>
  <si>
    <t>SORIYA</t>
  </si>
  <si>
    <t>060938722</t>
  </si>
  <si>
    <t>ភុមិ 05 សងា្កត់ 04 ក្រុងព្រះសីហនុ ខេត្តព្រះសីហនុ</t>
  </si>
  <si>
    <t>2840119195376ល</t>
  </si>
  <si>
    <t>100897277</t>
  </si>
  <si>
    <t>ភក្ត័</t>
  </si>
  <si>
    <t>PHEAK</t>
  </si>
  <si>
    <t>0884219392</t>
  </si>
  <si>
    <t>28411170983786អ</t>
  </si>
  <si>
    <t>051177773</t>
  </si>
  <si>
    <t>យីម</t>
  </si>
  <si>
    <t>ថេត</t>
  </si>
  <si>
    <t>YIM</t>
  </si>
  <si>
    <t>THET</t>
  </si>
  <si>
    <t>0971521633</t>
  </si>
  <si>
    <t>29710160380216ឍ</t>
  </si>
  <si>
    <t>130197219</t>
  </si>
  <si>
    <t>លីដា</t>
  </si>
  <si>
    <t>LEDA</t>
  </si>
  <si>
    <t>0977672393</t>
  </si>
  <si>
    <t>ភូមិ 03 សង្កាត់​ 01 ក្រុងព្រះសីហនុ ខេត្តព្រះសីហនុ</t>
  </si>
  <si>
    <t>28601191964651រ</t>
  </si>
  <si>
    <t>130059363</t>
  </si>
  <si>
    <t>យាន</t>
  </si>
  <si>
    <t>ឡាយ</t>
  </si>
  <si>
    <t>Yean</t>
  </si>
  <si>
    <t>Lay</t>
  </si>
  <si>
    <t>016346638</t>
  </si>
  <si>
    <t>ភុមិ 01 សងា្កត់ 01 ក្រុងព្រះសីហនុ ខេត្តព្រះសីហនុ</t>
  </si>
  <si>
    <t>28601191974805វ</t>
  </si>
  <si>
    <t>110270539</t>
  </si>
  <si>
    <t>ឆាង</t>
  </si>
  <si>
    <t>សារិទ្ធ</t>
  </si>
  <si>
    <t>Chhang</t>
  </si>
  <si>
    <t>Sarith</t>
  </si>
  <si>
    <t>0975099061</t>
  </si>
  <si>
    <t>29708160209775ហ</t>
  </si>
  <si>
    <t>160307332</t>
  </si>
  <si>
    <t>ជួន</t>
  </si>
  <si>
    <t>ឡាល័យ</t>
  </si>
  <si>
    <t>Chuon</t>
  </si>
  <si>
    <t>Laley</t>
  </si>
  <si>
    <t>0979635781</t>
  </si>
  <si>
    <t>ភុមិ 02 សងា្កត់ 01 ក្រុងព្រះសីហនុ ខេត្តព្រះសីហនុ</t>
  </si>
  <si>
    <t>28101191976917ស</t>
  </si>
  <si>
    <t>130049531</t>
  </si>
  <si>
    <t>Kong</t>
  </si>
  <si>
    <t>Thavy</t>
  </si>
  <si>
    <t>0963546383</t>
  </si>
  <si>
    <t>សស្សិ</t>
  </si>
  <si>
    <t>ភុមិ 03 0សងា្កត់ 02 ក្រុងព្រះសីហនុ ខេត្តព្រះសីហនុ</t>
  </si>
  <si>
    <t>29101181220302អ</t>
  </si>
  <si>
    <t>051164117</t>
  </si>
  <si>
    <t>ចន</t>
  </si>
  <si>
    <t>Chorn</t>
  </si>
  <si>
    <t>SreyTuch</t>
  </si>
  <si>
    <t>0882249901</t>
  </si>
  <si>
    <t>ភុមិ 05 0សងា្កត់ 04 ក្រុងព្រះសីហនុ ខេត្តព្រះសីហនុ</t>
  </si>
  <si>
    <t>29310160390319ណ</t>
  </si>
  <si>
    <t>130144534</t>
  </si>
  <si>
    <t>ឃឹម</t>
  </si>
  <si>
    <t>KHIM</t>
  </si>
  <si>
    <t>គា្មន</t>
  </si>
  <si>
    <t>ភុមិ 03សងា្កត់ 01 ក្រុងព្រះសីហនុ ខេត្តព្រះសីហនុ</t>
  </si>
  <si>
    <t>29202191981927ស</t>
  </si>
  <si>
    <t>110370615(01)</t>
  </si>
  <si>
    <t>លេង</t>
  </si>
  <si>
    <t>0882175573</t>
  </si>
  <si>
    <t>ភុមិ 05សងា្កត់ 04 ក្រុងព្រះសីហនុ ខេត្តព្រះសីហនុ</t>
  </si>
  <si>
    <t>29810160396134ប</t>
  </si>
  <si>
    <t>110534049</t>
  </si>
  <si>
    <t>ញ៉េប</t>
  </si>
  <si>
    <t>Nhep</t>
  </si>
  <si>
    <t>កំពត</t>
  </si>
  <si>
    <t>គ្នាន</t>
  </si>
  <si>
    <t>292110181726336ធ</t>
  </si>
  <si>
    <t>110522232</t>
  </si>
  <si>
    <t>ប្រឹក</t>
  </si>
  <si>
    <t>ស្រីលាក់</t>
  </si>
  <si>
    <t>Chroek</t>
  </si>
  <si>
    <t>SreyLeak</t>
  </si>
  <si>
    <t>0887722600</t>
  </si>
  <si>
    <t>28211160401486ឋ</t>
  </si>
  <si>
    <t>110445712</t>
  </si>
  <si>
    <t>គ្រឿន</t>
  </si>
  <si>
    <t>San</t>
  </si>
  <si>
    <t>Kroeurn</t>
  </si>
  <si>
    <t>28811160401245ដ</t>
  </si>
  <si>
    <t>110541426</t>
  </si>
  <si>
    <t>ទន់</t>
  </si>
  <si>
    <t>ចន្ដន</t>
  </si>
  <si>
    <t>Torn</t>
  </si>
  <si>
    <t>ChanTorn</t>
  </si>
  <si>
    <t>0716966399</t>
  </si>
  <si>
    <t>28811160408952ព</t>
  </si>
  <si>
    <t>130211189</t>
  </si>
  <si>
    <t>សេងហុង</t>
  </si>
  <si>
    <t>SengHong</t>
  </si>
  <si>
    <t>ព្រះសីហនុ</t>
  </si>
  <si>
    <t>28803170678206យ</t>
  </si>
  <si>
    <t>110287491</t>
  </si>
  <si>
    <t>ជីវ</t>
  </si>
  <si>
    <t>Chiv</t>
  </si>
  <si>
    <t>SokHom</t>
  </si>
  <si>
    <t>010648952</t>
  </si>
  <si>
    <t>28310160387285ផ</t>
  </si>
  <si>
    <t>061219254</t>
  </si>
  <si>
    <t>អ៊ាង</t>
  </si>
  <si>
    <t>ស្ដើង</t>
  </si>
  <si>
    <t>Eang</t>
  </si>
  <si>
    <t>Sdoeung</t>
  </si>
  <si>
    <t>ព្រៃវែង</t>
  </si>
  <si>
    <t>28002191986091ភ</t>
  </si>
  <si>
    <t>051164088</t>
  </si>
  <si>
    <t>ញាន</t>
  </si>
  <si>
    <t>Nhean</t>
  </si>
  <si>
    <t>TheaRy</t>
  </si>
  <si>
    <t>0973148999</t>
  </si>
  <si>
    <t>17210160391417ដ</t>
  </si>
  <si>
    <t>130011542</t>
  </si>
  <si>
    <t>ប៉ោ</t>
  </si>
  <si>
    <t>ចន្ទ័តារ៉ា</t>
  </si>
  <si>
    <t>Por</t>
  </si>
  <si>
    <t>ChanDara</t>
  </si>
  <si>
    <t>Machine on Line</t>
  </si>
  <si>
    <t>016595902</t>
  </si>
  <si>
    <t>20006181436267ឍ</t>
  </si>
  <si>
    <t>110559734</t>
  </si>
  <si>
    <t>ឈាន</t>
  </si>
  <si>
    <t>សៅទី</t>
  </si>
  <si>
    <t>Chhean</t>
  </si>
  <si>
    <t>SaoTy</t>
  </si>
  <si>
    <t>កំពង</t>
  </si>
  <si>
    <t>093787047</t>
  </si>
  <si>
    <t>19402191991626ល</t>
  </si>
  <si>
    <t>110448516</t>
  </si>
  <si>
    <t>លួន</t>
  </si>
  <si>
    <t>Loun</t>
  </si>
  <si>
    <t>0964303819</t>
  </si>
  <si>
    <t>29910181730495រ</t>
  </si>
  <si>
    <t>101360918</t>
  </si>
  <si>
    <t>សួន</t>
  </si>
  <si>
    <t>សៅលីន</t>
  </si>
  <si>
    <t>SaoLin</t>
  </si>
  <si>
    <t>តាកែវ</t>
  </si>
  <si>
    <t>0315928887</t>
  </si>
  <si>
    <t>19402191993928ខ</t>
  </si>
  <si>
    <t>110465138</t>
  </si>
  <si>
    <t>មេន</t>
  </si>
  <si>
    <t>រ៉ា</t>
  </si>
  <si>
    <t>0962668760</t>
  </si>
  <si>
    <t>18003170677660ន</t>
  </si>
  <si>
    <t>130156636</t>
  </si>
  <si>
    <t>ភឿន</t>
  </si>
  <si>
    <t>Phoeun</t>
  </si>
  <si>
    <t>069369054</t>
  </si>
  <si>
    <t>29009160316845ផ</t>
  </si>
  <si>
    <t>100585439</t>
  </si>
  <si>
    <t>គីម</t>
  </si>
  <si>
    <t>ChanNy</t>
  </si>
  <si>
    <t>បន្ទក</t>
  </si>
  <si>
    <t>28210160390936ទ</t>
  </si>
  <si>
    <t>130155056</t>
  </si>
  <si>
    <t>ស៊ុំ</t>
  </si>
  <si>
    <t>មុនីសីលា</t>
  </si>
  <si>
    <t>MonySeila</t>
  </si>
  <si>
    <t>0967602141</t>
  </si>
  <si>
    <t>29410160389433ប</t>
  </si>
  <si>
    <t>110467620</t>
  </si>
  <si>
    <t>0962209401</t>
  </si>
  <si>
    <t>29510160396234ធ</t>
  </si>
  <si>
    <t>110614712</t>
  </si>
  <si>
    <t>សុខទី</t>
  </si>
  <si>
    <t>SokNy</t>
  </si>
  <si>
    <t>097804511</t>
  </si>
  <si>
    <t>10002191997499វ</t>
  </si>
  <si>
    <t>140148053</t>
  </si>
  <si>
    <t>អ៊ូខុង</t>
  </si>
  <si>
    <t>OunKhong</t>
  </si>
  <si>
    <t>កោះកុង</t>
  </si>
  <si>
    <t>093292023</t>
  </si>
  <si>
    <t>28810160397851រ</t>
  </si>
  <si>
    <t>110312518</t>
  </si>
  <si>
    <t>Meng</t>
  </si>
  <si>
    <t>Dany</t>
  </si>
  <si>
    <t>0868993262</t>
  </si>
  <si>
    <t>28609160246447រ</t>
  </si>
  <si>
    <t>051177674</t>
  </si>
  <si>
    <t>ថុង</t>
  </si>
  <si>
    <t>ឈុនលី</t>
  </si>
  <si>
    <t>Phon</t>
  </si>
  <si>
    <t>Chhonly</t>
  </si>
  <si>
    <t>090230122</t>
  </si>
  <si>
    <t>29010170919940ន</t>
  </si>
  <si>
    <t>021218617</t>
  </si>
  <si>
    <t>ប៉ោង</t>
  </si>
  <si>
    <t>មករា</t>
  </si>
  <si>
    <t>CHHON LY</t>
  </si>
  <si>
    <t>កណ្តាល</t>
  </si>
  <si>
    <t>0965864161</t>
  </si>
  <si>
    <t>18802181237632ន</t>
  </si>
  <si>
    <t>030484971</t>
  </si>
  <si>
    <t>សី</t>
  </si>
  <si>
    <t>សារុន</t>
  </si>
  <si>
    <t>Sey</t>
  </si>
  <si>
    <t>Sarun</t>
  </si>
  <si>
    <t>កំពង់ស្ពឺ</t>
  </si>
  <si>
    <t>086406645</t>
  </si>
  <si>
    <t>29111160399992ស</t>
  </si>
  <si>
    <t>130181656</t>
  </si>
  <si>
    <t>ម៉ា</t>
  </si>
  <si>
    <t>KunThea</t>
  </si>
  <si>
    <t>Apron B3</t>
  </si>
  <si>
    <t>ភុមិ 01សងា្កត់ 01 ក្រុងព្រះសីហនុ ខេត្តព្រះសីហនុ</t>
  </si>
  <si>
    <t>28910160342143ឋ</t>
  </si>
  <si>
    <t>061965882</t>
  </si>
  <si>
    <t>ស៊ា</t>
  </si>
  <si>
    <t>សៀកឡាយ</t>
  </si>
  <si>
    <t>SiekLay</t>
  </si>
  <si>
    <t>កំពង់ចាម</t>
  </si>
  <si>
    <t>098386167</t>
  </si>
  <si>
    <t>29202181239551ទ</t>
  </si>
  <si>
    <t>020882050</t>
  </si>
  <si>
    <t>Phol</t>
  </si>
  <si>
    <t>SoPhea</t>
  </si>
  <si>
    <t>017380940</t>
  </si>
  <si>
    <t>27711160408663ន</t>
  </si>
  <si>
    <t>អ៉ីង</t>
  </si>
  <si>
    <t>ង៉ន</t>
  </si>
  <si>
    <t>Ing</t>
  </si>
  <si>
    <t>Ngorn</t>
  </si>
  <si>
    <t>28604192047313ទ</t>
  </si>
  <si>
    <t>100971810</t>
  </si>
  <si>
    <t>អ៊ូច</t>
  </si>
  <si>
    <t>ស្រីមឿន</t>
  </si>
  <si>
    <t>Ouch</t>
  </si>
  <si>
    <t>SreyMoeurn</t>
  </si>
  <si>
    <t>28504192046827យ</t>
  </si>
  <si>
    <t>250208252</t>
  </si>
  <si>
    <t>សាមី</t>
  </si>
  <si>
    <t>Keo</t>
  </si>
  <si>
    <t>Sami</t>
  </si>
  <si>
    <t>29209160276548វ</t>
  </si>
  <si>
    <t>051430597</t>
  </si>
  <si>
    <t>សុខម៉ៃ</t>
  </si>
  <si>
    <t>SokMai</t>
  </si>
  <si>
    <t>0978677261</t>
  </si>
  <si>
    <t>28604192038171ន</t>
  </si>
  <si>
    <t>051559266</t>
  </si>
  <si>
    <t>ឃាង</t>
  </si>
  <si>
    <t>ធារិត</t>
  </si>
  <si>
    <t>Kheang</t>
  </si>
  <si>
    <t>Thearit</t>
  </si>
  <si>
    <t>0979368431</t>
  </si>
  <si>
    <t>29804192041803ធ</t>
  </si>
  <si>
    <t>120039778</t>
  </si>
  <si>
    <t>ឡោ</t>
  </si>
  <si>
    <t>អេត</t>
  </si>
  <si>
    <t>Lor</t>
  </si>
  <si>
    <t>Et</t>
  </si>
  <si>
    <t>កែប</t>
  </si>
  <si>
    <t>087439769</t>
  </si>
  <si>
    <t>28504192034581ន</t>
  </si>
  <si>
    <t>110244874</t>
  </si>
  <si>
    <t>គុយ</t>
  </si>
  <si>
    <t>ខ្លី</t>
  </si>
  <si>
    <t>29904192041764យ</t>
  </si>
  <si>
    <t>110552705</t>
  </si>
  <si>
    <t xml:space="preserve">ផល </t>
  </si>
  <si>
    <t>ស្រីផន</t>
  </si>
  <si>
    <t xml:space="preserve">Phal </t>
  </si>
  <si>
    <t>SreyPhorn</t>
  </si>
  <si>
    <t>0964529381</t>
  </si>
  <si>
    <t>28703170680110ឋ</t>
  </si>
  <si>
    <t>030603187</t>
  </si>
  <si>
    <t>Channeang</t>
  </si>
  <si>
    <t>015394878</t>
  </si>
  <si>
    <t>18504192039137ប</t>
  </si>
  <si>
    <t>110277816</t>
  </si>
  <si>
    <t>ព្រំ</t>
  </si>
  <si>
    <t>បឿន</t>
  </si>
  <si>
    <t>28702170618203ណ</t>
  </si>
  <si>
    <t>020598016</t>
  </si>
  <si>
    <t>Pho</t>
  </si>
  <si>
    <t>SorPhea</t>
  </si>
  <si>
    <t>016513358</t>
  </si>
  <si>
    <t>18204192037818ផ</t>
  </si>
  <si>
    <t>130024660</t>
  </si>
  <si>
    <t>ទឺ</t>
  </si>
  <si>
    <t>ធារ៉ា</t>
  </si>
  <si>
    <t>Theara</t>
  </si>
  <si>
    <t>016731898</t>
  </si>
  <si>
    <t>29602181242163ណ</t>
  </si>
  <si>
    <t>050808897</t>
  </si>
  <si>
    <t>ឈន់</t>
  </si>
  <si>
    <t>ស៊ាងអូន</t>
  </si>
  <si>
    <t>Chhorn</t>
  </si>
  <si>
    <t>SeangOun</t>
  </si>
  <si>
    <t>0966061598</t>
  </si>
  <si>
    <t>29701181207097ផ</t>
  </si>
  <si>
    <t>250125775</t>
  </si>
  <si>
    <t>Sun</t>
  </si>
  <si>
    <t>Savy</t>
  </si>
  <si>
    <t>28704192038118ផ</t>
  </si>
  <si>
    <t>101308417</t>
  </si>
  <si>
    <t>កង</t>
  </si>
  <si>
    <t>ណូន</t>
  </si>
  <si>
    <t>Non</t>
  </si>
  <si>
    <t>20104192035076ជ</t>
  </si>
  <si>
    <t>090877104</t>
  </si>
  <si>
    <t>ស្រីណែត</t>
  </si>
  <si>
    <t>SreyNet</t>
  </si>
  <si>
    <t>ស្វាយរៀង</t>
  </si>
  <si>
    <t>070289197</t>
  </si>
  <si>
    <t>19604192034507ធ</t>
  </si>
  <si>
    <t>អឹម</t>
  </si>
  <si>
    <t>ថេ</t>
  </si>
  <si>
    <t>19604192037964វ</t>
  </si>
  <si>
    <t>100748957</t>
  </si>
  <si>
    <t>0889443750</t>
  </si>
  <si>
    <t>2650160078261ឍ</t>
  </si>
  <si>
    <t>061818995</t>
  </si>
  <si>
    <t>ដាន់</t>
  </si>
  <si>
    <t>Dan</t>
  </si>
  <si>
    <t>Hay</t>
  </si>
  <si>
    <t>0962258419</t>
  </si>
  <si>
    <t>28808181632732រ</t>
  </si>
  <si>
    <t>101133347</t>
  </si>
  <si>
    <t>ឈូក</t>
  </si>
  <si>
    <t>វន្ធី</t>
  </si>
  <si>
    <t>Chhouk</t>
  </si>
  <si>
    <t>Vanthy</t>
  </si>
  <si>
    <t>0974964396</t>
  </si>
  <si>
    <t>28704192035124ត</t>
  </si>
  <si>
    <t>250172855</t>
  </si>
  <si>
    <t>អ៉ី</t>
  </si>
  <si>
    <t>Y</t>
  </si>
  <si>
    <t>0884052578</t>
  </si>
  <si>
    <t>28504192034503ឍ</t>
  </si>
  <si>
    <t>110327919</t>
  </si>
  <si>
    <t>រិទ្ធ</t>
  </si>
  <si>
    <t>គឹមស៊ីណា</t>
  </si>
  <si>
    <t>Rith</t>
  </si>
  <si>
    <t>KimSina</t>
  </si>
  <si>
    <t>27804192029024ទ</t>
  </si>
  <si>
    <t>160479796</t>
  </si>
  <si>
    <t>សឿម</t>
  </si>
  <si>
    <t>Soeurm</t>
  </si>
  <si>
    <t>SreyMom</t>
  </si>
  <si>
    <t>0886688840</t>
  </si>
  <si>
    <t>19505192051057ទ</t>
  </si>
  <si>
    <t>110468594</t>
  </si>
  <si>
    <t>សៅ</t>
  </si>
  <si>
    <t>093833035</t>
  </si>
  <si>
    <t>20001191963042ច</t>
  </si>
  <si>
    <t>051431156</t>
  </si>
  <si>
    <t>ឆេរ</t>
  </si>
  <si>
    <t>ភ័ស្ដ</t>
  </si>
  <si>
    <t>Chheor</t>
  </si>
  <si>
    <t>Phors</t>
  </si>
  <si>
    <t>0885300834</t>
  </si>
  <si>
    <t>27005192057220ញ</t>
  </si>
  <si>
    <t>110576054</t>
  </si>
  <si>
    <t>Chep</t>
  </si>
  <si>
    <t>0963359792</t>
  </si>
  <si>
    <t>28305192069275រ</t>
  </si>
  <si>
    <t>100854690</t>
  </si>
  <si>
    <t>សែម</t>
  </si>
  <si>
    <t>សាវេត</t>
  </si>
  <si>
    <t>Sem</t>
  </si>
  <si>
    <t>Savet</t>
  </si>
  <si>
    <t>0978334228</t>
  </si>
  <si>
    <t>29404192048946ស</t>
  </si>
  <si>
    <t>110570797</t>
  </si>
  <si>
    <t>ញ៉ុន</t>
  </si>
  <si>
    <t>ចាន់ធី</t>
  </si>
  <si>
    <t>Nhon</t>
  </si>
  <si>
    <t>28812181925323ព</t>
  </si>
  <si>
    <t>101099389</t>
  </si>
  <si>
    <t>ខាន់</t>
  </si>
  <si>
    <t>កឿន</t>
  </si>
  <si>
    <t>Koeun</t>
  </si>
  <si>
    <t>28505192052946យ</t>
  </si>
  <si>
    <t>100854813</t>
  </si>
  <si>
    <t xml:space="preserve">តឹម </t>
  </si>
  <si>
    <t>ភាង</t>
  </si>
  <si>
    <t>Toeb</t>
  </si>
  <si>
    <t>Pheang</t>
  </si>
  <si>
    <t>0888338382</t>
  </si>
  <si>
    <t>29010160349729ប</t>
  </si>
  <si>
    <t>ចាន់ម៉ូរីកា</t>
  </si>
  <si>
    <t>28605192053185ព</t>
  </si>
  <si>
    <t>110273745</t>
  </si>
  <si>
    <t>ឌឿ</t>
  </si>
  <si>
    <t>Doeur</t>
  </si>
  <si>
    <t>Sokhan</t>
  </si>
  <si>
    <t>087735984</t>
  </si>
  <si>
    <t>101133367</t>
  </si>
  <si>
    <t>អៀង</t>
  </si>
  <si>
    <t>សាទុំ</t>
  </si>
  <si>
    <t>Satom</t>
  </si>
  <si>
    <t>0968994973</t>
  </si>
  <si>
    <t>29904170719903វ</t>
  </si>
  <si>
    <t>100900333</t>
  </si>
  <si>
    <t>ស្រីនូ</t>
  </si>
  <si>
    <t>SreyNo</t>
  </si>
  <si>
    <t>0976723990</t>
  </si>
  <si>
    <t>18410160384867ម</t>
  </si>
  <si>
    <t>130193638</t>
  </si>
  <si>
    <t>ញិល</t>
  </si>
  <si>
    <t>សុនា</t>
  </si>
  <si>
    <t>Nhil</t>
  </si>
  <si>
    <t>Sonea</t>
  </si>
  <si>
    <t>កំពុងចាម</t>
  </si>
  <si>
    <t>0977164410</t>
  </si>
  <si>
    <t>29010170920852ឍ</t>
  </si>
  <si>
    <t>110570799</t>
  </si>
  <si>
    <t>លាត</t>
  </si>
  <si>
    <t>Leat</t>
  </si>
  <si>
    <t>SreyOun</t>
  </si>
  <si>
    <t>28512160537532ទ</t>
  </si>
  <si>
    <t>070283316</t>
  </si>
  <si>
    <t>Pov</t>
  </si>
  <si>
    <t>0966992673</t>
  </si>
  <si>
    <t>18704192048917វ</t>
  </si>
  <si>
    <t>100570800</t>
  </si>
  <si>
    <t>រាំង</t>
  </si>
  <si>
    <t>0964498335</t>
  </si>
  <si>
    <t>28305192070547ប</t>
  </si>
  <si>
    <t>110289450</t>
  </si>
  <si>
    <t>វេត</t>
  </si>
  <si>
    <t>Prak</t>
  </si>
  <si>
    <t>Vet</t>
  </si>
  <si>
    <t>18505192050485ប</t>
  </si>
  <si>
    <t>110313265</t>
  </si>
  <si>
    <t>066596162</t>
  </si>
  <si>
    <t>18301160037332ច</t>
  </si>
  <si>
    <t>030644148</t>
  </si>
  <si>
    <t>Yem</t>
  </si>
  <si>
    <t>0978336444</t>
  </si>
  <si>
    <t>29210160384767ភ</t>
  </si>
  <si>
    <t>130223567</t>
  </si>
  <si>
    <t>ទិត</t>
  </si>
  <si>
    <t>សាវឿន</t>
  </si>
  <si>
    <t>Tet</t>
  </si>
  <si>
    <t>Savoeun</t>
  </si>
  <si>
    <t>0965893949</t>
  </si>
  <si>
    <t>28001181166128ឌ</t>
  </si>
  <si>
    <t>050802893</t>
  </si>
  <si>
    <t>ផ្លេក</t>
  </si>
  <si>
    <t xml:space="preserve">Phlek </t>
  </si>
  <si>
    <t>Chreob</t>
  </si>
  <si>
    <t>0966392144</t>
  </si>
  <si>
    <t>18710170931674ព</t>
  </si>
  <si>
    <t>130173263</t>
  </si>
  <si>
    <t>សុភ្ឌ័</t>
  </si>
  <si>
    <t>NHIL</t>
  </si>
  <si>
    <t>SOPOIN</t>
  </si>
  <si>
    <t>0719966204</t>
  </si>
  <si>
    <t>20106192085646ទ</t>
  </si>
  <si>
    <t>130221919</t>
  </si>
  <si>
    <t>សីហៈរដ្ឋ</t>
  </si>
  <si>
    <t>Syhakroth</t>
  </si>
  <si>
    <t>27306192090577យ</t>
  </si>
  <si>
    <t>150918518</t>
  </si>
  <si>
    <t>យិន</t>
  </si>
  <si>
    <t>ចិន្ដា</t>
  </si>
  <si>
    <t>Yin</t>
  </si>
  <si>
    <t>Chinda</t>
  </si>
  <si>
    <t>0966484895</t>
  </si>
  <si>
    <t>29810160392965វ</t>
  </si>
  <si>
    <t>110593820</t>
  </si>
  <si>
    <t>ឈន</t>
  </si>
  <si>
    <t>វ៉ៃ</t>
  </si>
  <si>
    <t>0882631266</t>
  </si>
  <si>
    <t>18706192089630ល</t>
  </si>
  <si>
    <t>110263494</t>
  </si>
  <si>
    <t>បូ</t>
  </si>
  <si>
    <t>សក្ដិ</t>
  </si>
  <si>
    <t>0963937554</t>
  </si>
  <si>
    <t>27710170927593ល</t>
  </si>
  <si>
    <t>130169212</t>
  </si>
  <si>
    <t>ហ៊ីង</t>
  </si>
  <si>
    <t>086630262</t>
  </si>
  <si>
    <t>28106192082214ឍ</t>
  </si>
  <si>
    <t>060338908</t>
  </si>
  <si>
    <t>ប៉ោស៊ាង</t>
  </si>
  <si>
    <t>Mov</t>
  </si>
  <si>
    <t>Porseang</t>
  </si>
  <si>
    <t>ត្បូងឃ្មុំ</t>
  </si>
  <si>
    <t>0885969958</t>
  </si>
  <si>
    <t>28006192085847ម</t>
  </si>
  <si>
    <t>101133242</t>
  </si>
  <si>
    <t>សុម៉ាលី</t>
  </si>
  <si>
    <t>Somaly</t>
  </si>
  <si>
    <t>0974289155</t>
  </si>
  <si>
    <t>28906181442998ច</t>
  </si>
  <si>
    <t>100558308</t>
  </si>
  <si>
    <t>On</t>
  </si>
  <si>
    <t>Pisey</t>
  </si>
  <si>
    <t>0968824428</t>
  </si>
  <si>
    <t>29606192081447រ</t>
  </si>
  <si>
    <t>100703223</t>
  </si>
  <si>
    <t>ឆាន</t>
  </si>
  <si>
    <t>សារេត</t>
  </si>
  <si>
    <t>0974104375</t>
  </si>
  <si>
    <t>28805170748963គ</t>
  </si>
  <si>
    <t>តុលា</t>
  </si>
  <si>
    <t>Tuy</t>
  </si>
  <si>
    <t>Tola</t>
  </si>
  <si>
    <t>0964912717</t>
  </si>
  <si>
    <t>29311160401594ឍ</t>
  </si>
  <si>
    <t>110408648</t>
  </si>
  <si>
    <t>015471530</t>
  </si>
  <si>
    <t>29706192112037ទ</t>
  </si>
  <si>
    <t>100703372</t>
  </si>
  <si>
    <t>ស្រីណៃ</t>
  </si>
  <si>
    <t>Oun</t>
  </si>
  <si>
    <t>Sreynay</t>
  </si>
  <si>
    <t>0888423463</t>
  </si>
  <si>
    <t>ភុមិ 04សងា្កត់ 04 ក្រុងព្រះសីហនុ ខេត្តព្រះសីហនុ</t>
  </si>
  <si>
    <t>29710160342306ឋ</t>
  </si>
  <si>
    <t>061346825</t>
  </si>
  <si>
    <t>មួន</t>
  </si>
  <si>
    <t>សុវណ្ណេត</t>
  </si>
  <si>
    <t>Moun</t>
  </si>
  <si>
    <t>Sovannet</t>
  </si>
  <si>
    <t>081352646</t>
  </si>
  <si>
    <t>130227335</t>
  </si>
  <si>
    <t>ជីវគុន</t>
  </si>
  <si>
    <t>0885154227</t>
  </si>
  <si>
    <t>17706192100491ត</t>
  </si>
  <si>
    <t>140148026</t>
  </si>
  <si>
    <t>សល់</t>
  </si>
  <si>
    <t>SALL</t>
  </si>
  <si>
    <t>Packing  Apron B</t>
  </si>
  <si>
    <t>27905170773909ក</t>
  </si>
  <si>
    <t>សះ</t>
  </si>
  <si>
    <t>So</t>
  </si>
  <si>
    <t>Sas</t>
  </si>
  <si>
    <t>0968328705</t>
  </si>
  <si>
    <t>29803170680199ហ</t>
  </si>
  <si>
    <t>130197220</t>
  </si>
  <si>
    <t>sok</t>
  </si>
  <si>
    <t>dani</t>
  </si>
  <si>
    <t>0888101454</t>
  </si>
  <si>
    <t>18306192100494ត</t>
  </si>
  <si>
    <t>030748141</t>
  </si>
  <si>
    <t>ឡុង</t>
  </si>
  <si>
    <t>សុគុន្ធ</t>
  </si>
  <si>
    <t>010950996</t>
  </si>
  <si>
    <t>28610160385003ដ</t>
  </si>
  <si>
    <t>051352733</t>
  </si>
  <si>
    <t>ឡៃសេង</t>
  </si>
  <si>
    <t>Chhon</t>
  </si>
  <si>
    <t>Layseng</t>
  </si>
  <si>
    <t>0973144787</t>
  </si>
  <si>
    <t>17706192099219ហ</t>
  </si>
  <si>
    <t>061954540</t>
  </si>
  <si>
    <t>ភារុណ</t>
  </si>
  <si>
    <t>28208170869540ល</t>
  </si>
  <si>
    <t>110165349</t>
  </si>
  <si>
    <t>ញ៉</t>
  </si>
  <si>
    <t>ភរី</t>
  </si>
  <si>
    <t>Nhor</t>
  </si>
  <si>
    <t>Pheary</t>
  </si>
  <si>
    <t>068505309</t>
  </si>
  <si>
    <t>29606170787816គ</t>
  </si>
  <si>
    <t>051029890</t>
  </si>
  <si>
    <t>ទ្រី</t>
  </si>
  <si>
    <t>ស៊ាកម៉េង</t>
  </si>
  <si>
    <t>Try</t>
  </si>
  <si>
    <t>SeakMeng</t>
  </si>
  <si>
    <t>015329335</t>
  </si>
  <si>
    <t>26707192130828ភ</t>
  </si>
  <si>
    <t>170735637</t>
  </si>
  <si>
    <t>សេងគីម</t>
  </si>
  <si>
    <t>Hung</t>
  </si>
  <si>
    <t>Sengkim</t>
  </si>
  <si>
    <t>បាត់ដំបង</t>
  </si>
  <si>
    <t>0889972216</t>
  </si>
  <si>
    <t>19811160402969ម</t>
  </si>
  <si>
    <t>070312640</t>
  </si>
  <si>
    <t>ក្រចេះ​</t>
  </si>
  <si>
    <t>016880435</t>
  </si>
  <si>
    <t>19907192119708ឡ</t>
  </si>
  <si>
    <t>051208871</t>
  </si>
  <si>
    <t>ប៊ន</t>
  </si>
  <si>
    <t>រីករាយ</t>
  </si>
  <si>
    <t>0963353802</t>
  </si>
  <si>
    <t>18708181631814ម</t>
  </si>
  <si>
    <t>110487060</t>
  </si>
  <si>
    <t>អ៊ាល</t>
  </si>
  <si>
    <t>ត្រាន់</t>
  </si>
  <si>
    <t>Eal</t>
  </si>
  <si>
    <t>Tran</t>
  </si>
  <si>
    <t>0973075463</t>
  </si>
  <si>
    <t>19307192116143ត</t>
  </si>
  <si>
    <t>130127691</t>
  </si>
  <si>
    <t>បូរិន</t>
  </si>
  <si>
    <t>Borin</t>
  </si>
  <si>
    <t>0969448996</t>
  </si>
  <si>
    <t>28403170678046ភ</t>
  </si>
  <si>
    <t>110241113</t>
  </si>
  <si>
    <t>ខឿន</t>
  </si>
  <si>
    <t>Khann</t>
  </si>
  <si>
    <t>27307192135072ថ</t>
  </si>
  <si>
    <t>110128971</t>
  </si>
  <si>
    <t>0963354519</t>
  </si>
  <si>
    <t>ភុមិ 02សងា្កត់ 01 ក្រុងព្រះសីហនុ ខេត្តព្រះសីហនុ</t>
  </si>
  <si>
    <t>29110170917888ស</t>
  </si>
  <si>
    <t>110627070</t>
  </si>
  <si>
    <t>នេង</t>
  </si>
  <si>
    <t>វិច្ឆិកា</t>
  </si>
  <si>
    <t>Neng</t>
  </si>
  <si>
    <t>Vicheka</t>
  </si>
  <si>
    <t>086638866</t>
  </si>
  <si>
    <t>29607192130562ប</t>
  </si>
  <si>
    <t>150757333</t>
  </si>
  <si>
    <t>ធា</t>
  </si>
  <si>
    <t>ស្រីវេត</t>
  </si>
  <si>
    <t>Thea</t>
  </si>
  <si>
    <t>Sreyvet</t>
  </si>
  <si>
    <t>កំពងធំ</t>
  </si>
  <si>
    <t>070785345</t>
  </si>
  <si>
    <t>29510160397441ន</t>
  </si>
  <si>
    <t>110443195</t>
  </si>
  <si>
    <t>តែម</t>
  </si>
  <si>
    <t>ចរិយា</t>
  </si>
  <si>
    <t>Tem</t>
  </si>
  <si>
    <t>chakriya</t>
  </si>
  <si>
    <t>0963537465</t>
  </si>
  <si>
    <t>29310160397417ប</t>
  </si>
  <si>
    <t>វ៉ុន</t>
  </si>
  <si>
    <t>27807192144856ឡ</t>
  </si>
  <si>
    <t>110454994</t>
  </si>
  <si>
    <t>Kiev</t>
  </si>
  <si>
    <t>Sinoeun</t>
  </si>
  <si>
    <t>28603170680499ហ</t>
  </si>
  <si>
    <t>130097850</t>
  </si>
  <si>
    <t>ផល្លា</t>
  </si>
  <si>
    <t>Phalla</t>
  </si>
  <si>
    <t>081687783</t>
  </si>
  <si>
    <t>28907192146025ភ</t>
  </si>
  <si>
    <t>060939312</t>
  </si>
  <si>
    <t>អិន</t>
  </si>
  <si>
    <t>In</t>
  </si>
  <si>
    <t>កំពងចាម</t>
  </si>
  <si>
    <t>0978109129</t>
  </si>
  <si>
    <t>28507192141747យ</t>
  </si>
  <si>
    <t>060838652</t>
  </si>
  <si>
    <t>អឿន</t>
  </si>
  <si>
    <t>ឡន</t>
  </si>
  <si>
    <t>Oeurn</t>
  </si>
  <si>
    <t>Lan</t>
  </si>
  <si>
    <t>010970544</t>
  </si>
  <si>
    <t>29407160166940ព</t>
  </si>
  <si>
    <t>051348702</t>
  </si>
  <si>
    <t>កប</t>
  </si>
  <si>
    <t>ចន្ទ្រា</t>
  </si>
  <si>
    <t>Korb</t>
  </si>
  <si>
    <t>Chantrea</t>
  </si>
  <si>
    <t>0965995295</t>
  </si>
  <si>
    <t>19907192149809ឃ</t>
  </si>
  <si>
    <t>051599515</t>
  </si>
  <si>
    <t>វិន</t>
  </si>
  <si>
    <t>ម៉េងស៊ាង</t>
  </si>
  <si>
    <t>Ven</t>
  </si>
  <si>
    <t>MengSeang</t>
  </si>
  <si>
    <t>0962791460</t>
  </si>
  <si>
    <t>29506160122082ឋ</t>
  </si>
  <si>
    <t>051164163</t>
  </si>
  <si>
    <t>ពក</t>
  </si>
  <si>
    <t>ប៉ោយ</t>
  </si>
  <si>
    <t>Pork</t>
  </si>
  <si>
    <t>Poy</t>
  </si>
  <si>
    <t>0713509551</t>
  </si>
  <si>
    <t>18407192156145ផ</t>
  </si>
  <si>
    <t>031017537</t>
  </si>
  <si>
    <t>Chum</t>
  </si>
  <si>
    <t>SaRoeurn</t>
  </si>
  <si>
    <t>087388732</t>
  </si>
  <si>
    <t>19107192153991យ</t>
  </si>
  <si>
    <t>051349534</t>
  </si>
  <si>
    <t>ហាន</t>
  </si>
  <si>
    <t>ណាក់</t>
  </si>
  <si>
    <t>20010181805148ឆ</t>
  </si>
  <si>
    <t>140154427</t>
  </si>
  <si>
    <t>បញ្ញា</t>
  </si>
  <si>
    <t>Saom</t>
  </si>
  <si>
    <t>Panha</t>
  </si>
  <si>
    <t>0966289275</t>
  </si>
  <si>
    <t>28410160392929ភ</t>
  </si>
  <si>
    <t>130176445</t>
  </si>
  <si>
    <t>28705170742775ស</t>
  </si>
  <si>
    <t>130211159</t>
  </si>
  <si>
    <t>ពុធ</t>
  </si>
  <si>
    <t>Put</t>
  </si>
  <si>
    <t>SreyPov</t>
  </si>
  <si>
    <t>17307192154714ន</t>
  </si>
  <si>
    <t>100932692</t>
  </si>
  <si>
    <t>Orm</t>
  </si>
  <si>
    <t>19807192154703ម</t>
  </si>
  <si>
    <t>100920668</t>
  </si>
  <si>
    <t>វ៉ិត</t>
  </si>
  <si>
    <t>សុចាន់</t>
  </si>
  <si>
    <t>SoChan</t>
  </si>
  <si>
    <t>18807192154699ង</t>
  </si>
  <si>
    <t>101274063</t>
  </si>
  <si>
    <t xml:space="preserve">PHY </t>
  </si>
  <si>
    <t>REY</t>
  </si>
  <si>
    <t>0968364504</t>
  </si>
  <si>
    <t>10107192156285ត</t>
  </si>
  <si>
    <t>250264652</t>
  </si>
  <si>
    <t>ហូន</t>
  </si>
  <si>
    <t>និសិទិ</t>
  </si>
  <si>
    <t>HUONG</t>
  </si>
  <si>
    <t>NISITH</t>
  </si>
  <si>
    <t>0713864860</t>
  </si>
  <si>
    <t>28510160389213ថ</t>
  </si>
  <si>
    <t>100573694</t>
  </si>
  <si>
    <t>ហ៊ាន</t>
  </si>
  <si>
    <t>Hean</t>
  </si>
  <si>
    <t>Chenda</t>
  </si>
  <si>
    <t>093361782</t>
  </si>
  <si>
    <t>20107192116847ថ</t>
  </si>
  <si>
    <t>110625390</t>
  </si>
  <si>
    <t>មានឹត</t>
  </si>
  <si>
    <t>MeaNit</t>
  </si>
  <si>
    <t>087374557</t>
  </si>
  <si>
    <t>29501181203228ឋ</t>
  </si>
  <si>
    <t>061489788</t>
  </si>
  <si>
    <t>SoThearRy</t>
  </si>
  <si>
    <t>29603192023316ណ</t>
  </si>
  <si>
    <t>101361873</t>
  </si>
  <si>
    <t>មាស</t>
  </si>
  <si>
    <t>Meas</t>
  </si>
  <si>
    <t>0962796241</t>
  </si>
  <si>
    <t>10104192048436ដ</t>
  </si>
  <si>
    <t>062210799</t>
  </si>
  <si>
    <t>វណ្ណះ</t>
  </si>
  <si>
    <t>វណ្ណា</t>
  </si>
  <si>
    <t>Vannak</t>
  </si>
  <si>
    <t>061232119</t>
  </si>
  <si>
    <t>27905192054901ផ</t>
  </si>
  <si>
    <t>061730612</t>
  </si>
  <si>
    <t>ខន</t>
  </si>
  <si>
    <t>khorn</t>
  </si>
  <si>
    <t>Chan Thoeurn</t>
  </si>
  <si>
    <t>0314465367</t>
  </si>
  <si>
    <t>19910181728658ក</t>
  </si>
  <si>
    <t>090727235</t>
  </si>
  <si>
    <t>សន់</t>
  </si>
  <si>
    <t>សុឧត្តម</t>
  </si>
  <si>
    <t>09773609193</t>
  </si>
  <si>
    <t>27703170676808ស</t>
  </si>
  <si>
    <t>060898176</t>
  </si>
  <si>
    <t>ភន</t>
  </si>
  <si>
    <t>Phorn</t>
  </si>
  <si>
    <t>28909181654183អ</t>
  </si>
  <si>
    <t>110361524</t>
  </si>
  <si>
    <t>ណោ</t>
  </si>
  <si>
    <t>Prum</t>
  </si>
  <si>
    <t>Nao</t>
  </si>
  <si>
    <t>069903008</t>
  </si>
  <si>
    <t>29202170609368ព</t>
  </si>
  <si>
    <t>110491390</t>
  </si>
  <si>
    <t>ឯម</t>
  </si>
  <si>
    <t>ម៉ាច</t>
  </si>
  <si>
    <t>Em</t>
  </si>
  <si>
    <t>Mach</t>
  </si>
  <si>
    <t>0968951170</t>
  </si>
  <si>
    <t>10108192160019ឆ</t>
  </si>
  <si>
    <t>13225633</t>
  </si>
  <si>
    <t>ប៊ុនហ៊ៅ</t>
  </si>
  <si>
    <t>Bunhov</t>
  </si>
  <si>
    <t>0716262397</t>
  </si>
  <si>
    <t>29507160168636ល</t>
  </si>
  <si>
    <t>150536137</t>
  </si>
  <si>
    <t>ឌុល</t>
  </si>
  <si>
    <t>ម៉ាន់</t>
  </si>
  <si>
    <t>Dol</t>
  </si>
  <si>
    <t>Mann</t>
  </si>
  <si>
    <t>0966896778</t>
  </si>
  <si>
    <t>061878486</t>
  </si>
  <si>
    <t>ហ៊ា</t>
  </si>
  <si>
    <t>តុងហ៊ាង</t>
  </si>
  <si>
    <t>Hea</t>
  </si>
  <si>
    <t>TongHeang</t>
  </si>
  <si>
    <t>GA</t>
  </si>
  <si>
    <t>086456497</t>
  </si>
  <si>
    <t>28808192170058រ</t>
  </si>
  <si>
    <t>070320915</t>
  </si>
  <si>
    <t>ណារី</t>
  </si>
  <si>
    <t>Soeun</t>
  </si>
  <si>
    <t>NaRy</t>
  </si>
  <si>
    <t>0973609544</t>
  </si>
  <si>
    <t>28908192173858ច</t>
  </si>
  <si>
    <t>020714568</t>
  </si>
  <si>
    <t>ជ្រី</t>
  </si>
  <si>
    <t>ហ៊ុយអ៊ាង</t>
  </si>
  <si>
    <t>Chry</t>
  </si>
  <si>
    <t>HuyEang</t>
  </si>
  <si>
    <t>0975042034</t>
  </si>
  <si>
    <t>19308192175926ហ</t>
  </si>
  <si>
    <t>150576222</t>
  </si>
  <si>
    <t>កូវីន</t>
  </si>
  <si>
    <t>KoVin</t>
  </si>
  <si>
    <t>087895501</t>
  </si>
  <si>
    <t>29811160404259ន</t>
  </si>
  <si>
    <t>130177079</t>
  </si>
  <si>
    <t>ឈឿន</t>
  </si>
  <si>
    <t>Chhoeurn</t>
  </si>
  <si>
    <t>SreyMao</t>
  </si>
  <si>
    <t>29208192174872ស</t>
  </si>
  <si>
    <t>050808412</t>
  </si>
  <si>
    <t>រីយ៉ា</t>
  </si>
  <si>
    <t>Shorn</t>
  </si>
  <si>
    <t>RiYa</t>
  </si>
  <si>
    <t>098317265</t>
  </si>
  <si>
    <t>29003192011172ច</t>
  </si>
  <si>
    <t>101273703</t>
  </si>
  <si>
    <t>សែស</t>
  </si>
  <si>
    <t>Ses</t>
  </si>
  <si>
    <t>Pech</t>
  </si>
  <si>
    <t>18903192015931ន</t>
  </si>
  <si>
    <t>101273704</t>
  </si>
  <si>
    <t>វ៉ាន</t>
  </si>
  <si>
    <t>0973716450</t>
  </si>
  <si>
    <t>27208192175876អ</t>
  </si>
  <si>
    <t>090675344</t>
  </si>
  <si>
    <t>ថន</t>
  </si>
  <si>
    <t>Chea</t>
  </si>
  <si>
    <t>Thorn</t>
  </si>
  <si>
    <t>13000163948</t>
  </si>
  <si>
    <t>វិឌិត</t>
  </si>
  <si>
    <t>Sorm</t>
  </si>
  <si>
    <t>ViDet</t>
  </si>
  <si>
    <t>0968099360</t>
  </si>
  <si>
    <t>Vong</t>
  </si>
  <si>
    <t>សៀមរាប</t>
  </si>
  <si>
    <t>0979503163</t>
  </si>
  <si>
    <t>18711181903797ហ</t>
  </si>
  <si>
    <t>110275714</t>
  </si>
  <si>
    <t>សារ៉ាត់</t>
  </si>
  <si>
    <t>Yoem</t>
  </si>
  <si>
    <t>Sarath</t>
  </si>
  <si>
    <t>0962513416</t>
  </si>
  <si>
    <t>19510160397285ម</t>
  </si>
  <si>
    <t>090561147</t>
  </si>
  <si>
    <t>សុរ៉ាន់ដា</t>
  </si>
  <si>
    <t xml:space="preserve">Son </t>
  </si>
  <si>
    <t>Sorannda</t>
  </si>
  <si>
    <t>015595225</t>
  </si>
  <si>
    <t>20009192187708ផ</t>
  </si>
  <si>
    <t>101210735</t>
  </si>
  <si>
    <t>ស្រីនីន</t>
  </si>
  <si>
    <t>Sreynin</t>
  </si>
  <si>
    <t>0887909612</t>
  </si>
  <si>
    <t>29407181468313ម</t>
  </si>
  <si>
    <t>110556365</t>
  </si>
  <si>
    <t>ភួង</t>
  </si>
  <si>
    <t>ភារី</t>
  </si>
  <si>
    <t>Phoung</t>
  </si>
  <si>
    <t>PheaRy</t>
  </si>
  <si>
    <t>0973899500</t>
  </si>
  <si>
    <t>18609192192941ស</t>
  </si>
  <si>
    <t>100932563</t>
  </si>
  <si>
    <t>090643547</t>
  </si>
  <si>
    <t>170986452</t>
  </si>
  <si>
    <t>ឡូ</t>
  </si>
  <si>
    <t>ល័ក្ខ</t>
  </si>
  <si>
    <t>0963741033</t>
  </si>
  <si>
    <t>28510160384773ព</t>
  </si>
  <si>
    <t>130172258</t>
  </si>
  <si>
    <t>ណាំ</t>
  </si>
  <si>
    <t>យ៉ា</t>
  </si>
  <si>
    <t>Nam</t>
  </si>
  <si>
    <t>Ya</t>
  </si>
  <si>
    <t>016233032</t>
  </si>
  <si>
    <t>សងា្កត់ព្រៃនប់ ក្រុងព្រះសីហនុ ខេត្តព្រះសីហនុ</t>
  </si>
  <si>
    <t>19409192198585ច</t>
  </si>
  <si>
    <t>130185741</t>
  </si>
  <si>
    <t>ជុត</t>
  </si>
  <si>
    <t>សុធារិទ្ធិ</t>
  </si>
  <si>
    <t>Chut</t>
  </si>
  <si>
    <t>SoThearith</t>
  </si>
  <si>
    <t>087549694</t>
  </si>
  <si>
    <t>សងា្កត់4 ក្រុងព្រះសីហនុ ខេត្តព្រះសីហនុ</t>
  </si>
  <si>
    <t>28510160384684ភ</t>
  </si>
  <si>
    <t>110526159</t>
  </si>
  <si>
    <t>ផាន់នី</t>
  </si>
  <si>
    <t>PhanNy</t>
  </si>
  <si>
    <t>0967240502</t>
  </si>
  <si>
    <t>28111160400315ក</t>
  </si>
  <si>
    <t>130185579</t>
  </si>
  <si>
    <t>សុង</t>
  </si>
  <si>
    <t>Song</t>
  </si>
  <si>
    <t>SoThea</t>
  </si>
  <si>
    <t>087267424</t>
  </si>
  <si>
    <t>120031555</t>
  </si>
  <si>
    <t>យូ</t>
  </si>
  <si>
    <t>You</t>
  </si>
  <si>
    <t>Sarin</t>
  </si>
  <si>
    <t>110377895</t>
  </si>
  <si>
    <t xml:space="preserve">Khoem </t>
  </si>
  <si>
    <t>Samang</t>
  </si>
  <si>
    <t>171139124</t>
  </si>
  <si>
    <t>Samnage</t>
  </si>
  <si>
    <t>29910192229193រ</t>
  </si>
  <si>
    <t>110602491</t>
  </si>
  <si>
    <t>សូត</t>
  </si>
  <si>
    <t>Mom</t>
  </si>
  <si>
    <t>269101192206561ទ</t>
  </si>
  <si>
    <t>010043910</t>
  </si>
  <si>
    <t>ផារ់់ា់ត</t>
  </si>
  <si>
    <t>Kov</t>
  </si>
  <si>
    <t>Pharat</t>
  </si>
  <si>
    <t>20010192204990ឆ</t>
  </si>
  <si>
    <t>101383331</t>
  </si>
  <si>
    <t>ដាឡែន</t>
  </si>
  <si>
    <t>Dalen</t>
  </si>
  <si>
    <t>28010192210808ញ</t>
  </si>
  <si>
    <t>101133159</t>
  </si>
  <si>
    <t>សារី</t>
  </si>
  <si>
    <t xml:space="preserve">Oung </t>
  </si>
  <si>
    <t>SaRe</t>
  </si>
  <si>
    <t>29808160229560ណ</t>
  </si>
  <si>
    <t>110496064</t>
  </si>
  <si>
    <t xml:space="preserve">Keo </t>
  </si>
  <si>
    <t>20110192212142វ</t>
  </si>
  <si>
    <t>051475685</t>
  </si>
  <si>
    <t>Yong</t>
  </si>
  <si>
    <t>Sreytoch</t>
  </si>
  <si>
    <t>28610160391433ណ</t>
  </si>
  <si>
    <t>160369718</t>
  </si>
  <si>
    <t xml:space="preserve">ងួ​ន </t>
  </si>
  <si>
    <t>ស្រីតូច</t>
  </si>
  <si>
    <t>Nguon</t>
  </si>
  <si>
    <t>Sreytouh</t>
  </si>
  <si>
    <t xml:space="preserve">28410192207638ប             </t>
  </si>
  <si>
    <t>110243142</t>
  </si>
  <si>
    <t xml:space="preserve">May </t>
  </si>
  <si>
    <t>Chantha</t>
  </si>
  <si>
    <t>28010192207627ណ</t>
  </si>
  <si>
    <t>130211188</t>
  </si>
  <si>
    <t>មុនីរត្ន័</t>
  </si>
  <si>
    <t xml:space="preserve">Long </t>
  </si>
  <si>
    <t>Moniroth</t>
  </si>
  <si>
    <t>2/Juy/84</t>
  </si>
  <si>
    <t>19908181597968ត</t>
  </si>
  <si>
    <t>030808040</t>
  </si>
  <si>
    <t>ហង់</t>
  </si>
  <si>
    <t>29410192209788ស</t>
  </si>
  <si>
    <t>101105257</t>
  </si>
  <si>
    <t>Touch</t>
  </si>
  <si>
    <t>SreyNich</t>
  </si>
  <si>
    <t>28610170916650ន</t>
  </si>
  <si>
    <t>110300377</t>
  </si>
  <si>
    <t>Khon</t>
  </si>
  <si>
    <t>29408160202784ទ</t>
  </si>
  <si>
    <t>101073544</t>
  </si>
  <si>
    <t>បែ់់់់ន</t>
  </si>
  <si>
    <t>សុវណ្ណ</t>
  </si>
  <si>
    <t>Sovann</t>
  </si>
  <si>
    <t>29205181400167ឍ</t>
  </si>
  <si>
    <t>101127347</t>
  </si>
  <si>
    <t>Net</t>
  </si>
  <si>
    <t>Channa</t>
  </si>
  <si>
    <t>195101192220602ជ</t>
  </si>
  <si>
    <t>061364827</t>
  </si>
  <si>
    <t>10110192220657ង</t>
  </si>
  <si>
    <t>062149487</t>
  </si>
  <si>
    <t>150720564</t>
  </si>
  <si>
    <t>យាន់</t>
  </si>
  <si>
    <t>19210160393346ត</t>
  </si>
  <si>
    <t>130222256</t>
  </si>
  <si>
    <t>Chhun</t>
  </si>
  <si>
    <t>Leng</t>
  </si>
  <si>
    <t>29110192219055ណ</t>
  </si>
  <si>
    <t>170647149</t>
  </si>
  <si>
    <t>ឈឹត</t>
  </si>
  <si>
    <t>Chhit</t>
  </si>
  <si>
    <t>29610192220230ឆ</t>
  </si>
  <si>
    <t>130211561</t>
  </si>
  <si>
    <t>SreyRoth</t>
  </si>
  <si>
    <t>27910192222978វ</t>
  </si>
  <si>
    <t>100956525</t>
  </si>
  <si>
    <t>Kea</t>
  </si>
  <si>
    <t>26411160399471ផ</t>
  </si>
  <si>
    <t>130184932</t>
  </si>
  <si>
    <t>Sokhom</t>
  </si>
  <si>
    <t>29210160389042ណ</t>
  </si>
  <si>
    <t>050862630</t>
  </si>
  <si>
    <t>សាធន់</t>
  </si>
  <si>
    <t>Pheng</t>
  </si>
  <si>
    <t>Sathun</t>
  </si>
  <si>
    <t>28110160381799ភ</t>
  </si>
  <si>
    <t>110577740</t>
  </si>
  <si>
    <t>តុន</t>
  </si>
  <si>
    <t xml:space="preserve">Ton </t>
  </si>
  <si>
    <t>Taing</t>
  </si>
  <si>
    <t>28310160389839វ</t>
  </si>
  <si>
    <t>050862587</t>
  </si>
  <si>
    <t>សុភាន់</t>
  </si>
  <si>
    <t>Sophon</t>
  </si>
  <si>
    <t>20001181185986ទ</t>
  </si>
  <si>
    <t>101345416</t>
  </si>
  <si>
    <t>Sinuon</t>
  </si>
  <si>
    <t>27711160400866ថ</t>
  </si>
  <si>
    <t>130031671</t>
  </si>
  <si>
    <t>ណា</t>
  </si>
  <si>
    <t>Heng</t>
  </si>
  <si>
    <t>Na</t>
  </si>
  <si>
    <t>28611160399968ឃ</t>
  </si>
  <si>
    <t>130164969</t>
  </si>
  <si>
    <t>ដារី</t>
  </si>
  <si>
    <t>Say</t>
  </si>
  <si>
    <t>DaRi</t>
  </si>
  <si>
    <t>0968675690</t>
  </si>
  <si>
    <t>28410160387971ម</t>
  </si>
  <si>
    <t>130068734</t>
  </si>
  <si>
    <t>0887771268</t>
  </si>
  <si>
    <t>171190110</t>
  </si>
  <si>
    <t>Lo</t>
  </si>
  <si>
    <t>069740523</t>
  </si>
  <si>
    <t>130167677</t>
  </si>
  <si>
    <t xml:space="preserve">Sok </t>
  </si>
  <si>
    <t>069964639</t>
  </si>
  <si>
    <t>28710192215641ថ</t>
  </si>
  <si>
    <t>130102754</t>
  </si>
  <si>
    <t>ខា</t>
  </si>
  <si>
    <t>សារឺម</t>
  </si>
  <si>
    <t>Ka</t>
  </si>
  <si>
    <t>Saroem</t>
  </si>
  <si>
    <t>28910160388245ម</t>
  </si>
  <si>
    <t>110411865</t>
  </si>
  <si>
    <t>Uk</t>
  </si>
  <si>
    <t>Phath</t>
  </si>
  <si>
    <t>0964655977</t>
  </si>
  <si>
    <t>28604192037183ផ</t>
  </si>
  <si>
    <t>150797007</t>
  </si>
  <si>
    <t>ឃី</t>
  </si>
  <si>
    <t xml:space="preserve">Khy </t>
  </si>
  <si>
    <t>0963939065</t>
  </si>
  <si>
    <t>27610160388905ភ</t>
  </si>
  <si>
    <t>130050320</t>
  </si>
  <si>
    <t>ប៌ុនលី</t>
  </si>
  <si>
    <t>Bunly</t>
  </si>
  <si>
    <t>0965453166</t>
  </si>
  <si>
    <t>28711160400180ឆ</t>
  </si>
  <si>
    <t>110237637</t>
  </si>
  <si>
    <t>Pan</t>
  </si>
  <si>
    <t>0967212629</t>
  </si>
  <si>
    <t>2831016039051ញ</t>
  </si>
  <si>
    <t>130208715</t>
  </si>
  <si>
    <t>27110160390794ទ</t>
  </si>
  <si>
    <t>062082450</t>
  </si>
  <si>
    <t>បុរី</t>
  </si>
  <si>
    <t>Some</t>
  </si>
  <si>
    <t>Bory</t>
  </si>
  <si>
    <t>29711160400865ទ</t>
  </si>
  <si>
    <t>090836918</t>
  </si>
  <si>
    <t>រត្ន័</t>
  </si>
  <si>
    <t>ឡៃ</t>
  </si>
  <si>
    <t>Rath</t>
  </si>
  <si>
    <t>Lai</t>
  </si>
  <si>
    <t>0965435295</t>
  </si>
  <si>
    <t>18803192011225ដ</t>
  </si>
  <si>
    <t>យ៉ាន</t>
  </si>
  <si>
    <t>បារាំង</t>
  </si>
  <si>
    <t>Baraing</t>
  </si>
  <si>
    <t>015930656</t>
  </si>
  <si>
    <t>29710192206623ទ</t>
  </si>
  <si>
    <t>110464776</t>
  </si>
  <si>
    <t>សុណារិទ្ធិ</t>
  </si>
  <si>
    <t>Suon</t>
  </si>
  <si>
    <t>Sonaret</t>
  </si>
  <si>
    <t xml:space="preserve">ខ្មែរ </t>
  </si>
  <si>
    <t>0888502189</t>
  </si>
  <si>
    <t>19910192222145ត</t>
  </si>
  <si>
    <t>110566722</t>
  </si>
  <si>
    <t>អីងុ</t>
  </si>
  <si>
    <t>Eung</t>
  </si>
  <si>
    <t>0966963511</t>
  </si>
  <si>
    <t>10004192039115ឃ</t>
  </si>
  <si>
    <t>110588034</t>
  </si>
  <si>
    <t>ស៌ាន</t>
  </si>
  <si>
    <t>096434491</t>
  </si>
  <si>
    <t>20909265</t>
  </si>
  <si>
    <t>ហារ</t>
  </si>
  <si>
    <t>ស្រីយ៉ា</t>
  </si>
  <si>
    <t xml:space="preserve">Ha </t>
  </si>
  <si>
    <t>Sreyya</t>
  </si>
  <si>
    <t>086740627</t>
  </si>
  <si>
    <t>សុថុន</t>
  </si>
  <si>
    <t>Sal</t>
  </si>
  <si>
    <t>SoThuom</t>
  </si>
  <si>
    <t>0976900329</t>
  </si>
  <si>
    <t>29910192205697ស</t>
  </si>
  <si>
    <t>110546080</t>
  </si>
  <si>
    <t>ជិន</t>
  </si>
  <si>
    <t>Chin</t>
  </si>
  <si>
    <t>Sreynich</t>
  </si>
  <si>
    <t>0962158228</t>
  </si>
  <si>
    <t>29606160133295ប</t>
  </si>
  <si>
    <t>បូច</t>
  </si>
  <si>
    <t>វិត</t>
  </si>
  <si>
    <t xml:space="preserve">Poch </t>
  </si>
  <si>
    <t>Vit</t>
  </si>
  <si>
    <t>28604170702094ទ</t>
  </si>
  <si>
    <t>110259695</t>
  </si>
  <si>
    <t>ញឺម</t>
  </si>
  <si>
    <t>ចាន់ថេង</t>
  </si>
  <si>
    <t>Nhoem</t>
  </si>
  <si>
    <t>Chantheng</t>
  </si>
  <si>
    <t>010902930</t>
  </si>
  <si>
    <t>19710192219221ណ</t>
  </si>
  <si>
    <t>110541112</t>
  </si>
  <si>
    <t>Ry</t>
  </si>
  <si>
    <t>2/Juy/97</t>
  </si>
  <si>
    <t>0965624915</t>
  </si>
  <si>
    <t>29302160073575ផ</t>
  </si>
  <si>
    <t>101115597</t>
  </si>
  <si>
    <t>ពុធផាយ</t>
  </si>
  <si>
    <t>Putthay</t>
  </si>
  <si>
    <t>0889729604</t>
  </si>
  <si>
    <t>28510192204469ប</t>
  </si>
  <si>
    <t>110355836</t>
  </si>
  <si>
    <t>ថេង</t>
  </si>
  <si>
    <t>ស្រអែម</t>
  </si>
  <si>
    <t>Then</t>
  </si>
  <si>
    <t>SraEm</t>
  </si>
  <si>
    <t>0962843872</t>
  </si>
  <si>
    <t>29201181151264ដ</t>
  </si>
  <si>
    <t>040333300</t>
  </si>
  <si>
    <t>ជូប</t>
  </si>
  <si>
    <t>ឆេងឡែ</t>
  </si>
  <si>
    <t>Choub</t>
  </si>
  <si>
    <t>Chheenglal</t>
  </si>
  <si>
    <t>0973156459</t>
  </si>
  <si>
    <t>27310192212010ឡ</t>
  </si>
  <si>
    <t>110138542</t>
  </si>
  <si>
    <t>ឆឺក</t>
  </si>
  <si>
    <t>Chhoek</t>
  </si>
  <si>
    <t>Khan</t>
  </si>
  <si>
    <t>0887352858</t>
  </si>
  <si>
    <t>29310192212233ជ</t>
  </si>
  <si>
    <t>040349641</t>
  </si>
  <si>
    <t>0885844682</t>
  </si>
  <si>
    <t>26910192202223ឈ</t>
  </si>
  <si>
    <t>030809352</t>
  </si>
  <si>
    <t>ប៉ូច</t>
  </si>
  <si>
    <t>Bon</t>
  </si>
  <si>
    <t>ឈឺត</t>
  </si>
  <si>
    <t>0969545546</t>
  </si>
  <si>
    <t>19005192055682ប</t>
  </si>
  <si>
    <t>110541788</t>
  </si>
  <si>
    <t>ឆែម</t>
  </si>
  <si>
    <t xml:space="preserve">Chhem </t>
  </si>
  <si>
    <t>Oeun</t>
  </si>
  <si>
    <t>0967659462</t>
  </si>
  <si>
    <t>2761116-0400066</t>
  </si>
  <si>
    <t>130009659(01)</t>
  </si>
  <si>
    <t>រៀល</t>
  </si>
  <si>
    <t>សុផល្លី</t>
  </si>
  <si>
    <t>Riel</t>
  </si>
  <si>
    <t>Sophaly</t>
  </si>
  <si>
    <t>0973796554</t>
  </si>
  <si>
    <t>ភូមិ2 សង្កាត2 ខេត្ត ព្រះសីហនុ</t>
  </si>
  <si>
    <t>2701019-2206831ញ</t>
  </si>
  <si>
    <t>100943955</t>
  </si>
  <si>
    <t>យឿន</t>
  </si>
  <si>
    <t>Sot</t>
  </si>
  <si>
    <t>Yoeun</t>
  </si>
  <si>
    <t>0962861362</t>
  </si>
  <si>
    <t>ភូមិ2 សង្កាត1 ខេត្ត ព្រះសីហនុ</t>
  </si>
  <si>
    <t>2941216-0540492ថ</t>
  </si>
  <si>
    <t>061396383</t>
  </si>
  <si>
    <t>សុខហូយ</t>
  </si>
  <si>
    <t xml:space="preserve">Chhouern </t>
  </si>
  <si>
    <t>Sokhoy</t>
  </si>
  <si>
    <t>089809857</t>
  </si>
  <si>
    <t>ភូមិ5 សង្កាត4 ខេត្ត ព្រះសីហនុ</t>
  </si>
  <si>
    <t>130130536</t>
  </si>
  <si>
    <t>ឯក</t>
  </si>
  <si>
    <t>ចាន់កុល</t>
  </si>
  <si>
    <t>Ek</t>
  </si>
  <si>
    <t>Chankol</t>
  </si>
  <si>
    <t>0965669810</t>
  </si>
  <si>
    <t>សង្កាត4 ខេត្ត ព្រះសីហនុ</t>
  </si>
  <si>
    <t>05063837</t>
  </si>
  <si>
    <t>ជូន</t>
  </si>
  <si>
    <t>សំអុល</t>
  </si>
  <si>
    <t>Chourn</t>
  </si>
  <si>
    <t>Somol</t>
  </si>
  <si>
    <t>015493117</t>
  </si>
  <si>
    <t>ភូមិ1 សង្កាត1 ខេត្ត ព្រះសីហនុ</t>
  </si>
  <si>
    <t>2991019-2209773វ</t>
  </si>
  <si>
    <t>110602337</t>
  </si>
  <si>
    <t>រាប</t>
  </si>
  <si>
    <t>Phoreun</t>
  </si>
  <si>
    <t>Reap</t>
  </si>
  <si>
    <t>0962672028</t>
  </si>
  <si>
    <t>1830317-0680397ភ</t>
  </si>
  <si>
    <t>00</t>
  </si>
  <si>
    <t>សាត</t>
  </si>
  <si>
    <t>Sat</t>
  </si>
  <si>
    <t>1791019-2202213ជ</t>
  </si>
  <si>
    <t>030974092</t>
  </si>
  <si>
    <t>សាំង</t>
  </si>
  <si>
    <t>ចំរើន</t>
  </si>
  <si>
    <t>Chomrern</t>
  </si>
  <si>
    <t>29211160400208ឃ</t>
  </si>
  <si>
    <t>130160660</t>
  </si>
  <si>
    <t>សុ៍យ</t>
  </si>
  <si>
    <t>Suy</t>
  </si>
  <si>
    <t>Leang</t>
  </si>
  <si>
    <t>yes</t>
  </si>
  <si>
    <t>069740165</t>
  </si>
  <si>
    <t>030654552</t>
  </si>
  <si>
    <t>Nuch</t>
  </si>
  <si>
    <t>Nary</t>
  </si>
  <si>
    <t>016359697</t>
  </si>
  <si>
    <t>29612160528056ប</t>
  </si>
  <si>
    <t>040404557</t>
  </si>
  <si>
    <t>ស្រីនុត</t>
  </si>
  <si>
    <t>SreyNut</t>
  </si>
  <si>
    <t>កំពង់ឆ្នាំង</t>
  </si>
  <si>
    <t>077411487</t>
  </si>
  <si>
    <t>19107160139124ឌ</t>
  </si>
  <si>
    <t>101136691</t>
  </si>
  <si>
    <t>ឌីណា</t>
  </si>
  <si>
    <t>Dina</t>
  </si>
  <si>
    <t>0889730540</t>
  </si>
  <si>
    <t>28610160390115ដ</t>
  </si>
  <si>
    <t>050862590</t>
  </si>
  <si>
    <t>Sakhon</t>
  </si>
  <si>
    <t>015677475</t>
  </si>
  <si>
    <t>28610160390047ណ</t>
  </si>
  <si>
    <t>130160059</t>
  </si>
  <si>
    <t>សុតេង</t>
  </si>
  <si>
    <t>Soteng</t>
  </si>
  <si>
    <t>085992234</t>
  </si>
  <si>
    <t>29810192223263ទ</t>
  </si>
  <si>
    <t>ស៊ុយ</t>
  </si>
  <si>
    <t>SUY</t>
  </si>
  <si>
    <t>NGA</t>
  </si>
  <si>
    <t>081 430 873</t>
  </si>
  <si>
    <t xml:space="preserve"> សង្កាត1 ខេត្ត ព្រះសីហនុ</t>
  </si>
  <si>
    <t>DALEN</t>
  </si>
  <si>
    <t>G5</t>
  </si>
  <si>
    <t>069 984 463</t>
  </si>
  <si>
    <t>សុណៃ</t>
  </si>
  <si>
    <t>096 658 046 1</t>
  </si>
  <si>
    <t>28110160389129ធ</t>
  </si>
  <si>
    <t>110333656</t>
  </si>
  <si>
    <t>ង៉ុន</t>
  </si>
  <si>
    <t>NGON</t>
  </si>
  <si>
    <t>G10</t>
  </si>
  <si>
    <t>016 319 636</t>
  </si>
  <si>
    <t xml:space="preserve"> សង្កាត4 ខេត្ត ព្រះសីហនុ</t>
  </si>
  <si>
    <t>28211160399373ព</t>
  </si>
  <si>
    <t>130154984</t>
  </si>
  <si>
    <t>SAMEY</t>
  </si>
  <si>
    <t>G9</t>
  </si>
  <si>
    <t>078 744 417</t>
  </si>
  <si>
    <t>ភូមិ1 សង្កាត2 ខេត្ត ព្រះសីហនុ</t>
  </si>
  <si>
    <t>28710160389098ស</t>
  </si>
  <si>
    <t>110345836</t>
  </si>
  <si>
    <t>មឹក</t>
  </si>
  <si>
    <t>MOEK</t>
  </si>
  <si>
    <t>THEARA</t>
  </si>
  <si>
    <t>G6</t>
  </si>
  <si>
    <t>086 700 815</t>
  </si>
  <si>
    <t>088 777 126 8</t>
  </si>
  <si>
    <t>28710160388574ល</t>
  </si>
  <si>
    <t>090688668</t>
  </si>
  <si>
    <t>ណេត</t>
  </si>
  <si>
    <t>NETH</t>
  </si>
  <si>
    <t>016 442 731</t>
  </si>
  <si>
    <t>29311160438533ថ</t>
  </si>
  <si>
    <t>090694357</t>
  </si>
  <si>
    <t>G3</t>
  </si>
  <si>
    <t>093 348 043</t>
  </si>
  <si>
    <t>28410160391477ប</t>
  </si>
  <si>
    <t>110391406</t>
  </si>
  <si>
    <t>G8</t>
  </si>
  <si>
    <t>071 458 468 4</t>
  </si>
  <si>
    <t>ភុមិ 01សងា្កត់ 04 ក្រុងព្រះសីហនុ ខេត្តព្រះសីហនុ</t>
  </si>
  <si>
    <t>27610160391032ឈ</t>
  </si>
  <si>
    <t>130178439</t>
  </si>
  <si>
    <t>វន</t>
  </si>
  <si>
    <t>សារុត</t>
  </si>
  <si>
    <t>SARUT</t>
  </si>
  <si>
    <t>086 741 998</t>
  </si>
  <si>
    <t>29210160389824ព</t>
  </si>
  <si>
    <t>130099099</t>
  </si>
  <si>
    <t>NA</t>
  </si>
  <si>
    <t>G2</t>
  </si>
  <si>
    <t>087 445 987</t>
  </si>
  <si>
    <t>28610160389112ត</t>
  </si>
  <si>
    <t>130057509</t>
  </si>
  <si>
    <t>រឹម</t>
  </si>
  <si>
    <t>ROEM</t>
  </si>
  <si>
    <t>096 589 655 2</t>
  </si>
  <si>
    <t>27610160388042ត</t>
  </si>
  <si>
    <t>130069130</t>
  </si>
  <si>
    <t>ហៀង</t>
  </si>
  <si>
    <t>HIENG</t>
  </si>
  <si>
    <t>096 974 667 0</t>
  </si>
  <si>
    <t>130165760</t>
  </si>
  <si>
    <t>បុផ្ផា</t>
  </si>
  <si>
    <t>ME</t>
  </si>
  <si>
    <t>BOPHA</t>
  </si>
  <si>
    <t>ភ្នំពេញ</t>
  </si>
  <si>
    <t>090 903 359</t>
  </si>
  <si>
    <t>28610192231573ទ</t>
  </si>
  <si>
    <t>130222910</t>
  </si>
  <si>
    <t>POUNG</t>
  </si>
  <si>
    <t xml:space="preserve">  093 538 785</t>
  </si>
  <si>
    <t>ក្នុងបន្ទុក</t>
  </si>
  <si>
    <t>28710160390577ភ</t>
  </si>
  <si>
    <t>130066082</t>
  </si>
  <si>
    <t>គីមស្រីម</t>
  </si>
  <si>
    <t>KIMSRIM</t>
  </si>
  <si>
    <t>081 472 548</t>
  </si>
  <si>
    <t>ភុមិ 01សងា្កត់ 02 ក្រុងព្រះសីហនុ ខេត្តព្រះសីហនុ</t>
  </si>
  <si>
    <t>29010160389770ប</t>
  </si>
  <si>
    <t>130179962</t>
  </si>
  <si>
    <t>097 900 475 3</t>
  </si>
  <si>
    <t>130227847</t>
  </si>
  <si>
    <t>ស្រីនោ</t>
  </si>
  <si>
    <t>SREYNOU</t>
  </si>
  <si>
    <t>096 558 035 5</t>
  </si>
  <si>
    <t>រត់តាក់ស៊ី</t>
  </si>
  <si>
    <t>2861016-0389121ត</t>
  </si>
  <si>
    <t>130097973</t>
  </si>
  <si>
    <t>សុវណ្ណា</t>
  </si>
  <si>
    <t>SOVANNA</t>
  </si>
  <si>
    <t>016 494 962</t>
  </si>
  <si>
    <t>27411160400832ឆ</t>
  </si>
  <si>
    <t>100918117</t>
  </si>
  <si>
    <t>វ៉ឹង</t>
  </si>
  <si>
    <t>VOENG</t>
  </si>
  <si>
    <t>011 248 131</t>
  </si>
  <si>
    <t>29609181654174ហ</t>
  </si>
  <si>
    <t>061368856</t>
  </si>
  <si>
    <t>Apron B9</t>
  </si>
  <si>
    <t>097 805 071 0</t>
  </si>
  <si>
    <t>សងា្កត់ 01 ក្រុងព្រះសីហនុ ខេត្តព្រះសីហនុ</t>
  </si>
  <si>
    <t>ខ្វាន់</t>
  </si>
  <si>
    <t>Apron B10</t>
  </si>
  <si>
    <t>012 941 474</t>
  </si>
  <si>
    <t>110420374</t>
  </si>
  <si>
    <t>ផាន្នា</t>
  </si>
  <si>
    <t>KHAN</t>
  </si>
  <si>
    <t>PHANNA</t>
  </si>
  <si>
    <t>CUT AND SEW</t>
  </si>
  <si>
    <t>070 284 066</t>
  </si>
  <si>
    <t>200165793</t>
  </si>
  <si>
    <t>សុខធាន</t>
  </si>
  <si>
    <t>SOKTHEAN</t>
  </si>
  <si>
    <t>Apron B8</t>
  </si>
  <si>
    <t>ឩត្តមានជ័យ</t>
  </si>
  <si>
    <t>097 574 990 5</t>
  </si>
  <si>
    <t>29410170929684ស</t>
  </si>
  <si>
    <t>នៅ</t>
  </si>
  <si>
    <t>NAV</t>
  </si>
  <si>
    <t>087 226 781</t>
  </si>
  <si>
    <t>តុប</t>
  </si>
  <si>
    <t>និមល</t>
  </si>
  <si>
    <t>096 399 943 8</t>
  </si>
  <si>
    <t>ឃ្លាំងលើ</t>
  </si>
  <si>
    <t>110600044</t>
  </si>
  <si>
    <t>ឆិល</t>
  </si>
  <si>
    <t>វ៉ានឆាយ</t>
  </si>
  <si>
    <t>CHHEL</t>
  </si>
  <si>
    <t>VANCHHAY</t>
  </si>
  <si>
    <t>096 857 126 9</t>
  </si>
  <si>
    <t>28605192076794ក</t>
  </si>
  <si>
    <t>040291090</t>
  </si>
  <si>
    <t>មេត្តា</t>
  </si>
  <si>
    <t>Horn</t>
  </si>
  <si>
    <t>Meta</t>
  </si>
  <si>
    <t>28512160475940ផ</t>
  </si>
  <si>
    <t>100932589</t>
  </si>
  <si>
    <t>ណន</t>
  </si>
  <si>
    <t>Norn</t>
  </si>
  <si>
    <t>0977385061</t>
  </si>
  <si>
    <t>29911170962192រ</t>
  </si>
  <si>
    <t>ស្រីមី</t>
  </si>
  <si>
    <t>SreyMey</t>
  </si>
  <si>
    <t>010415644</t>
  </si>
  <si>
    <t>29302170627026ណ</t>
  </si>
  <si>
    <t>062124244</t>
  </si>
  <si>
    <t>ស៊ុក</t>
  </si>
  <si>
    <t>ស្រីនិត</t>
  </si>
  <si>
    <t>SreyNit</t>
  </si>
  <si>
    <t>070495410</t>
  </si>
  <si>
    <t>29210160393147ត</t>
  </si>
  <si>
    <t>130149165</t>
  </si>
  <si>
    <t>Reoun</t>
  </si>
  <si>
    <t>0963837658</t>
  </si>
  <si>
    <t>29108181639435ល</t>
  </si>
  <si>
    <t>130124718</t>
  </si>
  <si>
    <t>016502116</t>
  </si>
  <si>
    <t>29007170814235ថ</t>
  </si>
  <si>
    <t>02169295</t>
  </si>
  <si>
    <t>ច្រឹក</t>
  </si>
  <si>
    <t>ខ្នា</t>
  </si>
  <si>
    <t>Khna</t>
  </si>
  <si>
    <t>083596918</t>
  </si>
  <si>
    <t>28606192099573ខ</t>
  </si>
  <si>
    <t>130170256</t>
  </si>
  <si>
    <t>បៀន</t>
  </si>
  <si>
    <t>Bien</t>
  </si>
  <si>
    <t>087538130</t>
  </si>
  <si>
    <t>29208180184286ម</t>
  </si>
  <si>
    <t>011237378</t>
  </si>
  <si>
    <t>Hun</t>
  </si>
  <si>
    <t>ThyDa</t>
  </si>
  <si>
    <t>086233219</t>
  </si>
  <si>
    <t>29602160078396រ</t>
  </si>
  <si>
    <t>030594678</t>
  </si>
  <si>
    <t>ម៉េត</t>
  </si>
  <si>
    <t>ធិតា</t>
  </si>
  <si>
    <t>Met</t>
  </si>
  <si>
    <t>096215156</t>
  </si>
  <si>
    <t>29709181670353វ</t>
  </si>
  <si>
    <t>ស៊ីវ</t>
  </si>
  <si>
    <t>ឡើវី</t>
  </si>
  <si>
    <t>Siv</t>
  </si>
  <si>
    <t>LeuVy</t>
  </si>
  <si>
    <t>016426378</t>
  </si>
  <si>
    <t>19610160388725ល</t>
  </si>
  <si>
    <t>100689685</t>
  </si>
  <si>
    <t>0967770659</t>
  </si>
  <si>
    <t>ណុប</t>
  </si>
  <si>
    <t>សុខគង់</t>
  </si>
  <si>
    <t>Nub</t>
  </si>
  <si>
    <t>SokKong</t>
  </si>
  <si>
    <t>0962650731</t>
  </si>
  <si>
    <t>29811160400957ប</t>
  </si>
  <si>
    <t>150578834</t>
  </si>
  <si>
    <t>រស្មី</t>
  </si>
  <si>
    <t>ReakSmey</t>
  </si>
  <si>
    <t>0967366468</t>
  </si>
  <si>
    <t>28603170681187យ</t>
  </si>
  <si>
    <t>130200329</t>
  </si>
  <si>
    <t>ស្រីស</t>
  </si>
  <si>
    <t>Ret</t>
  </si>
  <si>
    <t>SreySor</t>
  </si>
  <si>
    <t>0964053181</t>
  </si>
  <si>
    <t>28010192222071ង</t>
  </si>
  <si>
    <t>130208384</t>
  </si>
  <si>
    <t>ស្រីលក្ខ័</t>
  </si>
  <si>
    <t>0965377916</t>
  </si>
  <si>
    <t>28110170916442ឍ</t>
  </si>
  <si>
    <t>051164107</t>
  </si>
  <si>
    <t>ប៉ូ</t>
  </si>
  <si>
    <t>វ៉ាស់</t>
  </si>
  <si>
    <t>Po</t>
  </si>
  <si>
    <t>Vass</t>
  </si>
  <si>
    <t>0962425600</t>
  </si>
  <si>
    <t>28110160394396ប</t>
  </si>
  <si>
    <t>130006074</t>
  </si>
  <si>
    <t>Yim</t>
  </si>
  <si>
    <t>Apron B7</t>
  </si>
  <si>
    <t>087542706</t>
  </si>
  <si>
    <t>29005170754437ផ</t>
  </si>
  <si>
    <t>101272963</t>
  </si>
  <si>
    <t>រំដួល</t>
  </si>
  <si>
    <t>RumDol</t>
  </si>
  <si>
    <t>0973321745</t>
  </si>
  <si>
    <t>29410160399247ម</t>
  </si>
  <si>
    <t>061154049</t>
  </si>
  <si>
    <t>យ៉ូរា</t>
  </si>
  <si>
    <t>Noun</t>
  </si>
  <si>
    <t>YouRa</t>
  </si>
  <si>
    <t>0962057941</t>
  </si>
  <si>
    <t>101393248</t>
  </si>
  <si>
    <t>ផាត់</t>
  </si>
  <si>
    <t>Phat</t>
  </si>
  <si>
    <t>Sevice on line B</t>
  </si>
  <si>
    <t>0969461451</t>
  </si>
  <si>
    <t>28710192208327ន</t>
  </si>
  <si>
    <t>110277125</t>
  </si>
  <si>
    <t>Iem</t>
  </si>
  <si>
    <t>Apron B4</t>
  </si>
  <si>
    <t>0967201982</t>
  </si>
  <si>
    <t>19210192212211ខ</t>
  </si>
  <si>
    <t>140152313</t>
  </si>
  <si>
    <t>ទឹក</t>
  </si>
  <si>
    <t>Toek</t>
  </si>
  <si>
    <t>012873656</t>
  </si>
  <si>
    <t>28601181199169ស</t>
  </si>
  <si>
    <t>101219813</t>
  </si>
  <si>
    <t>NaVy</t>
  </si>
  <si>
    <t>Apron B5</t>
  </si>
  <si>
    <t>016867605</t>
  </si>
  <si>
    <t>18205181375981រ</t>
  </si>
  <si>
    <t>062076251</t>
  </si>
  <si>
    <t>គាន់</t>
  </si>
  <si>
    <t>Korn</t>
  </si>
  <si>
    <t>0979157061</t>
  </si>
  <si>
    <t>19203170680394ប</t>
  </si>
  <si>
    <t>110453053</t>
  </si>
  <si>
    <t>ធូ</t>
  </si>
  <si>
    <t>Neak</t>
  </si>
  <si>
    <t>Thou</t>
  </si>
  <si>
    <t>086949676</t>
  </si>
  <si>
    <t>29511160399314ផ</t>
  </si>
  <si>
    <t>130176456</t>
  </si>
  <si>
    <t>សម្បត្តិ</t>
  </si>
  <si>
    <t>Um</t>
  </si>
  <si>
    <t>SamBath</t>
  </si>
  <si>
    <t>093727339</t>
  </si>
  <si>
    <t>កញ្ញា</t>
  </si>
  <si>
    <t>Chhoeun</t>
  </si>
  <si>
    <t>Kanha</t>
  </si>
  <si>
    <t>0965597988</t>
  </si>
  <si>
    <t>28610160388670ភ</t>
  </si>
  <si>
    <t>110261486</t>
  </si>
  <si>
    <t>ផាច</t>
  </si>
  <si>
    <t>Phach</t>
  </si>
  <si>
    <t>0962778242</t>
  </si>
  <si>
    <t>130128735</t>
  </si>
  <si>
    <t>ChomReun</t>
  </si>
  <si>
    <t>SaRoem</t>
  </si>
  <si>
    <t>070862994</t>
  </si>
  <si>
    <t>090643459</t>
  </si>
  <si>
    <t>រ​ស់</t>
  </si>
  <si>
    <t>Ruos</t>
  </si>
  <si>
    <t>068421717</t>
  </si>
  <si>
    <t>28011160400643ឃ</t>
  </si>
  <si>
    <t>050709191</t>
  </si>
  <si>
    <t>086524495</t>
  </si>
  <si>
    <t>19009192199970ក</t>
  </si>
  <si>
    <t>010839189</t>
  </si>
  <si>
    <t>វន្ត័</t>
  </si>
  <si>
    <t>Vourn</t>
  </si>
  <si>
    <t>0979928979</t>
  </si>
  <si>
    <t>ម៉ូញ</t>
  </si>
  <si>
    <t>សូញ</t>
  </si>
  <si>
    <t>Monh</t>
  </si>
  <si>
    <t>Sonh</t>
  </si>
  <si>
    <t>Apron B6</t>
  </si>
  <si>
    <t>29009170906738វ</t>
  </si>
  <si>
    <t>110541430</t>
  </si>
  <si>
    <t>Khiev</t>
  </si>
  <si>
    <t>Vanny</t>
  </si>
  <si>
    <t>0966523814</t>
  </si>
  <si>
    <t>29510160390447ធ</t>
  </si>
  <si>
    <t>130209921</t>
  </si>
  <si>
    <t>រុំ</t>
  </si>
  <si>
    <t>Rom</t>
  </si>
  <si>
    <t>Vy</t>
  </si>
  <si>
    <t>0969665704</t>
  </si>
  <si>
    <t>200100192206925ឆ</t>
  </si>
  <si>
    <t>101257986</t>
  </si>
  <si>
    <t>សៀន</t>
  </si>
  <si>
    <t>Sien</t>
  </si>
  <si>
    <t>Thon</t>
  </si>
  <si>
    <t>0978950298</t>
  </si>
  <si>
    <t>1811019-2208044-ឈ</t>
  </si>
  <si>
    <t>07000295509</t>
  </si>
  <si>
    <t>កាន</t>
  </si>
  <si>
    <t>សុខនីន</t>
  </si>
  <si>
    <t>KAN</t>
  </si>
  <si>
    <t>SOKNIN</t>
  </si>
  <si>
    <t>Electrician</t>
  </si>
  <si>
    <t>097​​ 460 849 3</t>
  </si>
  <si>
    <t>Phum1, Sangkat1, Sihanouk ville, Sihanouk province</t>
  </si>
  <si>
    <t>04000444350</t>
  </si>
  <si>
    <t>សុខញ៉ាញ់</t>
  </si>
  <si>
    <t>070​​ 839 243</t>
  </si>
  <si>
    <t>1011019-2206700-ហ</t>
  </si>
  <si>
    <t>150907713</t>
  </si>
  <si>
    <t>រាត្រី</t>
  </si>
  <si>
    <t xml:space="preserve">RON </t>
  </si>
  <si>
    <t>REATREY</t>
  </si>
  <si>
    <t>088​ 800 817 5</t>
  </si>
  <si>
    <t>2831016-0399147-ផ</t>
  </si>
  <si>
    <t>100779756</t>
  </si>
  <si>
    <t xml:space="preserve">ឈឺន </t>
  </si>
  <si>
    <t>ស្រីមួន</t>
  </si>
  <si>
    <t xml:space="preserve">CHHEUN </t>
  </si>
  <si>
    <t>SREY MUON</t>
  </si>
  <si>
    <t>099 973 003</t>
  </si>
  <si>
    <t>Phum3</t>
  </si>
  <si>
    <t>2911116-0399616-ព</t>
  </si>
  <si>
    <t>110519374</t>
  </si>
  <si>
    <t>ឆវី</t>
  </si>
  <si>
    <t>PHORNG</t>
  </si>
  <si>
    <t>CHHORVY</t>
  </si>
  <si>
    <t>096 220 866 5</t>
  </si>
  <si>
    <t>2811116-0402555-ឈ</t>
  </si>
  <si>
    <t>130166624</t>
  </si>
  <si>
    <t>សុកៀន</t>
  </si>
  <si>
    <t>SOKIEN</t>
  </si>
  <si>
    <t>096 391 845 8</t>
  </si>
  <si>
    <t>ធ្វើការ</t>
  </si>
  <si>
    <t>2921018-1729856-វ</t>
  </si>
  <si>
    <t>020880422</t>
  </si>
  <si>
    <t>សុខខេង</t>
  </si>
  <si>
    <t>SOKKHENG</t>
  </si>
  <si>
    <t>088 222 678 5</t>
  </si>
  <si>
    <t>2810317-0681214-ឋ</t>
  </si>
  <si>
    <t>110198612</t>
  </si>
  <si>
    <t>អែម</t>
  </si>
  <si>
    <t>POK</t>
  </si>
  <si>
    <t>016 456 483</t>
  </si>
  <si>
    <t>2830317-0675852-ម</t>
  </si>
  <si>
    <t>150785989</t>
  </si>
  <si>
    <t>គឹមហ៊ាន់</t>
  </si>
  <si>
    <t>YIN</t>
  </si>
  <si>
    <t>KIMHORN</t>
  </si>
  <si>
    <t>016 485 572</t>
  </si>
  <si>
    <t>2810918-1654147-ម</t>
  </si>
  <si>
    <t>130150319</t>
  </si>
  <si>
    <t>SINA</t>
  </si>
  <si>
    <t>093 870 984</t>
  </si>
  <si>
    <t>2921016-0397348-ព</t>
  </si>
  <si>
    <t>020847545</t>
  </si>
  <si>
    <t>វុទ្ធី</t>
  </si>
  <si>
    <t>ម៉ានី</t>
  </si>
  <si>
    <t>VUTHY</t>
  </si>
  <si>
    <t>MANY</t>
  </si>
  <si>
    <t>069 616 818</t>
  </si>
  <si>
    <t>Phum3, Sangkat1, Sihanouk ville, Sihanouk province</t>
  </si>
  <si>
    <t>1931016-0392940-ត</t>
  </si>
  <si>
    <t>130130425</t>
  </si>
  <si>
    <t>នីន</t>
  </si>
  <si>
    <t>MEAS</t>
  </si>
  <si>
    <t>NIN</t>
  </si>
  <si>
    <t>096 745 413 4
011 751 918</t>
  </si>
  <si>
    <t>28410192205393ថ</t>
  </si>
  <si>
    <t>171191538</t>
  </si>
  <si>
    <t>យ៉ាវ</t>
  </si>
  <si>
    <t>ស៊ីណែត</t>
  </si>
  <si>
    <t xml:space="preserve">YAV </t>
  </si>
  <si>
    <t>SINAET</t>
  </si>
  <si>
    <t>070 425 449</t>
  </si>
  <si>
    <t>2840816-0224431-ឌ</t>
  </si>
  <si>
    <t>110588094</t>
  </si>
  <si>
    <t>ខិល</t>
  </si>
  <si>
    <t>KOEL</t>
  </si>
  <si>
    <t>069 576 882</t>
  </si>
  <si>
    <t>2920417-0693058-ភ</t>
  </si>
  <si>
    <t>130119763</t>
  </si>
  <si>
    <t>ម៉ាឡា</t>
  </si>
  <si>
    <t xml:space="preserve">MEAS </t>
  </si>
  <si>
    <t>MALA</t>
  </si>
  <si>
    <t>Apron B11</t>
  </si>
  <si>
    <t>096 239 152 5</t>
  </si>
  <si>
    <t>2841019-2215861-ទ</t>
  </si>
  <si>
    <t>110663647</t>
  </si>
  <si>
    <t xml:space="preserve">SIM </t>
  </si>
  <si>
    <t>097 732 334 8</t>
  </si>
  <si>
    <t>2021019-2215864-ដ</t>
  </si>
  <si>
    <t>250255214</t>
  </si>
  <si>
    <t>ហោ</t>
  </si>
  <si>
    <t>HOR</t>
  </si>
  <si>
    <t>Apron B12</t>
  </si>
  <si>
    <t>ខេត្តត្បូងឃ្មុំ</t>
  </si>
  <si>
    <t>097 693 108 4</t>
  </si>
  <si>
    <t>2920317-0680857-យ</t>
  </si>
  <si>
    <t>ឱ</t>
  </si>
  <si>
    <t>OR</t>
  </si>
  <si>
    <t>093 542 179</t>
  </si>
  <si>
    <t>140153850</t>
  </si>
  <si>
    <t>B13</t>
  </si>
  <si>
    <t>Apron B13</t>
  </si>
  <si>
    <t>លាលែង</t>
  </si>
  <si>
    <t>លាលែងដោយស្មគ្រ័ចិត្ត</t>
  </si>
  <si>
    <t>016 570 624</t>
  </si>
  <si>
    <t>1001019-2210043ម</t>
  </si>
  <si>
    <t>070298122</t>
  </si>
  <si>
    <t>A8</t>
  </si>
  <si>
    <t>097 753 924 4</t>
  </si>
  <si>
    <t>Sihanoukville</t>
  </si>
  <si>
    <t>1940417-0691857-ស</t>
  </si>
  <si>
    <t>100606262</t>
  </si>
  <si>
    <t>អ៊ិន</t>
  </si>
  <si>
    <t>ចាន់ចាវ</t>
  </si>
  <si>
    <t>IN</t>
  </si>
  <si>
    <t>CHANCHAV</t>
  </si>
  <si>
    <t>1870317-0680329-ព</t>
  </si>
  <si>
    <t>130181498</t>
  </si>
  <si>
    <t>សីហា</t>
  </si>
  <si>
    <t>SEYHA</t>
  </si>
  <si>
    <t>A13</t>
  </si>
  <si>
    <t>096 629 928 6</t>
  </si>
  <si>
    <t>19902191988124ឡ</t>
  </si>
  <si>
    <t>130190063</t>
  </si>
  <si>
    <t>THORN</t>
  </si>
  <si>
    <t>PACKING (NAPKIN)</t>
  </si>
  <si>
    <t>Khum Tumubrolok, Srok Stoenghav, Sihanouk province</t>
  </si>
  <si>
    <t>1981019-2209410-ណ</t>
  </si>
  <si>
    <t>130174109</t>
  </si>
  <si>
    <t>YEAN</t>
  </si>
  <si>
    <t>087 390​ 852</t>
  </si>
  <si>
    <t>10310192212980ឆ</t>
  </si>
  <si>
    <t>110653844</t>
  </si>
  <si>
    <t>CHAMROEN</t>
  </si>
  <si>
    <t>097 566 054 2</t>
  </si>
  <si>
    <t>28010192212028ច</t>
  </si>
  <si>
    <t>100860798</t>
  </si>
  <si>
    <t>នន</t>
  </si>
  <si>
    <t>សំបូរ</t>
  </si>
  <si>
    <t>NORN</t>
  </si>
  <si>
    <t>SAMBO</t>
  </si>
  <si>
    <t>A12</t>
  </si>
  <si>
    <t>096 574 668 4</t>
  </si>
  <si>
    <t>29310192210056ឈ</t>
  </si>
  <si>
    <t>200151117</t>
  </si>
  <si>
    <t>ផែង</t>
  </si>
  <si>
    <t>A9</t>
  </si>
  <si>
    <t>097 915 279 6</t>
  </si>
  <si>
    <t>1970117-0567420-ទ</t>
  </si>
  <si>
    <t>030633449</t>
  </si>
  <si>
    <t>សុខនៅ</t>
  </si>
  <si>
    <t>SOKNOV</t>
  </si>
  <si>
    <t>096 571 769 9</t>
  </si>
  <si>
    <t>2841019-2210020អ</t>
  </si>
  <si>
    <t>110582619</t>
  </si>
  <si>
    <t>PHALLY</t>
  </si>
  <si>
    <t>097 918 568 5</t>
  </si>
  <si>
    <t>2891019-2209710-ធ</t>
  </si>
  <si>
    <t>200223144</t>
  </si>
  <si>
    <t>សុខធីម</t>
  </si>
  <si>
    <t>SOKTHIM</t>
  </si>
  <si>
    <t>ខេត្តសៀមរាប</t>
  </si>
  <si>
    <t>068 712 275</t>
  </si>
  <si>
    <t>27410192213452ដ</t>
  </si>
  <si>
    <t>050970703</t>
  </si>
  <si>
    <t>CHOUN</t>
  </si>
  <si>
    <t>A14</t>
  </si>
  <si>
    <t>096 724 161 9</t>
  </si>
  <si>
    <t>2831116-0401227-ច</t>
  </si>
  <si>
    <t>140117384</t>
  </si>
  <si>
    <t>តាន់</t>
  </si>
  <si>
    <t>គឹមហា</t>
  </si>
  <si>
    <t>TAN</t>
  </si>
  <si>
    <t>KIMHA</t>
  </si>
  <si>
    <t>096 726 998 9</t>
  </si>
  <si>
    <t>Phum1, Sangkat3, Sihanouk ville, Sihanouk province</t>
  </si>
  <si>
    <t>10110192213075ក</t>
  </si>
  <si>
    <t>171140619</t>
  </si>
  <si>
    <t>CHOMROEUN</t>
  </si>
  <si>
    <t>SERVICE ONLINE</t>
  </si>
  <si>
    <t>096 457 572​1</t>
  </si>
  <si>
    <t>2831116-0400414-គ</t>
  </si>
  <si>
    <t>250174427</t>
  </si>
  <si>
    <t>ញ៉ាញ់</t>
  </si>
  <si>
    <t>NHANH</t>
  </si>
  <si>
    <t>016 617 780</t>
  </si>
  <si>
    <t>1930618-1437305-ឆ</t>
  </si>
  <si>
    <t>110591024</t>
  </si>
  <si>
    <t>វណ្ណារិទ្ធ</t>
  </si>
  <si>
    <t>TOP</t>
  </si>
  <si>
    <t>VANNARITH</t>
  </si>
  <si>
    <t>098 745 597</t>
  </si>
  <si>
    <t>030475455</t>
  </si>
  <si>
    <t>វុត្ថា</t>
  </si>
  <si>
    <t>CHOM</t>
  </si>
  <si>
    <t>VOTHA</t>
  </si>
  <si>
    <t>ADMIN</t>
  </si>
  <si>
    <t>066 821 281
081 821 281</t>
  </si>
  <si>
    <t>1731019-2207035-ឈ</t>
  </si>
  <si>
    <t>100932397</t>
  </si>
  <si>
    <t>សុវណ្ណារ៉ា</t>
  </si>
  <si>
    <t>SUVANNARA</t>
  </si>
  <si>
    <t>090 643 851</t>
  </si>
  <si>
    <t>2830118-1222471-ញ</t>
  </si>
  <si>
    <t>020772341(01)</t>
  </si>
  <si>
    <t>បរិញ្ញាប័ត្ររង</t>
  </si>
  <si>
    <t>010 323 305</t>
  </si>
  <si>
    <t>1991019-2210055ឌ</t>
  </si>
  <si>
    <t>070317881</t>
  </si>
  <si>
    <t>ធួន</t>
  </si>
  <si>
    <t>ប៊ុនធឿន</t>
  </si>
  <si>
    <t>THUON</t>
  </si>
  <si>
    <t>BUNTHOEUN</t>
  </si>
  <si>
    <t>097 565 373 3</t>
  </si>
  <si>
    <t>2991019-2204555-ផ</t>
  </si>
  <si>
    <t>110593466</t>
  </si>
  <si>
    <t>អង្គាបុស្ស</t>
  </si>
  <si>
    <t>ANGKEABOUS</t>
  </si>
  <si>
    <t>QC APRON</t>
  </si>
  <si>
    <t>087 953 784</t>
  </si>
  <si>
    <t>1981019-2202433-ឌ</t>
  </si>
  <si>
    <t>110540509</t>
  </si>
  <si>
    <t>SREYPEOU</t>
  </si>
  <si>
    <t>A2</t>
  </si>
  <si>
    <t>096 890 409 6</t>
  </si>
  <si>
    <t>1991019-2204353-ថ</t>
  </si>
  <si>
    <t>090757165</t>
  </si>
  <si>
    <t>ម៉ែន</t>
  </si>
  <si>
    <t>A11</t>
  </si>
  <si>
    <t>097 775 330 9</t>
  </si>
  <si>
    <t>1961019-2202483-ត</t>
  </si>
  <si>
    <t>101088667</t>
  </si>
  <si>
    <t>A6</t>
  </si>
  <si>
    <t>096 836 469 4</t>
  </si>
  <si>
    <t>2851016-0396945-រ</t>
  </si>
  <si>
    <t>130126724</t>
  </si>
  <si>
    <t>YAN</t>
  </si>
  <si>
    <t>TUN</t>
  </si>
  <si>
    <t>086 312 559 1</t>
  </si>
  <si>
    <t>2811019-2203578-ថ</t>
  </si>
  <si>
    <t>068 460 219</t>
  </si>
  <si>
    <t>2841016-0381422-ញ</t>
  </si>
  <si>
    <t>096 450 478 3</t>
  </si>
  <si>
    <t>1940417-0688440-ភ</t>
  </si>
  <si>
    <t>130140995</t>
  </si>
  <si>
    <t>រិទ្ធិ</t>
  </si>
  <si>
    <t>រិទ្ធី</t>
  </si>
  <si>
    <t>RITH</t>
  </si>
  <si>
    <t>RITHY</t>
  </si>
  <si>
    <t>096 375 479 4</t>
  </si>
  <si>
    <t>1001019-2204325-ហ</t>
  </si>
  <si>
    <t>110626845</t>
  </si>
  <si>
    <t>ផា</t>
  </si>
  <si>
    <t>PHA</t>
  </si>
  <si>
    <t>096 803 838 9</t>
  </si>
  <si>
    <t>1950317-0677751-រ</t>
  </si>
  <si>
    <t>130158165</t>
  </si>
  <si>
    <t>ម៉ាប់</t>
  </si>
  <si>
    <t>PHORN</t>
  </si>
  <si>
    <t>MAB</t>
  </si>
  <si>
    <t>016 479 923</t>
  </si>
  <si>
    <t>2870817-0863593-ខ</t>
  </si>
  <si>
    <t>130206176</t>
  </si>
  <si>
    <t>ស្រីម៉ុច</t>
  </si>
  <si>
    <t>SREYMOCH</t>
  </si>
  <si>
    <t>096 921 169 7</t>
  </si>
  <si>
    <t>2951019-2202542-ឋ</t>
  </si>
  <si>
    <t>171183139</t>
  </si>
  <si>
    <t>ថង</t>
  </si>
  <si>
    <t>សុភិ​ន</t>
  </si>
  <si>
    <t>SOPHIN</t>
  </si>
  <si>
    <t>088 625 582 5</t>
  </si>
  <si>
    <t>1901019-2202531-ឃ</t>
  </si>
  <si>
    <t>061773887</t>
  </si>
  <si>
    <t>អុង</t>
  </si>
  <si>
    <t>ឆក</t>
  </si>
  <si>
    <t>CHOK</t>
  </si>
  <si>
    <t>096 988 508 9</t>
  </si>
  <si>
    <t>1871019-2208243-ត</t>
  </si>
  <si>
    <t>110633168</t>
  </si>
  <si>
    <t>ស៊ិន</t>
  </si>
  <si>
    <t>សេ</t>
  </si>
  <si>
    <t>SE</t>
  </si>
  <si>
    <t>096 313 665 2</t>
  </si>
  <si>
    <t>2921019-2202500-គ</t>
  </si>
  <si>
    <t>101088594</t>
  </si>
  <si>
    <t>SOCHANN</t>
  </si>
  <si>
    <t>097 741 839 6</t>
  </si>
  <si>
    <t>1890718-1456269-ខ</t>
  </si>
  <si>
    <t>140136833</t>
  </si>
  <si>
    <t>ថាំង</t>
  </si>
  <si>
    <t>ហឿន</t>
  </si>
  <si>
    <t>THAING</t>
  </si>
  <si>
    <t>HOEUN</t>
  </si>
  <si>
    <t>B12</t>
  </si>
  <si>
    <t>ធ្លាក់ការសាកល្បង</t>
  </si>
  <si>
    <t>096 237 914 1</t>
  </si>
  <si>
    <t>2951019-2215437-ធ</t>
  </si>
  <si>
    <t>110659903</t>
  </si>
  <si>
    <t>093 790 872</t>
  </si>
  <si>
    <t>1870517-0744033-ទ</t>
  </si>
  <si>
    <t>101095960</t>
  </si>
  <si>
    <t>ប៉ូឡូញ</t>
  </si>
  <si>
    <t>POULOUNH</t>
  </si>
  <si>
    <t>088 801 513 3</t>
  </si>
  <si>
    <t>18410192212020ក</t>
  </si>
  <si>
    <t>101263176</t>
  </si>
  <si>
    <t>ជ្រាង</t>
  </si>
  <si>
    <t>CHREANG</t>
  </si>
  <si>
    <t>097 459 207 2</t>
  </si>
  <si>
    <t>2881019-2207012-ដ</t>
  </si>
  <si>
    <t>011205151</t>
  </si>
  <si>
    <t>ភ័ណ</t>
  </si>
  <si>
    <t>SOUTH</t>
  </si>
  <si>
    <t>069 543 513</t>
  </si>
  <si>
    <t>130224848</t>
  </si>
  <si>
    <t>នូច</t>
  </si>
  <si>
    <t>NOUCH</t>
  </si>
  <si>
    <t>015 966 639</t>
  </si>
  <si>
    <t>2961016-0385127-ធ</t>
  </si>
  <si>
    <t>130190197</t>
  </si>
  <si>
    <t>ឡឹក</t>
  </si>
  <si>
    <t>LOEK</t>
  </si>
  <si>
    <t>A1</t>
  </si>
  <si>
    <t>096 992 472 1</t>
  </si>
  <si>
    <t>2001019-2206660-គ</t>
  </si>
  <si>
    <t>130228778</t>
  </si>
  <si>
    <t>អូន</t>
  </si>
  <si>
    <t>OUN</t>
  </si>
  <si>
    <t>086 957 907</t>
  </si>
  <si>
    <t>200132675</t>
  </si>
  <si>
    <t>ភារះ</t>
  </si>
  <si>
    <t>OEURN</t>
  </si>
  <si>
    <t>PHEAREAK</t>
  </si>
  <si>
    <t>ខេត្តប៉ៃលិន</t>
  </si>
  <si>
    <t>2971217-1030051-ឆ</t>
  </si>
  <si>
    <t>020916864</t>
  </si>
  <si>
    <t>សរ</t>
  </si>
  <si>
    <t>087 274 358</t>
  </si>
  <si>
    <t>1011019-2209741-ច</t>
  </si>
  <si>
    <t>200245057</t>
  </si>
  <si>
    <t>សោភី</t>
  </si>
  <si>
    <t>SOPHY</t>
  </si>
  <si>
    <t>B9</t>
  </si>
  <si>
    <t>ខេត្តឧត្តរមានជ័យ</t>
  </si>
  <si>
    <t>088 874 705 7</t>
  </si>
  <si>
    <t>2001019.2213183.ក</t>
  </si>
  <si>
    <t>130222133</t>
  </si>
  <si>
    <t>ពុធសុភាវី</t>
  </si>
  <si>
    <t>POTSOPHEAVY</t>
  </si>
  <si>
    <t>096 599 040 8</t>
  </si>
  <si>
    <t>2921019-2205897-ម</t>
  </si>
  <si>
    <t>110348550(01)</t>
  </si>
  <si>
    <t>វួន</t>
  </si>
  <si>
    <t>VUON</t>
  </si>
  <si>
    <t>086 527 590</t>
  </si>
  <si>
    <t>2871019-2202379-ប</t>
  </si>
  <si>
    <t>លិន</t>
  </si>
  <si>
    <t>LIN</t>
  </si>
  <si>
    <t>SDUENG</t>
  </si>
  <si>
    <t>015 786 575</t>
  </si>
  <si>
    <t>2930717-0832585-ល</t>
  </si>
  <si>
    <t>110397408</t>
  </si>
  <si>
    <t>យួន</t>
  </si>
  <si>
    <t>ច្រៀច</t>
  </si>
  <si>
    <t>YUON</t>
  </si>
  <si>
    <t>CHRIECH</t>
  </si>
  <si>
    <t>096 508 923 4</t>
  </si>
  <si>
    <t>2900418-1368671-ភ</t>
  </si>
  <si>
    <t>101088766</t>
  </si>
  <si>
    <t>សោភ័ណ្ឌ</t>
  </si>
  <si>
    <t>SORPHORN</t>
  </si>
  <si>
    <t>097 520 836 4</t>
  </si>
  <si>
    <t>1861019-2202535-ឌ</t>
  </si>
  <si>
    <t>110613883</t>
  </si>
  <si>
    <t>សាវ៉ាត</t>
  </si>
  <si>
    <t>PHAT</t>
  </si>
  <si>
    <t>SAVAT</t>
  </si>
  <si>
    <t>Service online</t>
  </si>
  <si>
    <t>097 715 091 2</t>
  </si>
  <si>
    <t>1971019-2202480-ឍ</t>
  </si>
  <si>
    <t>100932820</t>
  </si>
  <si>
    <t>096 805 289 6</t>
  </si>
  <si>
    <t>1921019-2214683-ថ</t>
  </si>
  <si>
    <t>110574982</t>
  </si>
  <si>
    <t>អ៊ូ</t>
  </si>
  <si>
    <t>ញ៉ក់</t>
  </si>
  <si>
    <t>OU</t>
  </si>
  <si>
    <t>NHAK</t>
  </si>
  <si>
    <t>096 417 574 2</t>
  </si>
  <si>
    <t>110645566</t>
  </si>
  <si>
    <t>រិ</t>
  </si>
  <si>
    <t>ROEUR</t>
  </si>
  <si>
    <t>066 947 220</t>
  </si>
  <si>
    <t>29610192212930ណ</t>
  </si>
  <si>
    <t>061435617</t>
  </si>
  <si>
    <t>វ៉ាត់</t>
  </si>
  <si>
    <t>VATH</t>
  </si>
  <si>
    <t>CHANNDA</t>
  </si>
  <si>
    <t>070 285 767</t>
  </si>
  <si>
    <t>20010192212026វ</t>
  </si>
  <si>
    <t>101262909</t>
  </si>
  <si>
    <t>ស្រីអន</t>
  </si>
  <si>
    <t>KANG</t>
  </si>
  <si>
    <t>SREY ORN</t>
  </si>
  <si>
    <t>096 898 369 9</t>
  </si>
  <si>
    <t>2970417-0693144-ម</t>
  </si>
  <si>
    <t>110498077</t>
  </si>
  <si>
    <t>ឆយ</t>
  </si>
  <si>
    <t>វល័ក្ខ</t>
  </si>
  <si>
    <t>VORLEAKH</t>
  </si>
  <si>
    <t>096 745 462 1</t>
  </si>
  <si>
    <t>2841019-2206687-ភ</t>
  </si>
  <si>
    <t>130228788</t>
  </si>
  <si>
    <t>ងៀប</t>
  </si>
  <si>
    <t>GEAB</t>
  </si>
  <si>
    <t>096 957 907</t>
  </si>
  <si>
    <t>170530214(01)</t>
  </si>
  <si>
    <t>ជ្រុន</t>
  </si>
  <si>
    <t>CHRUN</t>
  </si>
  <si>
    <t>SAT</t>
  </si>
  <si>
    <t>097 219 889 8</t>
  </si>
  <si>
    <t>1970219-1991203-ផ</t>
  </si>
  <si>
    <t>030608967</t>
  </si>
  <si>
    <t>សៅលី</t>
  </si>
  <si>
    <t>SAOLY</t>
  </si>
  <si>
    <t>096 286 439 5</t>
  </si>
  <si>
    <t>2890616-0133081-ត</t>
  </si>
  <si>
    <t>040338118</t>
  </si>
  <si>
    <t>ចេង</t>
  </si>
  <si>
    <t>អាង</t>
  </si>
  <si>
    <t>CHENG</t>
  </si>
  <si>
    <t>ANG</t>
  </si>
  <si>
    <t>066 208 191</t>
  </si>
  <si>
    <t>2920219-1992763-ស</t>
  </si>
  <si>
    <t>200188652</t>
  </si>
  <si>
    <t>ស្រីភ័ស្ហ</t>
  </si>
  <si>
    <t>SREYPHOEUS</t>
  </si>
  <si>
    <t>088 755 789 9</t>
  </si>
  <si>
    <t>1930716-0142553-ណ</t>
  </si>
  <si>
    <t>130223599</t>
  </si>
  <si>
    <t>សារ៉ូន</t>
  </si>
  <si>
    <t>OUK</t>
  </si>
  <si>
    <t>SAROUN</t>
  </si>
  <si>
    <t>096 637 268 4</t>
  </si>
  <si>
    <t>2011019-2210032ម</t>
  </si>
  <si>
    <t>110658450</t>
  </si>
  <si>
    <t>ទឹត</t>
  </si>
  <si>
    <t xml:space="preserve">TEUT </t>
  </si>
  <si>
    <t>096 800 781 3</t>
  </si>
  <si>
    <t>19710192212943ធ</t>
  </si>
  <si>
    <t>011218293</t>
  </si>
  <si>
    <t>យុទ្ធ</t>
  </si>
  <si>
    <t>រូហ្សា</t>
  </si>
  <si>
    <t>YOTH</t>
  </si>
  <si>
    <t>ROZA</t>
  </si>
  <si>
    <t>096 247 679 8</t>
  </si>
  <si>
    <t>1941019-2208226-ណ</t>
  </si>
  <si>
    <t>110544871</t>
  </si>
  <si>
    <t>ឡុញ</t>
  </si>
  <si>
    <t>LONH</t>
  </si>
  <si>
    <t>015621994</t>
  </si>
  <si>
    <t>2930119-1975726-ស</t>
  </si>
  <si>
    <t>040503769</t>
  </si>
  <si>
    <t>ឡូត</t>
  </si>
  <si>
    <t>096 724 682 4</t>
  </si>
  <si>
    <t>28406170795718អ</t>
  </si>
  <si>
    <t>020992368</t>
  </si>
  <si>
    <t>យ៉េត</t>
  </si>
  <si>
    <t>YET</t>
  </si>
  <si>
    <t>016 789 348</t>
  </si>
  <si>
    <t>1941016-0385331-ឌ</t>
  </si>
  <si>
    <t>130161782</t>
  </si>
  <si>
    <t>សឺន</t>
  </si>
  <si>
    <t>សំណា</t>
  </si>
  <si>
    <t>SAMNA</t>
  </si>
  <si>
    <t>ខេត្តពោធិ៍សាត់</t>
  </si>
  <si>
    <t>096 360 611 6</t>
  </si>
  <si>
    <t>Phum Smachdaeng, Sangkat Preynop, Sihanouk province</t>
  </si>
  <si>
    <t>1870417-0695177-ហ</t>
  </si>
  <si>
    <t>130218147</t>
  </si>
  <si>
    <t>ឆោម</t>
  </si>
  <si>
    <t>បាក់</t>
  </si>
  <si>
    <t>CHHOM</t>
  </si>
  <si>
    <t>BAK</t>
  </si>
  <si>
    <t>096 522 154 2</t>
  </si>
  <si>
    <t>2820317-0676312-ត</t>
  </si>
  <si>
    <t>110107283(01)</t>
  </si>
  <si>
    <t>010 684 154</t>
  </si>
  <si>
    <t>030579575</t>
  </si>
  <si>
    <t>TOLA</t>
  </si>
  <si>
    <t>016 492 601</t>
  </si>
  <si>
    <t>1911016-0391392-ឍ</t>
  </si>
  <si>
    <t>110347487</t>
  </si>
  <si>
    <t>086 527 749</t>
  </si>
  <si>
    <t>1980317-0676652-វ</t>
  </si>
  <si>
    <t>130216062</t>
  </si>
  <si>
    <t>ចិត្ត</t>
  </si>
  <si>
    <t>CHHUM</t>
  </si>
  <si>
    <t>CHET</t>
  </si>
  <si>
    <t>086 702 001</t>
  </si>
  <si>
    <t>2901016-0395254-ណ</t>
  </si>
  <si>
    <t>110504346</t>
  </si>
  <si>
    <t>CHORN</t>
  </si>
  <si>
    <t>097 520 748 0</t>
  </si>
  <si>
    <t>2800219-1996616-ល</t>
  </si>
  <si>
    <t>051422891</t>
  </si>
  <si>
    <t>មិន</t>
  </si>
  <si>
    <t>MIN</t>
  </si>
  <si>
    <t>SOVANN</t>
  </si>
  <si>
    <t>096 617 435 2</t>
  </si>
  <si>
    <t>2891016-0387747-ហ</t>
  </si>
  <si>
    <t>090772925</t>
  </si>
  <si>
    <t>097 915 706 1</t>
  </si>
  <si>
    <t>2900918-1654108-ផ</t>
  </si>
  <si>
    <t>140133533</t>
  </si>
  <si>
    <t>ឃឿន</t>
  </si>
  <si>
    <t>KHOEUN</t>
  </si>
  <si>
    <t>096 498 259 0</t>
  </si>
  <si>
    <t>2921016-0399226-ន</t>
  </si>
  <si>
    <t>110535019</t>
  </si>
  <si>
    <t>CHEN</t>
  </si>
  <si>
    <t>2931019-2208011-ឆ</t>
  </si>
  <si>
    <t>070288239</t>
  </si>
  <si>
    <t>ហុក</t>
  </si>
  <si>
    <t>បូរីកា</t>
  </si>
  <si>
    <t>HOK</t>
  </si>
  <si>
    <t>BORIKA</t>
  </si>
  <si>
    <t>060 460 066</t>
  </si>
  <si>
    <t>1901019-2203820-ច</t>
  </si>
  <si>
    <t>130113592(01)</t>
  </si>
  <si>
    <t>វិឆ្ឆ័យ</t>
  </si>
  <si>
    <t>TEAB</t>
  </si>
  <si>
    <t>VICHHAY</t>
  </si>
  <si>
    <t>081 933 836</t>
  </si>
  <si>
    <t>1930317-0676377-ល</t>
  </si>
  <si>
    <t>110498465</t>
  </si>
  <si>
    <t>069 896 097</t>
  </si>
  <si>
    <t>គិត</t>
  </si>
  <si>
    <t>088 480 393 1</t>
  </si>
  <si>
    <t>11000482808</t>
  </si>
  <si>
    <t>2811016-0385061-ញ</t>
  </si>
  <si>
    <t>130131322</t>
  </si>
  <si>
    <t>ហួត</t>
  </si>
  <si>
    <t xml:space="preserve">HUOT </t>
  </si>
  <si>
    <t>096 325 529 5</t>
  </si>
  <si>
    <t>2911019-2212129-ញ</t>
  </si>
  <si>
    <t>130178748</t>
  </si>
  <si>
    <t>កឹម</t>
  </si>
  <si>
    <t>KOEM</t>
  </si>
  <si>
    <t>096 621 748 0</t>
  </si>
  <si>
    <t>1991019-2209462-ព</t>
  </si>
  <si>
    <t>130162445</t>
  </si>
  <si>
    <t>ដារ៉េត</t>
  </si>
  <si>
    <t>DARETH</t>
  </si>
  <si>
    <t>015 832 312</t>
  </si>
  <si>
    <t>Phum​ Ong, Preynop Distric, Sihanouk province</t>
  </si>
  <si>
    <t>2000918-1654113-ឈ</t>
  </si>
  <si>
    <t>110632120</t>
  </si>
  <si>
    <t>យន</t>
  </si>
  <si>
    <t>ស្រីរដ្ឋ</t>
  </si>
  <si>
    <t>YORN</t>
  </si>
  <si>
    <t>SREYROTH</t>
  </si>
  <si>
    <t>096 252 678 2</t>
  </si>
  <si>
    <t>Phum3, Sangkat1, Sihanouk ville,​ Sihanouk province</t>
  </si>
  <si>
    <t>2790517-0768862-គ</t>
  </si>
  <si>
    <t>140034561(01)</t>
  </si>
  <si>
    <t>ស៊ីណាន</t>
  </si>
  <si>
    <t>SINAN</t>
  </si>
  <si>
    <t>096 606 630 3</t>
  </si>
  <si>
    <t>Phum2, Sangkat1, Sihanouk ville,​ Sihanouk province</t>
  </si>
  <si>
    <t>1920918-1654260-ផ</t>
  </si>
  <si>
    <t>110419875(01)</t>
  </si>
  <si>
    <t>PRUM</t>
  </si>
  <si>
    <t>2930618-1452346-ផ</t>
  </si>
  <si>
    <t>110466304</t>
  </si>
  <si>
    <t>បេន</t>
  </si>
  <si>
    <t>BEN</t>
  </si>
  <si>
    <t>THAN</t>
  </si>
  <si>
    <t>096 707 565 1</t>
  </si>
  <si>
    <t>2921218-1938663-វ</t>
  </si>
  <si>
    <t>130193317</t>
  </si>
  <si>
    <t>ចាយ</t>
  </si>
  <si>
    <t>CHAY</t>
  </si>
  <si>
    <t>087 289 195</t>
  </si>
  <si>
    <t>2921019-2204441-ឈ</t>
  </si>
  <si>
    <t>061571550</t>
  </si>
  <si>
    <t>កំសត់</t>
  </si>
  <si>
    <t>KAMSATH</t>
  </si>
  <si>
    <t>087 498 435</t>
  </si>
  <si>
    <t>2870318-1327807-ម</t>
  </si>
  <si>
    <t>សេក</t>
  </si>
  <si>
    <t>SEK</t>
  </si>
  <si>
    <t>096 211 502 6</t>
  </si>
  <si>
    <t>2901016-0399160-ណ</t>
  </si>
  <si>
    <t>061234339</t>
  </si>
  <si>
    <t>វ៉ាយ</t>
  </si>
  <si>
    <t>សុខរី</t>
  </si>
  <si>
    <t>VAY</t>
  </si>
  <si>
    <t>SOKRY</t>
  </si>
  <si>
    <t>015 484 787</t>
  </si>
  <si>
    <t>2970216-0083026-ឌ</t>
  </si>
  <si>
    <t>110455568</t>
  </si>
  <si>
    <t>096 716 079 6</t>
  </si>
  <si>
    <t>2750219-1982245-ម</t>
  </si>
  <si>
    <t>051019223</t>
  </si>
  <si>
    <t>លុក</t>
  </si>
  <si>
    <t>LUK</t>
  </si>
  <si>
    <t>088 205 302 0</t>
  </si>
  <si>
    <t>2900518-1407160-ឋ</t>
  </si>
  <si>
    <t>062185090</t>
  </si>
  <si>
    <t>ហូត</t>
  </si>
  <si>
    <t>ចាន់ស្រីរ័ត្ន</t>
  </si>
  <si>
    <t>HOTH</t>
  </si>
  <si>
    <t>CHANSREYRATH</t>
  </si>
  <si>
    <t>088 694 145 3</t>
  </si>
  <si>
    <t>Phum3, Sangkat3, Sihanouk ville, Sihanouk province</t>
  </si>
  <si>
    <t>2870517-0745361-ភ</t>
  </si>
  <si>
    <t>130090517</t>
  </si>
  <si>
    <t>លៀន</t>
  </si>
  <si>
    <t>LIEN</t>
  </si>
  <si>
    <t>010 578 232</t>
  </si>
  <si>
    <t>1911019-2202477-ឍ</t>
  </si>
  <si>
    <t>100933108</t>
  </si>
  <si>
    <t>ថិន</t>
  </si>
  <si>
    <t>ថៃ</t>
  </si>
  <si>
    <t>THIN</t>
  </si>
  <si>
    <t>THAI</t>
  </si>
  <si>
    <t>097 341 739 7</t>
  </si>
  <si>
    <t>140160662</t>
  </si>
  <si>
    <t>ឃៀង</t>
  </si>
  <si>
    <t>KHIENG</t>
  </si>
  <si>
    <t>2951016-0385369-យ</t>
  </si>
  <si>
    <t>061656049</t>
  </si>
  <si>
    <t>YAY</t>
  </si>
  <si>
    <t>096 336 994 9</t>
  </si>
  <si>
    <t>2951016-0384884-រ</t>
  </si>
  <si>
    <t>051069117</t>
  </si>
  <si>
    <t>ជីន</t>
  </si>
  <si>
    <t>រីណា</t>
  </si>
  <si>
    <t>RYNA</t>
  </si>
  <si>
    <t>088 961 535 4</t>
  </si>
  <si>
    <t>2980317-0681946-ឡ</t>
  </si>
  <si>
    <t>110579526</t>
  </si>
  <si>
    <t>ស្រីង៉ែត</t>
  </si>
  <si>
    <t>SREYNGET</t>
  </si>
  <si>
    <t>066 430 368</t>
  </si>
  <si>
    <t>2831019-2212031-ក</t>
  </si>
  <si>
    <t>101252502</t>
  </si>
  <si>
    <t>ស្រីម៉ន</t>
  </si>
  <si>
    <t>TORN</t>
  </si>
  <si>
    <t>SREYMAN</t>
  </si>
  <si>
    <t>096 414 377 3</t>
  </si>
  <si>
    <t>2890917-0893549-ឈ</t>
  </si>
  <si>
    <t>130190573</t>
  </si>
  <si>
    <t>គុណ</t>
  </si>
  <si>
    <t>KUN</t>
  </si>
  <si>
    <t>096 647 034 9</t>
  </si>
  <si>
    <t>2950119-1973898-ឆ</t>
  </si>
  <si>
    <t>050816346</t>
  </si>
  <si>
    <t>SUON</t>
  </si>
  <si>
    <t>CHITRA</t>
  </si>
  <si>
    <t>096 374 518 7</t>
  </si>
  <si>
    <t>2840918-1653957-គ</t>
  </si>
  <si>
    <t>062129877</t>
  </si>
  <si>
    <t>ដឹប</t>
  </si>
  <si>
    <t>ចាន់លាង</t>
  </si>
  <si>
    <t>DOEB</t>
  </si>
  <si>
    <t>CHANLEANG</t>
  </si>
  <si>
    <t>088 686 439 2</t>
  </si>
  <si>
    <t>2900317-0676561ប</t>
  </si>
  <si>
    <t>110403745(01)</t>
  </si>
  <si>
    <t>សាមេត</t>
  </si>
  <si>
    <t>SAMETH</t>
  </si>
  <si>
    <t>2781019-2202548-ធ</t>
  </si>
  <si>
    <t>100932839</t>
  </si>
  <si>
    <t>មៀច</t>
  </si>
  <si>
    <t>យ៉ម</t>
  </si>
  <si>
    <t>MIECH</t>
  </si>
  <si>
    <t>YOM</t>
  </si>
  <si>
    <t>096 211 027 9</t>
  </si>
  <si>
    <t>2950517-0782326-ម</t>
  </si>
  <si>
    <t>110473661</t>
  </si>
  <si>
    <t>SREY NEANG</t>
  </si>
  <si>
    <t>081 213 190</t>
  </si>
  <si>
    <t>2981016-0392966-ស</t>
  </si>
  <si>
    <t>130185418</t>
  </si>
  <si>
    <t>ណែន</t>
  </si>
  <si>
    <t>មួយគា</t>
  </si>
  <si>
    <t>NEN</t>
  </si>
  <si>
    <t>MUOYKEA</t>
  </si>
  <si>
    <t>096 598 996 7</t>
  </si>
  <si>
    <t>2781019-2202457-ទ</t>
  </si>
  <si>
    <t>100932396</t>
  </si>
  <si>
    <t>SOT</t>
  </si>
  <si>
    <t>2851019-2202554-ឍ</t>
  </si>
  <si>
    <t>171126509</t>
  </si>
  <si>
    <t>ច្រែង</t>
  </si>
  <si>
    <t>រ៉ើន</t>
  </si>
  <si>
    <t>CHRENG</t>
  </si>
  <si>
    <t>ROEUN</t>
  </si>
  <si>
    <t>088 718 253 4</t>
  </si>
  <si>
    <t>101263326</t>
  </si>
  <si>
    <t>ប៉ុក</t>
  </si>
  <si>
    <t>RY</t>
  </si>
  <si>
    <t>087 259 849</t>
  </si>
  <si>
    <t>010 559 406</t>
  </si>
  <si>
    <t>1980717-0844225-យ</t>
  </si>
  <si>
    <t>បូវិន</t>
  </si>
  <si>
    <t>BOVIN</t>
  </si>
  <si>
    <t>093 913 351</t>
  </si>
  <si>
    <t>2940619-2095136-ម</t>
  </si>
  <si>
    <t>130116601(01)</t>
  </si>
  <si>
    <t>ស្រីគាង</t>
  </si>
  <si>
    <t>SREYKEANG</t>
  </si>
  <si>
    <t>2950317-0678060-ផ</t>
  </si>
  <si>
    <t>130168885</t>
  </si>
  <si>
    <t>SREY MUM</t>
  </si>
  <si>
    <t>010 282 473</t>
  </si>
  <si>
    <t>2910417-0690834-ផ</t>
  </si>
  <si>
    <t>130094955</t>
  </si>
  <si>
    <t>TOEUR</t>
  </si>
  <si>
    <t>016 342 738</t>
  </si>
  <si>
    <t>2990918-1654346-ខ</t>
  </si>
  <si>
    <t>096 245 266 8</t>
  </si>
  <si>
    <t>2981016-0380957-រ</t>
  </si>
  <si>
    <t>130227512</t>
  </si>
  <si>
    <t xml:space="preserve">រ៉ា </t>
  </si>
  <si>
    <t>RA</t>
  </si>
  <si>
    <t>LEAKENA</t>
  </si>
  <si>
    <t>096 900 999 6</t>
  </si>
  <si>
    <t>1921116-0432051-ឃ</t>
  </si>
  <si>
    <t>130187471</t>
  </si>
  <si>
    <t>ខុំ</t>
  </si>
  <si>
    <t>KHIEV</t>
  </si>
  <si>
    <t>KHOM</t>
  </si>
  <si>
    <t>MECHANIC</t>
  </si>
  <si>
    <t>1940918-1654360-ម</t>
  </si>
  <si>
    <t>050805708</t>
  </si>
  <si>
    <t>លាភ</t>
  </si>
  <si>
    <t>LEAP</t>
  </si>
  <si>
    <t>RCI</t>
  </si>
  <si>
    <t>2581019-2203594-ធ</t>
  </si>
  <si>
    <t>130208809</t>
  </si>
  <si>
    <t>សាវ៉ន</t>
  </si>
  <si>
    <t>CLEANER</t>
  </si>
  <si>
    <t>ខេត្តអាងយ៉ាង</t>
  </si>
  <si>
    <t>096 733 655 5</t>
  </si>
  <si>
    <t>2961016-0381529-ប</t>
  </si>
  <si>
    <t>050856690</t>
  </si>
  <si>
    <t>096 218 126 0</t>
  </si>
  <si>
    <t>2721019-2203458-ឍ</t>
  </si>
  <si>
    <t>050922177</t>
  </si>
  <si>
    <t>លឿង</t>
  </si>
  <si>
    <t>NOV</t>
  </si>
  <si>
    <t>LOEUNG</t>
  </si>
  <si>
    <t>070 459 218 0</t>
  </si>
  <si>
    <t>2981019-2209717-យ</t>
  </si>
  <si>
    <t>2821116-0402594-ឌ</t>
  </si>
  <si>
    <t>096 955 364 5</t>
  </si>
  <si>
    <t>2731016-0385088-ន</t>
  </si>
  <si>
    <t>130209067</t>
  </si>
  <si>
    <t>ទិព្វ</t>
  </si>
  <si>
    <t>NAM</t>
  </si>
  <si>
    <t>TEP</t>
  </si>
  <si>
    <t>016 748 200</t>
  </si>
  <si>
    <t>Phum Puthoeung,Khum Bittrang, Srok Preynop, Sihanouk Province</t>
  </si>
  <si>
    <t>2841019-2202493-ណ</t>
  </si>
  <si>
    <t>100933048</t>
  </si>
  <si>
    <t>KAMSAT</t>
  </si>
  <si>
    <t>2001019-2202540-វ</t>
  </si>
  <si>
    <t>101261540</t>
  </si>
  <si>
    <t>SOUERN</t>
  </si>
  <si>
    <t>096 278 015 1</t>
  </si>
  <si>
    <t>2941116-0406791-ធ</t>
  </si>
  <si>
    <t>130185367</t>
  </si>
  <si>
    <t>នាថ</t>
  </si>
  <si>
    <t>NEAT</t>
  </si>
  <si>
    <t>098 529 206</t>
  </si>
  <si>
    <t>2871019-2204956-ភ</t>
  </si>
  <si>
    <t>101095961</t>
  </si>
  <si>
    <t>ញាណ</t>
  </si>
  <si>
    <t>NHEAN</t>
  </si>
  <si>
    <t>088 293 961 4</t>
  </si>
  <si>
    <t>2851118-1888536-អ</t>
  </si>
  <si>
    <t>101096032</t>
  </si>
  <si>
    <t>ស៊ឹប</t>
  </si>
  <si>
    <t>សំអាត</t>
  </si>
  <si>
    <t>SOEB</t>
  </si>
  <si>
    <t>SAM AT</t>
  </si>
  <si>
    <t>081 587 110</t>
  </si>
  <si>
    <t>015 525 374</t>
  </si>
  <si>
    <t>2781019-2202475-ទ</t>
  </si>
  <si>
    <t>130213381</t>
  </si>
  <si>
    <t>សុភ័ក្រ្ត</t>
  </si>
  <si>
    <t>088 315 845 3</t>
  </si>
  <si>
    <t>061545595</t>
  </si>
  <si>
    <t>ស៊ីម</t>
  </si>
  <si>
    <t>SOME</t>
  </si>
  <si>
    <t>SIM</t>
  </si>
  <si>
    <t>093 791 053</t>
  </si>
  <si>
    <t>ចំការ</t>
  </si>
  <si>
    <t>2791019-2202538-ធ</t>
  </si>
  <si>
    <t>101096004</t>
  </si>
  <si>
    <t>SAROEUN</t>
  </si>
  <si>
    <t>29910192209993អ</t>
  </si>
  <si>
    <t>250013676</t>
  </si>
  <si>
    <t>A16</t>
  </si>
  <si>
    <t>097 732 608 6</t>
  </si>
  <si>
    <t>2811019-2208027-ដ</t>
  </si>
  <si>
    <t>170941842</t>
  </si>
  <si>
    <t>មួក</t>
  </si>
  <si>
    <t>សុខី</t>
  </si>
  <si>
    <t>MUOK</t>
  </si>
  <si>
    <t>SOKHY</t>
  </si>
  <si>
    <t>088 491 113 4</t>
  </si>
  <si>
    <t>2830918-1654152-ព</t>
  </si>
  <si>
    <t>110216958(01)</t>
  </si>
  <si>
    <t>PHOEUN</t>
  </si>
  <si>
    <t>016 416 921</t>
  </si>
  <si>
    <t>2830319-2005372-ឌ</t>
  </si>
  <si>
    <t>051203224</t>
  </si>
  <si>
    <t>អាត</t>
  </si>
  <si>
    <t>AT</t>
  </si>
  <si>
    <t>010 338 387</t>
  </si>
  <si>
    <t>2631019-2202453-ជ</t>
  </si>
  <si>
    <t>170477228(01)</t>
  </si>
  <si>
    <t>ឡាប</t>
  </si>
  <si>
    <t>ជន</t>
  </si>
  <si>
    <t>LAP</t>
  </si>
  <si>
    <t>CHUN</t>
  </si>
  <si>
    <t>2801116-0400772-ឆ</t>
  </si>
  <si>
    <t>110181478(01)</t>
  </si>
  <si>
    <t>ឈីម</t>
  </si>
  <si>
    <t>CHIEM</t>
  </si>
  <si>
    <t>096 954 079 3</t>
  </si>
  <si>
    <t>2011019-2204080-ហ</t>
  </si>
  <si>
    <t>070316756</t>
  </si>
  <si>
    <t>ផល្លីន</t>
  </si>
  <si>
    <t>POEU</t>
  </si>
  <si>
    <t>PHALIN</t>
  </si>
  <si>
    <t>096 802 095 6</t>
  </si>
  <si>
    <t>1861116-0401201-អ</t>
  </si>
  <si>
    <t>130200636</t>
  </si>
  <si>
    <t>អ៊ួន</t>
  </si>
  <si>
    <t>096 950 373 7</t>
  </si>
  <si>
    <t>Phum ​Tropeangmoul,Khum Cherngko, Srok Preynop, Sihanouk Province</t>
  </si>
  <si>
    <t>10010192210051ភ</t>
  </si>
  <si>
    <t>070314398</t>
  </si>
  <si>
    <t>សែ</t>
  </si>
  <si>
    <t>PHEARON</t>
  </si>
  <si>
    <t>088 226 166 4</t>
  </si>
  <si>
    <t>1930719-2116063-ថ</t>
  </si>
  <si>
    <t>110662635</t>
  </si>
  <si>
    <t>ឧត្តម</t>
  </si>
  <si>
    <t>UDOM</t>
  </si>
  <si>
    <t>016 503 949</t>
  </si>
  <si>
    <t>10110192210896ឈ</t>
  </si>
  <si>
    <t>031011423</t>
  </si>
  <si>
    <t>LEAB</t>
  </si>
  <si>
    <t>015 266 872</t>
  </si>
  <si>
    <t>110610413</t>
  </si>
  <si>
    <t>ជៀវ</t>
  </si>
  <si>
    <t>CHEAV</t>
  </si>
  <si>
    <t>096 990 049 6</t>
  </si>
  <si>
    <t>1991019-2214367-ព</t>
  </si>
  <si>
    <t>200212900</t>
  </si>
  <si>
    <t>ញ៉ែន</t>
  </si>
  <si>
    <t>NHEN</t>
  </si>
  <si>
    <t>1961019-2212268ទ</t>
  </si>
  <si>
    <t>100949825</t>
  </si>
  <si>
    <t>ហ៊ិន</t>
  </si>
  <si>
    <t>HIN</t>
  </si>
  <si>
    <t>069 327 993</t>
  </si>
  <si>
    <t>1941019-2202523-ឈ</t>
  </si>
  <si>
    <t>100933163</t>
  </si>
  <si>
    <t>វុធ</t>
  </si>
  <si>
    <t>VUTH</t>
  </si>
  <si>
    <t>096 458 457 0</t>
  </si>
  <si>
    <t>កូប្រា</t>
  </si>
  <si>
    <t>1970519-2076640-ម</t>
  </si>
  <si>
    <t>130124351</t>
  </si>
  <si>
    <t>សែន</t>
  </si>
  <si>
    <t>18810192209977ឡ</t>
  </si>
  <si>
    <t>180815784</t>
  </si>
  <si>
    <t>សាល</t>
  </si>
  <si>
    <t>SAL</t>
  </si>
  <si>
    <t>068 842 744</t>
  </si>
  <si>
    <t>1871019-2202504-ញ</t>
  </si>
  <si>
    <t>101274083</t>
  </si>
  <si>
    <t>1961017-0946085ម</t>
  </si>
  <si>
    <t>130176409</t>
  </si>
  <si>
    <t>យេន</t>
  </si>
  <si>
    <t>មូវ</t>
  </si>
  <si>
    <t>MOV</t>
  </si>
  <si>
    <t>1000818-1635761-ណ</t>
  </si>
  <si>
    <t>130173729</t>
  </si>
  <si>
    <t>ហ៊ី</t>
  </si>
  <si>
    <t>HY</t>
  </si>
  <si>
    <t>29710192209952យ</t>
  </si>
  <si>
    <t>061456316</t>
  </si>
  <si>
    <t>088 798 183 9</t>
  </si>
  <si>
    <t>2980617-0809461-វ</t>
  </si>
  <si>
    <t>130214661</t>
  </si>
  <si>
    <t>SOMPORS</t>
  </si>
  <si>
    <t>015 757 642</t>
  </si>
  <si>
    <t>Sangkat3, Sihanouk ville, Sihanouk province</t>
  </si>
  <si>
    <t>2931019-2212483ណ</t>
  </si>
  <si>
    <t>110419741(01)</t>
  </si>
  <si>
    <t>យ៉ុន</t>
  </si>
  <si>
    <t>SOUT</t>
  </si>
  <si>
    <t>081 590 244</t>
  </si>
  <si>
    <t>29110116-0399063-ទ</t>
  </si>
  <si>
    <t>130219127</t>
  </si>
  <si>
    <t>ម៉ាន</t>
  </si>
  <si>
    <t>លីម</t>
  </si>
  <si>
    <t>MANN</t>
  </si>
  <si>
    <t>096​ 864 243 4</t>
  </si>
  <si>
    <t>1981019-2204036-ឍ</t>
  </si>
  <si>
    <t>021031052</t>
  </si>
  <si>
    <t>សំអូន</t>
  </si>
  <si>
    <t>AN</t>
  </si>
  <si>
    <t>SAMON</t>
  </si>
  <si>
    <t>086 887 237</t>
  </si>
  <si>
    <t>2841019-2210035-ច</t>
  </si>
  <si>
    <t>110233523(01)</t>
  </si>
  <si>
    <t>ស៊ីយ៉ុម</t>
  </si>
  <si>
    <t>SIYOM</t>
  </si>
  <si>
    <t>096 977 168 2</t>
  </si>
  <si>
    <t>1940118-1143808-ថ</t>
  </si>
  <si>
    <t>130193308</t>
  </si>
  <si>
    <t>សុផាណា</t>
  </si>
  <si>
    <t>SUM</t>
  </si>
  <si>
    <t>SOPANNA</t>
  </si>
  <si>
    <t>012 386 266</t>
  </si>
  <si>
    <t>150637429</t>
  </si>
  <si>
    <t>ណារ៉ុង</t>
  </si>
  <si>
    <t>NARUNG</t>
  </si>
  <si>
    <t>086 562 626</t>
  </si>
  <si>
    <t>Phum2, Sangkat4, Sihanouk ville, Sihanouk province</t>
  </si>
  <si>
    <t>2981116-0401436-ឍ</t>
  </si>
  <si>
    <t>130139499</t>
  </si>
  <si>
    <t>SEM</t>
  </si>
  <si>
    <t>HAN</t>
  </si>
  <si>
    <t>096 648 578 9</t>
  </si>
  <si>
    <t>2900118-1201657-ដ</t>
  </si>
  <si>
    <t>050648610</t>
  </si>
  <si>
    <t>088 729 086 9</t>
  </si>
  <si>
    <t>2801019-2206119-ញ</t>
  </si>
  <si>
    <t>051423089</t>
  </si>
  <si>
    <t>មើក</t>
  </si>
  <si>
    <t>NAOEK</t>
  </si>
  <si>
    <t>SOKHORN</t>
  </si>
  <si>
    <t>096 423 182 8</t>
  </si>
  <si>
    <t>110519773</t>
  </si>
  <si>
    <t>ស្រីគីន</t>
  </si>
  <si>
    <t>VIT</t>
  </si>
  <si>
    <t>SREYKIN</t>
  </si>
  <si>
    <t>087 226 827</t>
  </si>
  <si>
    <t>2821116-0466982-ភ</t>
  </si>
  <si>
    <t>ញ៉ឹក</t>
  </si>
  <si>
    <t>NHOEK</t>
  </si>
  <si>
    <t>096 725 285 7</t>
  </si>
  <si>
    <t>2970918-1718319-ក</t>
  </si>
  <si>
    <t>040332119</t>
  </si>
  <si>
    <t>SOPHAN</t>
  </si>
  <si>
    <t>096 466 525 0</t>
  </si>
  <si>
    <t>2980417-0688000-ប</t>
  </si>
  <si>
    <t>130219915</t>
  </si>
  <si>
    <t>ម៉ីម៉ី</t>
  </si>
  <si>
    <t>MEYMEY</t>
  </si>
  <si>
    <t>096 533 005 9</t>
  </si>
  <si>
    <t>Sangkat1, Sihanouk ville, Sihanouk province</t>
  </si>
  <si>
    <t>1001019-2206956-ញ</t>
  </si>
  <si>
    <t>051574921</t>
  </si>
  <si>
    <t>រ៉ាវី</t>
  </si>
  <si>
    <t>KHY</t>
  </si>
  <si>
    <t>RAVY</t>
  </si>
  <si>
    <t>130226816</t>
  </si>
  <si>
    <t>ខេង</t>
  </si>
  <si>
    <t>015 847 439</t>
  </si>
  <si>
    <t>1991019-2204459-ភ</t>
  </si>
  <si>
    <t>110560107</t>
  </si>
  <si>
    <t>KNA</t>
  </si>
  <si>
    <t>016 261 730</t>
  </si>
  <si>
    <t>1941016-0385535-ធ</t>
  </si>
  <si>
    <t>110440048</t>
  </si>
  <si>
    <t>រ៉ាត់</t>
  </si>
  <si>
    <t>096 205 729 4</t>
  </si>
  <si>
    <t>2010718-1514192ញ</t>
  </si>
  <si>
    <t>200252580</t>
  </si>
  <si>
    <t>ញែន</t>
  </si>
  <si>
    <t>097 867 211 2</t>
  </si>
  <si>
    <t>10110192207032ស</t>
  </si>
  <si>
    <t>ឧដែន</t>
  </si>
  <si>
    <t>OUDEN</t>
  </si>
  <si>
    <t>ទៅស្រុក</t>
  </si>
  <si>
    <t>088 803 462 2</t>
  </si>
  <si>
    <t>1000719-2125069-ដ</t>
  </si>
  <si>
    <t>110638841</t>
  </si>
  <si>
    <t>ប៉ាត់</t>
  </si>
  <si>
    <t>សុខាន់</t>
  </si>
  <si>
    <t>PATH</t>
  </si>
  <si>
    <t>SOKHANN</t>
  </si>
  <si>
    <t>2801019-2210034ក</t>
  </si>
  <si>
    <t>051585523</t>
  </si>
  <si>
    <t>088 940 103 2</t>
  </si>
  <si>
    <t>10010192210866ង</t>
  </si>
  <si>
    <t>130225021</t>
  </si>
  <si>
    <t>សិត</t>
  </si>
  <si>
    <t>SIT</t>
  </si>
  <si>
    <t>086 841 553</t>
  </si>
  <si>
    <t>2931019-2209750-ទ</t>
  </si>
  <si>
    <t>200146429</t>
  </si>
  <si>
    <t>រិត</t>
  </si>
  <si>
    <t>YN</t>
  </si>
  <si>
    <t>RIT</t>
  </si>
  <si>
    <t>097 237 241 6</t>
  </si>
  <si>
    <t>2911116-0402155-ច</t>
  </si>
  <si>
    <t>090841698</t>
  </si>
  <si>
    <t>KOEUT</t>
  </si>
  <si>
    <t>SOKLY</t>
  </si>
  <si>
    <t>087 715 458</t>
  </si>
  <si>
    <t>2010918-1654359-ផ</t>
  </si>
  <si>
    <t>062178330</t>
  </si>
  <si>
    <t>ជួប</t>
  </si>
  <si>
    <t>ម៉ារី</t>
  </si>
  <si>
    <t>CHUOB</t>
  </si>
  <si>
    <t>MARY</t>
  </si>
  <si>
    <t>1901019-2212990ឍ</t>
  </si>
  <si>
    <t>110455663</t>
  </si>
  <si>
    <t>PROS</t>
  </si>
  <si>
    <t>097 906 205 6</t>
  </si>
  <si>
    <t>1971019-2209723-ប</t>
  </si>
  <si>
    <t>200167184</t>
  </si>
  <si>
    <t>ឆៃ</t>
  </si>
  <si>
    <t>SUTH</t>
  </si>
  <si>
    <t>CHHAI</t>
  </si>
  <si>
    <t>088 245 020 6</t>
  </si>
  <si>
    <t>19610192212019ឋ</t>
  </si>
  <si>
    <t>140102950</t>
  </si>
  <si>
    <t>មុត</t>
  </si>
  <si>
    <t>MUT</t>
  </si>
  <si>
    <t>093 813 220</t>
  </si>
  <si>
    <t>29810192211019ឍ</t>
  </si>
  <si>
    <t>250013545</t>
  </si>
  <si>
    <t>KNHA</t>
  </si>
  <si>
    <t>​</t>
  </si>
  <si>
    <t>088 798 128 1</t>
  </si>
  <si>
    <t>1870817-0875931-អ</t>
  </si>
  <si>
    <t>130208475</t>
  </si>
  <si>
    <t>វិចិត្រ</t>
  </si>
  <si>
    <t>VICHETH</t>
  </si>
  <si>
    <t>016 425 006</t>
  </si>
  <si>
    <t>1931016-0391269-ធ</t>
  </si>
  <si>
    <t>110497008</t>
  </si>
  <si>
    <t>ម៉ាយ</t>
  </si>
  <si>
    <t>MAY</t>
  </si>
  <si>
    <t>096 271 857 3</t>
  </si>
  <si>
    <t>2801016-0396536-ទ</t>
  </si>
  <si>
    <t>130181915</t>
  </si>
  <si>
    <t>សុកគឿន</t>
  </si>
  <si>
    <t>SOKKOEUN</t>
  </si>
  <si>
    <t>096 343 086 2</t>
  </si>
  <si>
    <t>2880215-0010270-ហ</t>
  </si>
  <si>
    <t>051540046</t>
  </si>
  <si>
    <t>ជុន</t>
  </si>
  <si>
    <t>វ័ន</t>
  </si>
  <si>
    <t>097 229 572 1</t>
  </si>
  <si>
    <t>1851018-1826237-ប</t>
  </si>
  <si>
    <t>062002090</t>
  </si>
  <si>
    <t>ដែន</t>
  </si>
  <si>
    <t>DEN</t>
  </si>
  <si>
    <t>060 566 096</t>
  </si>
  <si>
    <t>2881019-2208147-ប</t>
  </si>
  <si>
    <t>051074679</t>
  </si>
  <si>
    <t>អ៊ាន</t>
  </si>
  <si>
    <t>ណៃនី</t>
  </si>
  <si>
    <t>EAN</t>
  </si>
  <si>
    <t>NAYAY</t>
  </si>
  <si>
    <t>096 512 289 0</t>
  </si>
  <si>
    <t>1891118-1913305-ធ</t>
  </si>
  <si>
    <t>PHAL</t>
  </si>
  <si>
    <t>060 587 716</t>
  </si>
  <si>
    <t>061041803</t>
  </si>
  <si>
    <t>016 867 506</t>
  </si>
  <si>
    <t>29310192209966រ</t>
  </si>
  <si>
    <t>110396724(01)</t>
  </si>
  <si>
    <t>DOEU</t>
  </si>
  <si>
    <t>096 411 132 7</t>
  </si>
  <si>
    <t>2920717-0849129-វ</t>
  </si>
  <si>
    <t>110378035(01)</t>
  </si>
  <si>
    <t>ស្រីណាវ</t>
  </si>
  <si>
    <t>SREYNAV</t>
  </si>
  <si>
    <t>096 212 893 8</t>
  </si>
  <si>
    <t>199109-2210003ច</t>
  </si>
  <si>
    <t>101084884</t>
  </si>
  <si>
    <t>LYDA</t>
  </si>
  <si>
    <t>088 826 362 8</t>
  </si>
  <si>
    <t>1961019-2210878ព</t>
  </si>
  <si>
    <t>130193192</t>
  </si>
  <si>
    <t>ចិត្រ្តា</t>
  </si>
  <si>
    <t>CHATRA</t>
  </si>
  <si>
    <t>2960317-0680325-ន</t>
  </si>
  <si>
    <t>100697166</t>
  </si>
  <si>
    <t>ពិន</t>
  </si>
  <si>
    <t>សុន្នីតា</t>
  </si>
  <si>
    <t>PIN</t>
  </si>
  <si>
    <t>SONITA</t>
  </si>
  <si>
    <t>097 632 737 8</t>
  </si>
  <si>
    <t>2881016-0392978-ឡ</t>
  </si>
  <si>
    <t>110431397</t>
  </si>
  <si>
    <t>SAMAUN</t>
  </si>
  <si>
    <t>086 490 803</t>
  </si>
  <si>
    <t>2900317-0681776-ម</t>
  </si>
  <si>
    <t>110361378</t>
  </si>
  <si>
    <t>RUMDOURL</t>
  </si>
  <si>
    <t>069 560 609</t>
  </si>
  <si>
    <t>2870317-0676639-អ</t>
  </si>
  <si>
    <t>110310078</t>
  </si>
  <si>
    <t>KHOEM</t>
  </si>
  <si>
    <t>097 286 547 9</t>
  </si>
  <si>
    <t>2870218-1251607-ទ</t>
  </si>
  <si>
    <t>061578349</t>
  </si>
  <si>
    <t>ឆៃលីម</t>
  </si>
  <si>
    <t>UONG</t>
  </si>
  <si>
    <t>CHHAILIM</t>
  </si>
  <si>
    <t>096 802 312 5</t>
  </si>
  <si>
    <t>2831019-2221490-ឋ</t>
  </si>
  <si>
    <t>150928022</t>
  </si>
  <si>
    <t>086 927 782</t>
  </si>
  <si>
    <t>បើកឡន</t>
  </si>
  <si>
    <t>29708170869041ស</t>
  </si>
  <si>
    <t>101098349</t>
  </si>
  <si>
    <t>ស្រីពេជ</t>
  </si>
  <si>
    <t>HOEM</t>
  </si>
  <si>
    <t>SREYPECH</t>
  </si>
  <si>
    <t>096 269 611 2</t>
  </si>
  <si>
    <t>2981016-0391280-ទ</t>
  </si>
  <si>
    <t>101174454</t>
  </si>
  <si>
    <t>SREYLEAK</t>
  </si>
  <si>
    <t>010 250 957</t>
  </si>
  <si>
    <t>2021019-2219411-គ</t>
  </si>
  <si>
    <t>171152750</t>
  </si>
  <si>
    <t>រឺង</t>
  </si>
  <si>
    <t>សុខណា</t>
  </si>
  <si>
    <t>REUNG</t>
  </si>
  <si>
    <t>SOKNA</t>
  </si>
  <si>
    <t>096 592 138 6</t>
  </si>
  <si>
    <t>100587847</t>
  </si>
  <si>
    <t>សារ៉ាន់</t>
  </si>
  <si>
    <t>SARANN</t>
  </si>
  <si>
    <t>097 788 590 3</t>
  </si>
  <si>
    <t>វឿន</t>
  </si>
  <si>
    <t>088 288 466 0</t>
  </si>
  <si>
    <t>2941217-1107193-ត</t>
  </si>
  <si>
    <t>130168530</t>
  </si>
  <si>
    <t>PHANN</t>
  </si>
  <si>
    <t>096 514 530 6</t>
  </si>
  <si>
    <t>សំបូ</t>
  </si>
  <si>
    <t>060 583 323</t>
  </si>
  <si>
    <t>2831019-2220661-ដ</t>
  </si>
  <si>
    <t>130223541</t>
  </si>
  <si>
    <t>ស៊ី</t>
  </si>
  <si>
    <t>SI</t>
  </si>
  <si>
    <t>096 567 704 0</t>
  </si>
  <si>
    <t>2831118-1913919-ម</t>
  </si>
  <si>
    <t>130224251</t>
  </si>
  <si>
    <t>សុគន្ធ</t>
  </si>
  <si>
    <t>YON</t>
  </si>
  <si>
    <t>SOKUN</t>
  </si>
  <si>
    <t>010 357 286</t>
  </si>
  <si>
    <t>2851016-0390819-ប</t>
  </si>
  <si>
    <t>110257488</t>
  </si>
  <si>
    <t>ដា</t>
  </si>
  <si>
    <t>PHARN</t>
  </si>
  <si>
    <t>DA</t>
  </si>
  <si>
    <t>087 683 749</t>
  </si>
  <si>
    <t>2861019-2220162-ញ</t>
  </si>
  <si>
    <t>021109582</t>
  </si>
  <si>
    <t>015 321 537</t>
  </si>
  <si>
    <t>130194174</t>
  </si>
  <si>
    <t>010 922 255</t>
  </si>
  <si>
    <t>2831016-0398182-ន</t>
  </si>
  <si>
    <t>130147059</t>
  </si>
  <si>
    <t>RORN</t>
  </si>
  <si>
    <t>070 512 581</t>
  </si>
  <si>
    <t>2881116-0401434-ដ</t>
  </si>
  <si>
    <t>170647410(01)</t>
  </si>
  <si>
    <t>096 970 075 8</t>
  </si>
  <si>
    <t>110497144</t>
  </si>
  <si>
    <t>ប៉ិច</t>
  </si>
  <si>
    <t>ហ៊ាន់</t>
  </si>
  <si>
    <t>093 693 644</t>
  </si>
  <si>
    <t>2001016-0363686-យ</t>
  </si>
  <si>
    <t>030784928</t>
  </si>
  <si>
    <t>ស្រួច</t>
  </si>
  <si>
    <t>រ៉េន</t>
  </si>
  <si>
    <t>SRUOCH</t>
  </si>
  <si>
    <t>REN</t>
  </si>
  <si>
    <t>010 342 185</t>
  </si>
  <si>
    <t>2031218-1343689ម</t>
  </si>
  <si>
    <t>101361679</t>
  </si>
  <si>
    <t>ធឿន</t>
  </si>
  <si>
    <t>THOEURN</t>
  </si>
  <si>
    <t>096 484 588 2</t>
  </si>
  <si>
    <t>29210192222386ថ</t>
  </si>
  <si>
    <t>050856701</t>
  </si>
  <si>
    <t>093 863 268</t>
  </si>
  <si>
    <t>2951019-2220275-ណ</t>
  </si>
  <si>
    <t>110426117</t>
  </si>
  <si>
    <t>010 526 207</t>
  </si>
  <si>
    <t>2971016-0393639-រ</t>
  </si>
  <si>
    <t>110541584</t>
  </si>
  <si>
    <t>ចាន់ឌី</t>
  </si>
  <si>
    <t>CHANDY</t>
  </si>
  <si>
    <t>096  271 857 3</t>
  </si>
  <si>
    <t>070259485</t>
  </si>
  <si>
    <t>LAY</t>
  </si>
  <si>
    <t>088 571 562 9</t>
  </si>
  <si>
    <t>2901019-2227446-ថ</t>
  </si>
  <si>
    <t>110482687</t>
  </si>
  <si>
    <t>ស្រីនឹក</t>
  </si>
  <si>
    <t>SETH</t>
  </si>
  <si>
    <t>SREY NEK</t>
  </si>
  <si>
    <t>096 506 715 8</t>
  </si>
  <si>
    <t>2930417-0692075-ព</t>
  </si>
  <si>
    <t>130193708</t>
  </si>
  <si>
    <t>យ៉ូន</t>
  </si>
  <si>
    <t>YOUN</t>
  </si>
  <si>
    <t>081 214 001</t>
  </si>
  <si>
    <t>2991018-1726474-វ</t>
  </si>
  <si>
    <t>101357118</t>
  </si>
  <si>
    <t>ស្រីផល</t>
  </si>
  <si>
    <t>SREYPHAL</t>
  </si>
  <si>
    <t>2861019-2226495-ម</t>
  </si>
  <si>
    <t>090666182</t>
  </si>
  <si>
    <t>សាំ</t>
  </si>
  <si>
    <t>096 218 028 4</t>
  </si>
  <si>
    <t>11000500860</t>
  </si>
  <si>
    <t>តេ</t>
  </si>
  <si>
    <t>TE</t>
  </si>
  <si>
    <t>2771019-2216880-ផ</t>
  </si>
  <si>
    <t>250168413</t>
  </si>
  <si>
    <t>SAROEURN</t>
  </si>
  <si>
    <t>071 838 299 0</t>
  </si>
  <si>
    <t>2941017-0925980-ម</t>
  </si>
  <si>
    <t>110581988</t>
  </si>
  <si>
    <t>ឈីន</t>
  </si>
  <si>
    <t>PHALY</t>
  </si>
  <si>
    <t>086 531 006</t>
  </si>
  <si>
    <t>2941019-2220954-ទ</t>
  </si>
  <si>
    <t>110446576</t>
  </si>
  <si>
    <t>មុន</t>
  </si>
  <si>
    <t>MON</t>
  </si>
  <si>
    <t>067 860 970</t>
  </si>
  <si>
    <t>Phum6, Sangkat4, Sihanouk ville, Sihanouk province</t>
  </si>
  <si>
    <t>2911016-0390961-ត</t>
  </si>
  <si>
    <t>110388139(01)</t>
  </si>
  <si>
    <t>010 683 749</t>
  </si>
  <si>
    <t>2971016-0392229-ប</t>
  </si>
  <si>
    <t>110577932</t>
  </si>
  <si>
    <t>010 379 925</t>
  </si>
  <si>
    <t>2831019-2226841-ថ</t>
  </si>
  <si>
    <t>110274723(01)</t>
  </si>
  <si>
    <t>096 786 920 8</t>
  </si>
  <si>
    <t>2951218-1941854-ល</t>
  </si>
  <si>
    <t>110408989(01)</t>
  </si>
  <si>
    <t>ស្រីណា</t>
  </si>
  <si>
    <t>EK</t>
  </si>
  <si>
    <t>SREYNA</t>
  </si>
  <si>
    <t>097 316 472 4</t>
  </si>
  <si>
    <t>2811019-2221527-ដ</t>
  </si>
  <si>
    <t>030652593</t>
  </si>
  <si>
    <t>CHROEB</t>
  </si>
  <si>
    <t>096 353 351 6</t>
  </si>
  <si>
    <t>2860717-0830779-អ</t>
  </si>
  <si>
    <t>110583151</t>
  </si>
  <si>
    <t>ជ្រឿន</t>
  </si>
  <si>
    <t>CHROEURN</t>
  </si>
  <si>
    <t>096 683 258 0</t>
  </si>
  <si>
    <t>2760818-1579454-ខ</t>
  </si>
  <si>
    <t>101096085</t>
  </si>
  <si>
    <t>នូ</t>
  </si>
  <si>
    <t>NOU</t>
  </si>
  <si>
    <t>097 970 412 1</t>
  </si>
  <si>
    <t>2991019-2217149-ម</t>
  </si>
  <si>
    <t>110541689</t>
  </si>
  <si>
    <t>អុន</t>
  </si>
  <si>
    <t>093 554 650</t>
  </si>
  <si>
    <t>110480566</t>
  </si>
  <si>
    <t>096 580 959 3</t>
  </si>
  <si>
    <t>2801019-2221553-ឈ</t>
  </si>
  <si>
    <t>170886206</t>
  </si>
  <si>
    <t>មាំ</t>
  </si>
  <si>
    <t>MAM</t>
  </si>
  <si>
    <t>060 839 733</t>
  </si>
  <si>
    <t>2000319-2011160-រ</t>
  </si>
  <si>
    <t>101160913</t>
  </si>
  <si>
    <t>ពិសីសុខុម</t>
  </si>
  <si>
    <t>CHUON</t>
  </si>
  <si>
    <t>PISEYSOKHOM</t>
  </si>
  <si>
    <t>087 604 500</t>
  </si>
  <si>
    <t>070193375</t>
  </si>
  <si>
    <t>PY</t>
  </si>
  <si>
    <t>088 678 187 1</t>
  </si>
  <si>
    <t>1990918-1654012-ភ</t>
  </si>
  <si>
    <t>110612315</t>
  </si>
  <si>
    <t>ចន្តារា</t>
  </si>
  <si>
    <t>CHANDARA</t>
  </si>
  <si>
    <t>1771019-2227213-ឌ</t>
  </si>
  <si>
    <t>090821199</t>
  </si>
  <si>
    <t>ធាន់</t>
  </si>
  <si>
    <t>TENG</t>
  </si>
  <si>
    <t>THUN</t>
  </si>
  <si>
    <t>088 338 429 8</t>
  </si>
  <si>
    <t>1921019-2221461-ឈ</t>
  </si>
  <si>
    <t>170725890</t>
  </si>
  <si>
    <t>សារិត</t>
  </si>
  <si>
    <t>MOAM</t>
  </si>
  <si>
    <t>SARET</t>
  </si>
  <si>
    <t>1991019-2227782-ល</t>
  </si>
  <si>
    <t>061945854</t>
  </si>
  <si>
    <t>ស៊ីនាត</t>
  </si>
  <si>
    <t>SINEAT</t>
  </si>
  <si>
    <t>097 431 020 0</t>
  </si>
  <si>
    <t>1011019-2221229-ក</t>
  </si>
  <si>
    <t>សុខហេង</t>
  </si>
  <si>
    <t>SOK HENG</t>
  </si>
  <si>
    <t>088 744 636 5</t>
  </si>
  <si>
    <t>1991019-2220340-ដ</t>
  </si>
  <si>
    <t>030981495</t>
  </si>
  <si>
    <t>វិរះ</t>
  </si>
  <si>
    <t>VIRAK</t>
  </si>
  <si>
    <t>A15</t>
  </si>
  <si>
    <t>071 624 810 1</t>
  </si>
  <si>
    <t>1021019-2227773-ឋ</t>
  </si>
  <si>
    <t>250266870</t>
  </si>
  <si>
    <t>SREYNET</t>
  </si>
  <si>
    <t>097 601 917 7</t>
  </si>
  <si>
    <t>1991019-2222244-ត</t>
  </si>
  <si>
    <t>110662426</t>
  </si>
  <si>
    <t>SUEN</t>
  </si>
  <si>
    <t>098 284 321</t>
  </si>
  <si>
    <t>1951019-2219473-ផ</t>
  </si>
  <si>
    <t>110575640</t>
  </si>
  <si>
    <t>ATH</t>
  </si>
  <si>
    <t>081 528 885</t>
  </si>
  <si>
    <t>1911116-0400851-ច</t>
  </si>
  <si>
    <t>110350501(01)</t>
  </si>
  <si>
    <t>097 456 157 9</t>
  </si>
  <si>
    <t>1001019-2221220-ភ</t>
  </si>
  <si>
    <t>101349573</t>
  </si>
  <si>
    <t>គីវ</t>
  </si>
  <si>
    <t>KIV</t>
  </si>
  <si>
    <t>097 734 374 2</t>
  </si>
  <si>
    <t>1911019-2216489-ផ</t>
  </si>
  <si>
    <t>110624981</t>
  </si>
  <si>
    <t>ឆេង</t>
  </si>
  <si>
    <t>CHHOEURN</t>
  </si>
  <si>
    <t>CHHENG</t>
  </si>
  <si>
    <t>088 767 945 8</t>
  </si>
  <si>
    <t>1941019-2216491-ទ</t>
  </si>
  <si>
    <t>110503969</t>
  </si>
  <si>
    <t>ងន</t>
  </si>
  <si>
    <t>NGORN</t>
  </si>
  <si>
    <t>096 260 091 4</t>
  </si>
  <si>
    <t>1940318-1297876-ក</t>
  </si>
  <si>
    <t>110453715</t>
  </si>
  <si>
    <t>ប៉ាក</t>
  </si>
  <si>
    <t>097 270 530 5</t>
  </si>
  <si>
    <t>1881019-2206742-ធ</t>
  </si>
  <si>
    <t>020519785(01)</t>
  </si>
  <si>
    <t>យី</t>
  </si>
  <si>
    <t>ប៊ុនថេង</t>
  </si>
  <si>
    <t>YI</t>
  </si>
  <si>
    <t>BUNTHENG</t>
  </si>
  <si>
    <t>096 773 200 6</t>
  </si>
  <si>
    <t>1771019-2220978-ភ</t>
  </si>
  <si>
    <t>100944041</t>
  </si>
  <si>
    <t>ភិត</t>
  </si>
  <si>
    <t>PHIT</t>
  </si>
  <si>
    <t>1941019-2222391-ឍ</t>
  </si>
  <si>
    <t>ច័ន្ទ</t>
  </si>
  <si>
    <t>កុម្ភៈ</t>
  </si>
  <si>
    <t>KUMPHEAK</t>
  </si>
  <si>
    <t>19906170795276យ</t>
  </si>
  <si>
    <t>171100402</t>
  </si>
  <si>
    <t>គក</t>
  </si>
  <si>
    <t>NAT</t>
  </si>
  <si>
    <t>KOK</t>
  </si>
  <si>
    <t>070 448 476</t>
  </si>
  <si>
    <t>1961019-2213308-ឍ</t>
  </si>
  <si>
    <t>220181376</t>
  </si>
  <si>
    <t>ផាន់នុ</t>
  </si>
  <si>
    <t>PHANNU</t>
  </si>
  <si>
    <t>096 655 776 5</t>
  </si>
  <si>
    <t>2770918-1654267-អ</t>
  </si>
  <si>
    <t>110157874(01)</t>
  </si>
  <si>
    <t xml:space="preserve">ផង់ </t>
  </si>
  <si>
    <t>2011019-2229418-ញ</t>
  </si>
  <si>
    <t>180959031</t>
  </si>
  <si>
    <t>RIEM</t>
  </si>
  <si>
    <t>071 722 384 2</t>
  </si>
  <si>
    <t>1001019-2229413-គ</t>
  </si>
  <si>
    <t>180830033</t>
  </si>
  <si>
    <t>ឡុក</t>
  </si>
  <si>
    <t>ដូ</t>
  </si>
  <si>
    <t>LOK</t>
  </si>
  <si>
    <t>DO</t>
  </si>
  <si>
    <t>250022065</t>
  </si>
  <si>
    <t>ក្រឹម</t>
  </si>
  <si>
    <t>KROEM</t>
  </si>
  <si>
    <t>070 890 879</t>
  </si>
  <si>
    <t>29909181654080ស</t>
  </si>
  <si>
    <t>240146961</t>
  </si>
  <si>
    <t>ណី</t>
  </si>
  <si>
    <t>សាវរី</t>
  </si>
  <si>
    <t>NEY</t>
  </si>
  <si>
    <t>SAVRY</t>
  </si>
  <si>
    <t>096 972 764 0</t>
  </si>
  <si>
    <t>101116036</t>
  </si>
  <si>
    <t>096 680 610 9</t>
  </si>
  <si>
    <t>2891016-0384609-ម</t>
  </si>
  <si>
    <t>110338891(01)</t>
  </si>
  <si>
    <t>070 474 068</t>
  </si>
  <si>
    <t>Phum Korki, Sangkat Bittrang, Preynop, Sihanouk province</t>
  </si>
  <si>
    <t>1791019-2229328-ភ</t>
  </si>
  <si>
    <t>050998426</t>
  </si>
  <si>
    <t>លីវ</t>
  </si>
  <si>
    <t>ប៊ុនណា</t>
  </si>
  <si>
    <t>LIV</t>
  </si>
  <si>
    <t>BUNNA</t>
  </si>
  <si>
    <t>B10</t>
  </si>
  <si>
    <t>ធ្លាក់ការសាកល្បង (ឈឺជើង)</t>
  </si>
  <si>
    <t>096 541 801 3</t>
  </si>
  <si>
    <t>2940118-1182204-ដ</t>
  </si>
  <si>
    <t>150514689</t>
  </si>
  <si>
    <t>សុខឃ័ន</t>
  </si>
  <si>
    <t>SOK KHNOIN</t>
  </si>
  <si>
    <t>2821016-0393338-ថ</t>
  </si>
  <si>
    <t>130054200(01)</t>
  </si>
  <si>
    <t xml:space="preserve">ភូ </t>
  </si>
  <si>
    <t>ឈុនហួ</t>
  </si>
  <si>
    <t>CHHUNHUO</t>
  </si>
  <si>
    <t>096 792 348 3</t>
  </si>
  <si>
    <t>1910717-0825415-ធ</t>
  </si>
  <si>
    <t>130127488</t>
  </si>
  <si>
    <t>ណៃ</t>
  </si>
  <si>
    <t>NAI</t>
  </si>
  <si>
    <t>2911019-2213029ញ</t>
  </si>
  <si>
    <t>110562590</t>
  </si>
  <si>
    <t>088 230 385 0</t>
  </si>
  <si>
    <t>វីរៈ</t>
  </si>
  <si>
    <t>ខេត្តមណ្ឌលគីរី</t>
  </si>
  <si>
    <t>097 926 433 3</t>
  </si>
  <si>
    <t>2971019-2206031-ដ</t>
  </si>
  <si>
    <t>130178642</t>
  </si>
  <si>
    <t>CHANTHU</t>
  </si>
  <si>
    <t>016 783 210</t>
  </si>
  <si>
    <t>2871016-0392889-ឡ</t>
  </si>
  <si>
    <t>130220261</t>
  </si>
  <si>
    <t>ពីង</t>
  </si>
  <si>
    <t>PING</t>
  </si>
  <si>
    <t>NARY</t>
  </si>
  <si>
    <t>016 277 387</t>
  </si>
  <si>
    <t>2890317-0680370-ផ</t>
  </si>
  <si>
    <t>130096016</t>
  </si>
  <si>
    <t>ឃូ</t>
  </si>
  <si>
    <t>ចន្ទ័តុលា</t>
  </si>
  <si>
    <t>KHOU</t>
  </si>
  <si>
    <t>CHANTOLA</t>
  </si>
  <si>
    <t>096 945 573 7</t>
  </si>
  <si>
    <t>2831016-0389209-ន</t>
  </si>
  <si>
    <t>090798710</t>
  </si>
  <si>
    <t>សឺម</t>
  </si>
  <si>
    <t>សិរិ</t>
  </si>
  <si>
    <t>Sirey</t>
  </si>
  <si>
    <t>Garment10</t>
  </si>
  <si>
    <t>066685713</t>
  </si>
  <si>
    <t>29210192234155ឍ</t>
  </si>
  <si>
    <t>110481742</t>
  </si>
  <si>
    <t>081 741 126</t>
  </si>
  <si>
    <t>ដេរ</t>
  </si>
  <si>
    <t>29310192234165ត</t>
  </si>
  <si>
    <t>110658995</t>
  </si>
  <si>
    <t>ដួង</t>
  </si>
  <si>
    <t>ពុំ</t>
  </si>
  <si>
    <t>DUONG</t>
  </si>
  <si>
    <t>POM</t>
  </si>
  <si>
    <t>096 457 934 2</t>
  </si>
  <si>
    <t>28810192234116ត</t>
  </si>
  <si>
    <t>130193237</t>
  </si>
  <si>
    <t>CHAKRIYA</t>
  </si>
  <si>
    <t>096 210 635 5</t>
  </si>
  <si>
    <t>វ៉ៃថ្ម</t>
  </si>
  <si>
    <t>28605160102278ត</t>
  </si>
  <si>
    <t>110384370</t>
  </si>
  <si>
    <t>និន</t>
  </si>
  <si>
    <t>សុភ័ណ្ឌ</t>
  </si>
  <si>
    <t>SOPHUAND</t>
  </si>
  <si>
    <t>096 619 512 8</t>
  </si>
  <si>
    <t>29209160239270ន</t>
  </si>
  <si>
    <t>011163931</t>
  </si>
  <si>
    <t>096 890 776 1</t>
  </si>
  <si>
    <t>28305181401949ព</t>
  </si>
  <si>
    <t>130194133</t>
  </si>
  <si>
    <t>នៀវ</t>
  </si>
  <si>
    <t>096 358 820 0</t>
  </si>
  <si>
    <t>29401170586579ឡ</t>
  </si>
  <si>
    <t>050892026</t>
  </si>
  <si>
    <t>086 666 184 2</t>
  </si>
  <si>
    <t>130114239</t>
  </si>
  <si>
    <t xml:space="preserve">ផល្លី </t>
  </si>
  <si>
    <t>098 242 350</t>
  </si>
  <si>
    <t>29104170703070ឈ</t>
  </si>
  <si>
    <t>110600253</t>
  </si>
  <si>
    <t>ស្រីនីម</t>
  </si>
  <si>
    <t>SDOEUNG</t>
  </si>
  <si>
    <t>SREYNIM</t>
  </si>
  <si>
    <t>096 642 568 2</t>
  </si>
  <si>
    <t>28910192220617ទ</t>
  </si>
  <si>
    <t>110341345</t>
  </si>
  <si>
    <t>ស៊ឺ</t>
  </si>
  <si>
    <t>គឹមអេង</t>
  </si>
  <si>
    <t>KIM ENG</t>
  </si>
  <si>
    <t>016 314 187</t>
  </si>
  <si>
    <t>19306170797605វ</t>
  </si>
  <si>
    <t>110484862</t>
  </si>
  <si>
    <t>KET</t>
  </si>
  <si>
    <t>REAKSMEY</t>
  </si>
  <si>
    <t>096 541 816 6</t>
  </si>
  <si>
    <t>សុឡៅ</t>
  </si>
  <si>
    <t>B7</t>
  </si>
  <si>
    <t>គ្មានអ្នកមើលកូន</t>
  </si>
  <si>
    <t>20111192240673ឆ</t>
  </si>
  <si>
    <t>101364531</t>
  </si>
  <si>
    <t>ចន្ថុល</t>
  </si>
  <si>
    <t>CHANTHOL</t>
  </si>
  <si>
    <t>069 522 632</t>
  </si>
  <si>
    <t>29510192234160ឌ</t>
  </si>
  <si>
    <t>110452465</t>
  </si>
  <si>
    <t>KANHA</t>
  </si>
  <si>
    <t>016 951 375</t>
  </si>
  <si>
    <t>28804170693381ល</t>
  </si>
  <si>
    <t>101230904</t>
  </si>
  <si>
    <t>069 570 216</t>
  </si>
  <si>
    <t>29110160393272ឍ</t>
  </si>
  <si>
    <t>1104586663</t>
  </si>
  <si>
    <t>CHAREYA</t>
  </si>
  <si>
    <t>28811192241352ថ</t>
  </si>
  <si>
    <t>050891660</t>
  </si>
  <si>
    <t>មាឃ</t>
  </si>
  <si>
    <t>នឿន</t>
  </si>
  <si>
    <t>MEAKH</t>
  </si>
  <si>
    <t>NOEUN</t>
  </si>
  <si>
    <t>096 398 572 3</t>
  </si>
  <si>
    <t>29310181727344ន</t>
  </si>
  <si>
    <t>ប៊ូយ</t>
  </si>
  <si>
    <t>BUOY</t>
  </si>
  <si>
    <t>087 395 677</t>
  </si>
  <si>
    <t>29610160394668វ</t>
  </si>
  <si>
    <t>130187482</t>
  </si>
  <si>
    <t>សូនិច</t>
  </si>
  <si>
    <t>SONICH</t>
  </si>
  <si>
    <t>070 306 503</t>
  </si>
  <si>
    <t>28811192238921ម</t>
  </si>
  <si>
    <t>110462935</t>
  </si>
  <si>
    <t>097 786 820 8</t>
  </si>
  <si>
    <t>Phum1, Sangkat​ Tummubrolork, Stoenghav District, Sihanouk province</t>
  </si>
  <si>
    <t>19204170702920ឋ</t>
  </si>
  <si>
    <t>130172326</t>
  </si>
  <si>
    <t>វិសាល</t>
  </si>
  <si>
    <t>PHUONG</t>
  </si>
  <si>
    <t>VISAL</t>
  </si>
  <si>
    <t>016 508 319</t>
  </si>
  <si>
    <t>28310160398658ល</t>
  </si>
  <si>
    <t>130219912</t>
  </si>
  <si>
    <t>អ៊ិត</t>
  </si>
  <si>
    <t>ប៊ុនអ៊ៀង</t>
  </si>
  <si>
    <t>ITH</t>
  </si>
  <si>
    <t>BUN EANG</t>
  </si>
  <si>
    <t>016 496 655</t>
  </si>
  <si>
    <t>28011192236364ត</t>
  </si>
  <si>
    <t>090830681</t>
  </si>
  <si>
    <t>យ័ន្ន</t>
  </si>
  <si>
    <t>097 410 791 8</t>
  </si>
  <si>
    <t>10102192001355ហ</t>
  </si>
  <si>
    <t>110624278</t>
  </si>
  <si>
    <t>ដាវ៉ាន់</t>
  </si>
  <si>
    <t>SORY</t>
  </si>
  <si>
    <t>DAVANN</t>
  </si>
  <si>
    <t>016 612 900</t>
  </si>
  <si>
    <t>20011192237142គ</t>
  </si>
  <si>
    <t>110608022</t>
  </si>
  <si>
    <t>សុណា</t>
  </si>
  <si>
    <t>ដាលីន</t>
  </si>
  <si>
    <t>DALIN</t>
  </si>
  <si>
    <t>088 617 746 2</t>
  </si>
  <si>
    <t>110660339</t>
  </si>
  <si>
    <t>នេ</t>
  </si>
  <si>
    <t>NE</t>
  </si>
  <si>
    <t>081 821 281</t>
  </si>
  <si>
    <t>29708170874124ល</t>
  </si>
  <si>
    <t>110466167</t>
  </si>
  <si>
    <t>SREY TOUCH</t>
  </si>
  <si>
    <t>28311160401080គ</t>
  </si>
  <si>
    <t>110159932</t>
  </si>
  <si>
    <t>096 357 754 7</t>
  </si>
  <si>
    <t>29401191964962ហ</t>
  </si>
  <si>
    <t>130120551</t>
  </si>
  <si>
    <t>ដេវីត</t>
  </si>
  <si>
    <t>DAVID</t>
  </si>
  <si>
    <t>097 520 882 5</t>
  </si>
  <si>
    <t>29010192220590ញ</t>
  </si>
  <si>
    <t>011174522</t>
  </si>
  <si>
    <t>ស្រ៊ុន</t>
  </si>
  <si>
    <t>SRUN</t>
  </si>
  <si>
    <t>087 747 223</t>
  </si>
  <si>
    <t>28503170680931ប</t>
  </si>
  <si>
    <t>ឳ</t>
  </si>
  <si>
    <t>016 795 956</t>
  </si>
  <si>
    <t>29410192222439ទ</t>
  </si>
  <si>
    <t>080076879</t>
  </si>
  <si>
    <t>096 835 263 8</t>
  </si>
  <si>
    <t>អគ្គីសនី</t>
  </si>
  <si>
    <t>28201181202548ឋ</t>
  </si>
  <si>
    <t>250039284</t>
  </si>
  <si>
    <t>28606170808585ឡ</t>
  </si>
  <si>
    <t>110361910</t>
  </si>
  <si>
    <t>ទុំ</t>
  </si>
  <si>
    <t>TUM</t>
  </si>
  <si>
    <t>093 244 682</t>
  </si>
  <si>
    <t>29310181743766យ</t>
  </si>
  <si>
    <t>110396424</t>
  </si>
  <si>
    <t>សុកលី</t>
  </si>
  <si>
    <t>SON</t>
  </si>
  <si>
    <t>096 542 040 9</t>
  </si>
  <si>
    <t>29110192228200ឆ</t>
  </si>
  <si>
    <t>130186843</t>
  </si>
  <si>
    <t>ផុលា</t>
  </si>
  <si>
    <t>POLLA</t>
  </si>
  <si>
    <t>PHALLA</t>
  </si>
  <si>
    <t>096 375 210 1</t>
  </si>
  <si>
    <t>29808170870523ល</t>
  </si>
  <si>
    <t>110549070</t>
  </si>
  <si>
    <t>29402160079559រ</t>
  </si>
  <si>
    <t>030563364</t>
  </si>
  <si>
    <t>ហត្ថា</t>
  </si>
  <si>
    <t>MET</t>
  </si>
  <si>
    <t>HATHA</t>
  </si>
  <si>
    <t>096 810 689 0</t>
  </si>
  <si>
    <t>29310192229320ឌ</t>
  </si>
  <si>
    <t>010755080</t>
  </si>
  <si>
    <t>IM</t>
  </si>
  <si>
    <t>THEARY</t>
  </si>
  <si>
    <t>088 525 306 7</t>
  </si>
  <si>
    <t>28410192228473ប</t>
  </si>
  <si>
    <t>101121253</t>
  </si>
  <si>
    <t>គីត</t>
  </si>
  <si>
    <t>KIT</t>
  </si>
  <si>
    <t>PHOEURN</t>
  </si>
  <si>
    <t>096 315 852 9</t>
  </si>
  <si>
    <t>29907170843866ង</t>
  </si>
  <si>
    <t>110616701</t>
  </si>
  <si>
    <t>087 739 527</t>
  </si>
  <si>
    <t>29110160363999រ</t>
  </si>
  <si>
    <t>100670262</t>
  </si>
  <si>
    <t>គៀម</t>
  </si>
  <si>
    <t>សុភី</t>
  </si>
  <si>
    <t>KEAM</t>
  </si>
  <si>
    <t>097 983 595 7</t>
  </si>
  <si>
    <t>29810192226966ហ</t>
  </si>
  <si>
    <t>110549092</t>
  </si>
  <si>
    <t>ឃិន</t>
  </si>
  <si>
    <t>KHIN</t>
  </si>
  <si>
    <t>SREY ON</t>
  </si>
  <si>
    <t>015 386 982</t>
  </si>
  <si>
    <t>20110192226849ណ</t>
  </si>
  <si>
    <t>110618496</t>
  </si>
  <si>
    <t>29510181845946ហ</t>
  </si>
  <si>
    <t>110408393</t>
  </si>
  <si>
    <t>ម៉ាលីស</t>
  </si>
  <si>
    <t>MALIS</t>
  </si>
  <si>
    <t>096 200 325 5</t>
  </si>
  <si>
    <t>28011192236408ណ</t>
  </si>
  <si>
    <t>100812486</t>
  </si>
  <si>
    <t>SREY MOM</t>
  </si>
  <si>
    <t>088 513 241 4</t>
  </si>
  <si>
    <t>28410192234516ត</t>
  </si>
  <si>
    <t>101196554</t>
  </si>
  <si>
    <t>ជ្រៀច</t>
  </si>
  <si>
    <t>CHREACH</t>
  </si>
  <si>
    <t>090 719 188</t>
  </si>
  <si>
    <t>110253358</t>
  </si>
  <si>
    <t>តុង</t>
  </si>
  <si>
    <t>អុល</t>
  </si>
  <si>
    <t>TONG</t>
  </si>
  <si>
    <t>OL</t>
  </si>
  <si>
    <t>088 863 553 9</t>
  </si>
  <si>
    <t>20006181442386ឌ</t>
  </si>
  <si>
    <t>061827050</t>
  </si>
  <si>
    <t>070 211 968</t>
  </si>
  <si>
    <t>28810160390109ត</t>
  </si>
  <si>
    <t>090739989</t>
  </si>
  <si>
    <t>ខែមរ៉ា</t>
  </si>
  <si>
    <t>PEOU</t>
  </si>
  <si>
    <t>KHEMARA</t>
  </si>
  <si>
    <t>069 580 764</t>
  </si>
  <si>
    <t>015 904 738</t>
  </si>
  <si>
    <t>29211160406149ឍ</t>
  </si>
  <si>
    <t>110416293</t>
  </si>
  <si>
    <t>រីដា</t>
  </si>
  <si>
    <t>KAP</t>
  </si>
  <si>
    <t>RIDA</t>
  </si>
  <si>
    <t>016 612 956</t>
  </si>
  <si>
    <t>28611192241357ន</t>
  </si>
  <si>
    <t>051517462</t>
  </si>
  <si>
    <t>ប៊ួយ</t>
  </si>
  <si>
    <t>SINEOT</t>
  </si>
  <si>
    <t>096 321 142 8</t>
  </si>
  <si>
    <t>28105192069360ន</t>
  </si>
  <si>
    <t>061409831</t>
  </si>
  <si>
    <t>ឈាត</t>
  </si>
  <si>
    <t>CHHEAT</t>
  </si>
  <si>
    <t>SOKNAO</t>
  </si>
  <si>
    <t>088 233 094 8</t>
  </si>
  <si>
    <t xml:space="preserve"> Sangkat1, Sihanouk ville, Sihanouk province</t>
  </si>
  <si>
    <t>28111160408774ទ</t>
  </si>
  <si>
    <t>062228310</t>
  </si>
  <si>
    <t>ចន្ទធី</t>
  </si>
  <si>
    <t>CHANTHY</t>
  </si>
  <si>
    <t>070 743 381</t>
  </si>
  <si>
    <t>29911160399629ខ</t>
  </si>
  <si>
    <t>130174632</t>
  </si>
  <si>
    <t>OEUN</t>
  </si>
  <si>
    <t>070 302 953</t>
  </si>
  <si>
    <t>29610160392975ល</t>
  </si>
  <si>
    <t>130199379</t>
  </si>
  <si>
    <t>ចាន់វ៉ាន់ដា</t>
  </si>
  <si>
    <t>CHANVANDA</t>
  </si>
  <si>
    <t>070 580 944</t>
  </si>
  <si>
    <t>28403170676940ម</t>
  </si>
  <si>
    <t>110240150</t>
  </si>
  <si>
    <t>010 831 164</t>
  </si>
  <si>
    <t>110603053</t>
  </si>
  <si>
    <t>នីតា</t>
  </si>
  <si>
    <t>SUT</t>
  </si>
  <si>
    <t>NITA</t>
  </si>
  <si>
    <t>096 223 741 7</t>
  </si>
  <si>
    <t>150485993</t>
  </si>
  <si>
    <t>SAM OL</t>
  </si>
  <si>
    <t>081 798 809</t>
  </si>
  <si>
    <t>28809160321899ក</t>
  </si>
  <si>
    <t>110417474</t>
  </si>
  <si>
    <t>096 546 470 9</t>
  </si>
  <si>
    <t>29510160392095ន</t>
  </si>
  <si>
    <t>200127344</t>
  </si>
  <si>
    <t>សៃយ៉ា</t>
  </si>
  <si>
    <t>SAIYA</t>
  </si>
  <si>
    <t>069 961 937</t>
  </si>
  <si>
    <t>28611160401213ឃ</t>
  </si>
  <si>
    <t>110540699</t>
  </si>
  <si>
    <t>សាវ៉ាត់</t>
  </si>
  <si>
    <t>POR</t>
  </si>
  <si>
    <t>010 413 158</t>
  </si>
  <si>
    <t>ជាង</t>
  </si>
  <si>
    <t>19310192233418ណ</t>
  </si>
  <si>
    <t>051537789</t>
  </si>
  <si>
    <t>ប៊ិន</t>
  </si>
  <si>
    <t>សុផែន</t>
  </si>
  <si>
    <t>BIN</t>
  </si>
  <si>
    <t>SOPHEN</t>
  </si>
  <si>
    <t>086 661 842</t>
  </si>
  <si>
    <t>2870819216792គ</t>
  </si>
  <si>
    <t>110660231</t>
  </si>
  <si>
    <t>CHHIN</t>
  </si>
  <si>
    <t>096 559 649 6</t>
  </si>
  <si>
    <t>28209181653986គ</t>
  </si>
  <si>
    <t>110088940</t>
  </si>
  <si>
    <t>KHATH</t>
  </si>
  <si>
    <t>088 527 416 9</t>
  </si>
  <si>
    <t>28711160400903ញ</t>
  </si>
  <si>
    <t>110378489</t>
  </si>
  <si>
    <t>ស៊ឹង</t>
  </si>
  <si>
    <t>SOEUNG</t>
  </si>
  <si>
    <t>096 916 506 3</t>
  </si>
  <si>
    <t>28411181877673ឡ</t>
  </si>
  <si>
    <t>110597034</t>
  </si>
  <si>
    <t>096 594 611 5</t>
  </si>
  <si>
    <t>19911192241853ភ</t>
  </si>
  <si>
    <t>100967789</t>
  </si>
  <si>
    <t>មាំងគុន</t>
  </si>
  <si>
    <t>MAINGKUN</t>
  </si>
  <si>
    <t>093 451 232</t>
  </si>
  <si>
    <t>28610160374761ន</t>
  </si>
  <si>
    <t>130119912</t>
  </si>
  <si>
    <t>ចាន្នី</t>
  </si>
  <si>
    <t>DEARB</t>
  </si>
  <si>
    <t>CHANY</t>
  </si>
  <si>
    <t>097 296 157 6</t>
  </si>
  <si>
    <t>100812686</t>
  </si>
  <si>
    <t>AUN</t>
  </si>
  <si>
    <t>097 833 196 0</t>
  </si>
  <si>
    <t>29205181386736វ</t>
  </si>
  <si>
    <t>130120947</t>
  </si>
  <si>
    <t>ចំអង</t>
  </si>
  <si>
    <t>HOUN</t>
  </si>
  <si>
    <t>CHAM ONG</t>
  </si>
  <si>
    <t>B4</t>
  </si>
  <si>
    <t>29411160399461ភ</t>
  </si>
  <si>
    <t>100726840</t>
  </si>
  <si>
    <t>ចុន</t>
  </si>
  <si>
    <t>CHON</t>
  </si>
  <si>
    <t>096 443 810 3</t>
  </si>
  <si>
    <t>28012160502264ឆ</t>
  </si>
  <si>
    <t>090654417</t>
  </si>
  <si>
    <t>កែវភីរម្យ</t>
  </si>
  <si>
    <t>KEOPHYROM</t>
  </si>
  <si>
    <t>097 660 635 1</t>
  </si>
  <si>
    <t>29510160393269ភ</t>
  </si>
  <si>
    <t>130193177</t>
  </si>
  <si>
    <t>ចែម</t>
  </si>
  <si>
    <t>JAM</t>
  </si>
  <si>
    <t>089 396 322</t>
  </si>
  <si>
    <t>2851016-0393754ផ</t>
  </si>
  <si>
    <t>010 291 521</t>
  </si>
  <si>
    <t>27911170964611ព</t>
  </si>
  <si>
    <t>016 885 619</t>
  </si>
  <si>
    <t>093 853 218</t>
  </si>
  <si>
    <t>27911192240826ជ</t>
  </si>
  <si>
    <t>030927231</t>
  </si>
  <si>
    <t>OM</t>
  </si>
  <si>
    <t>097 415 278 0</t>
  </si>
  <si>
    <t>27402191999371ឡ</t>
  </si>
  <si>
    <t>110322507</t>
  </si>
  <si>
    <t>តន់</t>
  </si>
  <si>
    <t>SAROEM</t>
  </si>
  <si>
    <t>B3</t>
  </si>
  <si>
    <t>098 304 091</t>
  </si>
  <si>
    <t>29711192247558ហ</t>
  </si>
  <si>
    <t>101351410</t>
  </si>
  <si>
    <t>ដុច</t>
  </si>
  <si>
    <t>ដារុន</t>
  </si>
  <si>
    <t>DOCH</t>
  </si>
  <si>
    <t>DARUN</t>
  </si>
  <si>
    <t>097 430 568 2</t>
  </si>
  <si>
    <t>26201191973769ហ</t>
  </si>
  <si>
    <t>130170607</t>
  </si>
  <si>
    <t>តង់</t>
  </si>
  <si>
    <t>28009181672253ផ</t>
  </si>
  <si>
    <t>180801893</t>
  </si>
  <si>
    <t>097 345 382 8</t>
  </si>
  <si>
    <t>ភូមិ 05សងា្កត់ 04 ក្រុងព្រះសីហនុ ខេត្តព្រះសីហនុ</t>
  </si>
  <si>
    <t>29001160027832ឈ</t>
  </si>
  <si>
    <t>050853314</t>
  </si>
  <si>
    <t>ភ័ស</t>
  </si>
  <si>
    <t>PHRS</t>
  </si>
  <si>
    <t>A5</t>
  </si>
  <si>
    <t>SEWER</t>
  </si>
  <si>
    <t>097 649 446 0</t>
  </si>
  <si>
    <t>28211192247226ថ</t>
  </si>
  <si>
    <t>150720563</t>
  </si>
  <si>
    <t>G7</t>
  </si>
  <si>
    <t>096 631 506 1</t>
  </si>
  <si>
    <t>ភូមិ 01សងា្កត់ 01 ក្រុងព្រះសីហនុ ខេត្តព្រះសីហនុ</t>
  </si>
  <si>
    <t>PHIN</t>
  </si>
  <si>
    <t>096 402 452 4</t>
  </si>
  <si>
    <t>ភូមិ 02សងា្កត់ 03 ក្រុងព្រះសីហនុ ខេត្តព្រះសីហនុ</t>
  </si>
  <si>
    <t>28412181925372ព</t>
  </si>
  <si>
    <t>110650537</t>
  </si>
  <si>
    <t>ទៀង</t>
  </si>
  <si>
    <t>ផាណា</t>
  </si>
  <si>
    <t>TIENG</t>
  </si>
  <si>
    <t>PHANA</t>
  </si>
  <si>
    <t>088 610 842 4</t>
  </si>
  <si>
    <t>28510160398339យ</t>
  </si>
  <si>
    <t>130175124</t>
  </si>
  <si>
    <t>ណែម</t>
  </si>
  <si>
    <t>NEM</t>
  </si>
  <si>
    <t>SARY</t>
  </si>
  <si>
    <t>016 347 954</t>
  </si>
  <si>
    <t>ភូមិ 03សងា្កត់ 01 ក្រុងព្រះសីហនុ ខេត្តព្រះសីហនុ</t>
  </si>
  <si>
    <t>19211192236388ភ</t>
  </si>
  <si>
    <t>130175198</t>
  </si>
  <si>
    <t>នូវ</t>
  </si>
  <si>
    <t>ចាន់សុភា</t>
  </si>
  <si>
    <t>CHANSOPHEA</t>
  </si>
  <si>
    <t>081 724 341</t>
  </si>
  <si>
    <t>ភូមិ 01សងា្កត់ 04 ក្រុងព្រះសីហនុ ខេត្តព្រះសីហនុ</t>
  </si>
  <si>
    <t>19510160384690ប</t>
  </si>
  <si>
    <t>130211972</t>
  </si>
  <si>
    <t>ដាវុទ្ធា</t>
  </si>
  <si>
    <t>DAVUTHEA</t>
  </si>
  <si>
    <t>Packing Garment</t>
  </si>
  <si>
    <t>016 881 241</t>
  </si>
  <si>
    <t>20005192053317ច</t>
  </si>
  <si>
    <t>130225716</t>
  </si>
  <si>
    <t>ឃ្លី</t>
  </si>
  <si>
    <t>KLEY</t>
  </si>
  <si>
    <t>SORYYA</t>
  </si>
  <si>
    <t>G4</t>
  </si>
  <si>
    <t>096 883 577 0</t>
  </si>
  <si>
    <t>28207170825165ផ</t>
  </si>
  <si>
    <t>130178463</t>
  </si>
  <si>
    <t>KOA</t>
  </si>
  <si>
    <t>TRAINING</t>
  </si>
  <si>
    <t>070 951 342</t>
  </si>
  <si>
    <t>ភូមិ 04សងា្កត់ 04 ក្រុងព្រះសីហនុ ខេត្តព្រះសីហនុ</t>
  </si>
  <si>
    <t>28307170835380b</t>
  </si>
  <si>
    <t>130207245</t>
  </si>
  <si>
    <t>កេត</t>
  </si>
  <si>
    <t>KHOUERN</t>
  </si>
  <si>
    <t>093 864 146</t>
  </si>
  <si>
    <t>27811160400462ញ</t>
  </si>
  <si>
    <t>096 751 382 9</t>
  </si>
  <si>
    <t>ភូមិ 02សងា្កត់ 04 ក្រុងព្រះសីហនុ ខេត្តព្រះសីហនុ</t>
  </si>
  <si>
    <t>130196903</t>
  </si>
  <si>
    <t>នុត</t>
  </si>
  <si>
    <t>សាមុល</t>
  </si>
  <si>
    <t>NUT</t>
  </si>
  <si>
    <t>SAMOL</t>
  </si>
  <si>
    <t>087 855 186</t>
  </si>
  <si>
    <t>28711192237486វ</t>
  </si>
  <si>
    <t>130152204</t>
  </si>
  <si>
    <t>គឹមសេង</t>
  </si>
  <si>
    <t>SAO</t>
  </si>
  <si>
    <t>KIMSENG</t>
  </si>
  <si>
    <t>SAMPLE</t>
  </si>
  <si>
    <t>015 545 477</t>
  </si>
  <si>
    <t>មន្ត្រីកាំកុងត្រូល</t>
  </si>
  <si>
    <t>ភូមិ 03សងា្កត់ 02 ក្រុងព្រះសីហនុ ខេត្តព្រះសីហនុ</t>
  </si>
  <si>
    <t>ឡាវ</t>
  </si>
  <si>
    <t>ប្តីឈឺគ្មានអ្នកមើល</t>
  </si>
  <si>
    <t>096 331 812 9</t>
  </si>
  <si>
    <t>មេការសំណង់</t>
  </si>
  <si>
    <t>090505527</t>
  </si>
  <si>
    <t>BOU</t>
  </si>
  <si>
    <t>097 952 411 4</t>
  </si>
  <si>
    <t>051139227</t>
  </si>
  <si>
    <t>សាវ៉េន</t>
  </si>
  <si>
    <t>SAVEN</t>
  </si>
  <si>
    <t>016​ 504 739</t>
  </si>
  <si>
    <t>29010160390426ដ</t>
  </si>
  <si>
    <t>130090142</t>
  </si>
  <si>
    <t>ឈី</t>
  </si>
  <si>
    <t>CHHAN</t>
  </si>
  <si>
    <t>CHHY</t>
  </si>
  <si>
    <t>បើកអាវ</t>
  </si>
  <si>
    <t>096 947 009 7</t>
  </si>
  <si>
    <t>28411160399989ង</t>
  </si>
  <si>
    <t>130171883</t>
  </si>
  <si>
    <t>SAR</t>
  </si>
  <si>
    <t>010 908 478</t>
  </si>
  <si>
    <t>28603170680404ថ</t>
  </si>
  <si>
    <t>02164318</t>
  </si>
  <si>
    <t>087 270 007</t>
  </si>
  <si>
    <t>29412160501451ឈ</t>
  </si>
  <si>
    <t>110498377</t>
  </si>
  <si>
    <t>ស្រីបូ</t>
  </si>
  <si>
    <t>SREYBO</t>
  </si>
  <si>
    <t>086 590 718</t>
  </si>
  <si>
    <t>28401170562031ជ</t>
  </si>
  <si>
    <t>030497623</t>
  </si>
  <si>
    <t>086 735 770</t>
  </si>
  <si>
    <t>27910160390104ដ</t>
  </si>
  <si>
    <t>130179560</t>
  </si>
  <si>
    <t>THOU</t>
  </si>
  <si>
    <t>096 275 139 6</t>
  </si>
  <si>
    <t>ភូមិ 01សងា្កត់ 03 ក្រុងព្រះសីហនុ ខេត្តព្រះសីហនុ</t>
  </si>
  <si>
    <t>29211160400868ត</t>
  </si>
  <si>
    <t>130185504</t>
  </si>
  <si>
    <t>070 826 462</t>
  </si>
  <si>
    <t>29111160400508ច</t>
  </si>
  <si>
    <t>100591570</t>
  </si>
  <si>
    <t>088 368 932 6</t>
  </si>
  <si>
    <t>27510160389553ព</t>
  </si>
  <si>
    <t>130050135</t>
  </si>
  <si>
    <t>097 576 178 5</t>
  </si>
  <si>
    <t>ចាង</t>
  </si>
  <si>
    <t>ពុធថន</t>
  </si>
  <si>
    <t>096 592 421 3</t>
  </si>
  <si>
    <t>28010160389014ដ</t>
  </si>
  <si>
    <t>130174180</t>
  </si>
  <si>
    <t>ចិត្រ</t>
  </si>
  <si>
    <t>093 918 060</t>
  </si>
  <si>
    <t>28202181278839វ</t>
  </si>
  <si>
    <t>090143521</t>
  </si>
  <si>
    <t>ថែ</t>
  </si>
  <si>
    <t>សារ៉ែន</t>
  </si>
  <si>
    <t>THE</t>
  </si>
  <si>
    <t>SAREN</t>
  </si>
  <si>
    <t>088 724 381 4</t>
  </si>
  <si>
    <t>ភូមិ 02សងា្កត់ 01 ក្រុងព្រះសីហនុ ខេត្តព្រះសីហនុ</t>
  </si>
  <si>
    <t>090608850</t>
  </si>
  <si>
    <t>081 539 257</t>
  </si>
  <si>
    <t>CUTTING</t>
  </si>
  <si>
    <t>068 909 734</t>
  </si>
  <si>
    <t>សងា្កត់ 04 ក្រុងព្រះសីហនុ ខេត្តព្រះសីហនុ</t>
  </si>
  <si>
    <t>250084613</t>
  </si>
  <si>
    <t>KHEAV</t>
  </si>
  <si>
    <t>071 292 969 0</t>
  </si>
  <si>
    <t>ភូមិ 03សងា្កត់ 03 ក្រុងព្រះសីហនុ ខេត្តព្រះសីហនុ</t>
  </si>
  <si>
    <t>27810192215838ម</t>
  </si>
  <si>
    <t>170010864</t>
  </si>
  <si>
    <t>រឿង</t>
  </si>
  <si>
    <t>យ៉ារ៉ាន់</t>
  </si>
  <si>
    <t>ROEURNG</t>
  </si>
  <si>
    <t>YARANN</t>
  </si>
  <si>
    <t>097 900 439 2</t>
  </si>
  <si>
    <t>1105593320</t>
  </si>
  <si>
    <t>ឌន</t>
  </si>
  <si>
    <t>សុភ័ក្រ</t>
  </si>
  <si>
    <t>DORN</t>
  </si>
  <si>
    <t>015 943 636</t>
  </si>
  <si>
    <t xml:space="preserve"> ក្រុងព្រះសីហនុ ខេត្តព្រះសីហនុ</t>
  </si>
  <si>
    <t>28710160386581ភ</t>
  </si>
  <si>
    <t>130174373</t>
  </si>
  <si>
    <t>ញិប</t>
  </si>
  <si>
    <t>ចាន់ដេត</t>
  </si>
  <si>
    <t>NHIB</t>
  </si>
  <si>
    <t>CHANDET</t>
  </si>
  <si>
    <t>081 401 331</t>
  </si>
  <si>
    <t>19904181368293ឡ</t>
  </si>
  <si>
    <t>051560489</t>
  </si>
  <si>
    <t>យឺន</t>
  </si>
  <si>
    <t>YEUN</t>
  </si>
  <si>
    <t>SOM NANG</t>
  </si>
  <si>
    <t>QC Garment</t>
  </si>
  <si>
    <t>097 814 147 4</t>
  </si>
  <si>
    <t>19611192253525ន</t>
  </si>
  <si>
    <t>061727803</t>
  </si>
  <si>
    <t>អ៊ូជ</t>
  </si>
  <si>
    <t>រត្ថា</t>
  </si>
  <si>
    <t>OUCH</t>
  </si>
  <si>
    <t>ROTHA</t>
  </si>
  <si>
    <t>097 792 701 6</t>
  </si>
  <si>
    <t>19511192253517ន</t>
  </si>
  <si>
    <t>062235825</t>
  </si>
  <si>
    <t>LAI</t>
  </si>
  <si>
    <t>CHANTHORN</t>
  </si>
  <si>
    <t>097 647 523 4</t>
  </si>
  <si>
    <t>28204170732498ម</t>
  </si>
  <si>
    <t>130226736</t>
  </si>
  <si>
    <t>086 912 741</t>
  </si>
  <si>
    <t>051011357</t>
  </si>
  <si>
    <t>ម៉ុត</t>
  </si>
  <si>
    <t>MUOT</t>
  </si>
  <si>
    <t>088 834 252 8</t>
  </si>
  <si>
    <t>29511192254243ទ</t>
  </si>
  <si>
    <t>061773890</t>
  </si>
  <si>
    <t>ជាតិ</t>
  </si>
  <si>
    <t>CHEAT</t>
  </si>
  <si>
    <t>088 402 806 9</t>
  </si>
  <si>
    <t>096 993 255 4</t>
  </si>
  <si>
    <t>28703170680079យ</t>
  </si>
  <si>
    <t>062039859</t>
  </si>
  <si>
    <t>ស៊ាងហ៊ីម</t>
  </si>
  <si>
    <t>SEANGHIM</t>
  </si>
  <si>
    <t>016 366 974</t>
  </si>
  <si>
    <t>28906160116854ម</t>
  </si>
  <si>
    <t>062148094</t>
  </si>
  <si>
    <t>THIDA</t>
  </si>
  <si>
    <t>071 646 622 7</t>
  </si>
  <si>
    <t>28710160390326ត</t>
  </si>
  <si>
    <t>110450649</t>
  </si>
  <si>
    <t>BO</t>
  </si>
  <si>
    <t>LAKCNA</t>
  </si>
  <si>
    <t>Training</t>
  </si>
  <si>
    <t>29910192202512ឌ</t>
  </si>
  <si>
    <t>080083098</t>
  </si>
  <si>
    <t>រ៉ានី</t>
  </si>
  <si>
    <t>RANY</t>
  </si>
  <si>
    <t>ខេត្តស្ទឹងត្រែង</t>
  </si>
  <si>
    <t>097 808 197 6</t>
  </si>
  <si>
    <t>19509181692580ឡ</t>
  </si>
  <si>
    <t>110430181</t>
  </si>
  <si>
    <t>ស៊ិម</t>
  </si>
  <si>
    <t>ឡងឌី</t>
  </si>
  <si>
    <t>LUNDY</t>
  </si>
  <si>
    <t>096 545 726 9</t>
  </si>
  <si>
    <t>19312171048995ល</t>
  </si>
  <si>
    <t>MAKARA</t>
  </si>
  <si>
    <t>096 590 063 4</t>
  </si>
  <si>
    <t>29803170676794ឃ</t>
  </si>
  <si>
    <t>110629961</t>
  </si>
  <si>
    <t>015 914 920</t>
  </si>
  <si>
    <t>18910181729812យ</t>
  </si>
  <si>
    <t>020933341</t>
  </si>
  <si>
    <t>096 720 982</t>
  </si>
  <si>
    <t>28710192209763ម</t>
  </si>
  <si>
    <t>200085093</t>
  </si>
  <si>
    <t>ខេត្តឩត្តរមានជ័យ</t>
  </si>
  <si>
    <t>097 560 052 1</t>
  </si>
  <si>
    <t>ណាឈឺ</t>
  </si>
  <si>
    <t>096 573 965 9</t>
  </si>
  <si>
    <t>19710192213106ដ</t>
  </si>
  <si>
    <t>171090803</t>
  </si>
  <si>
    <t>ប៉ោក</t>
  </si>
  <si>
    <t>PORK</t>
  </si>
  <si>
    <t>19010160393301ង</t>
  </si>
  <si>
    <t>ម៉ុស</t>
  </si>
  <si>
    <t>ប៊ុនធី</t>
  </si>
  <si>
    <t>MOS</t>
  </si>
  <si>
    <t>BUNTHY</t>
  </si>
  <si>
    <t>070 683 773</t>
  </si>
  <si>
    <t>100588268</t>
  </si>
  <si>
    <t>វណ្ណដា</t>
  </si>
  <si>
    <t>VANDA</t>
  </si>
  <si>
    <t>090 254 784</t>
  </si>
  <si>
    <t>19210192202529ឌ</t>
  </si>
  <si>
    <t>170785784</t>
  </si>
  <si>
    <t>ថាវីន</t>
  </si>
  <si>
    <t>THAVIN</t>
  </si>
  <si>
    <t>27710192214322ដ</t>
  </si>
  <si>
    <t>130003669</t>
  </si>
  <si>
    <t>CHAN THAN</t>
  </si>
  <si>
    <t>016 922 439</t>
  </si>
  <si>
    <t>28201170565936ព</t>
  </si>
  <si>
    <t>089 210 584</t>
  </si>
  <si>
    <t>29811192253430ទ</t>
  </si>
  <si>
    <t>100831198</t>
  </si>
  <si>
    <t>អង់</t>
  </si>
  <si>
    <t>រង្សី</t>
  </si>
  <si>
    <t>RANGSY</t>
  </si>
  <si>
    <t>088 877 861 3</t>
  </si>
  <si>
    <t>29410160388116ទ</t>
  </si>
  <si>
    <t>110430113</t>
  </si>
  <si>
    <t>គឿន</t>
  </si>
  <si>
    <t>KOEURN</t>
  </si>
  <si>
    <t>088 984 246 1</t>
  </si>
  <si>
    <t>29210160392042ឈ</t>
  </si>
  <si>
    <t>110343774</t>
  </si>
  <si>
    <t>071 739 000 6</t>
  </si>
  <si>
    <t>1941019-2216325-ឍ</t>
  </si>
  <si>
    <t>110659226</t>
  </si>
  <si>
    <t>ឆិន</t>
  </si>
  <si>
    <t>010 353 705</t>
  </si>
  <si>
    <t>កាស៊ីណូ</t>
  </si>
  <si>
    <t>1841019-2216363-ណ</t>
  </si>
  <si>
    <t>130211391</t>
  </si>
  <si>
    <t>ជ័យ</t>
  </si>
  <si>
    <t>CHEY</t>
  </si>
  <si>
    <t>BUNTHOUEN</t>
  </si>
  <si>
    <t>010 353 743</t>
  </si>
  <si>
    <t>2941018-1856976-ខ</t>
  </si>
  <si>
    <t>100644877</t>
  </si>
  <si>
    <t>010 774 528</t>
  </si>
  <si>
    <t>Phum05, Somgkat 04, Sihanouk vill</t>
  </si>
  <si>
    <t>18210160384764ធ</t>
  </si>
  <si>
    <t>Assistant of Warehouse Manager</t>
  </si>
  <si>
    <t>016 431 888</t>
  </si>
  <si>
    <t>18110160384805ឍ</t>
  </si>
  <si>
    <t>OUM</t>
  </si>
  <si>
    <t>Mechanic in line</t>
  </si>
  <si>
    <t>Group11, Phum2, Sangkat1, Khan Mittapheap, Sihanouk ville</t>
  </si>
  <si>
    <t>Salary Report 2020</t>
  </si>
  <si>
    <t>Salary Report 2021</t>
  </si>
  <si>
    <t>Line 19</t>
  </si>
  <si>
    <t xml:space="preserve"> Line 2</t>
  </si>
  <si>
    <t xml:space="preserve"> Line 18</t>
  </si>
  <si>
    <t xml:space="preserve"> Line 3</t>
  </si>
  <si>
    <t>Line 21</t>
  </si>
  <si>
    <t xml:space="preserve"> Line 16</t>
  </si>
  <si>
    <t>Line 17</t>
  </si>
  <si>
    <t>Leader Line 15</t>
  </si>
  <si>
    <t>Supevisor</t>
  </si>
  <si>
    <t>Leader Line 3</t>
  </si>
  <si>
    <t>Supevisor Line 21,22,23,24</t>
  </si>
  <si>
    <t>Assist.Line 17</t>
  </si>
  <si>
    <t xml:space="preserve"> Line 1</t>
  </si>
  <si>
    <t>Leader Line 1</t>
  </si>
  <si>
    <t>Leader Line 21</t>
  </si>
  <si>
    <t>Leader Line 16</t>
  </si>
  <si>
    <t>Leader Line 17</t>
  </si>
  <si>
    <t>Leader Line 19</t>
  </si>
  <si>
    <t>Assist.Line 16</t>
  </si>
  <si>
    <t>Assist.Line 18</t>
  </si>
  <si>
    <t>Assist.Line 19</t>
  </si>
  <si>
    <t>Leader Line 2</t>
  </si>
  <si>
    <t>Leader Line 18</t>
  </si>
  <si>
    <t>Assist.Line 1</t>
  </si>
  <si>
    <t>Assist.Line 2</t>
  </si>
  <si>
    <t>Line7</t>
  </si>
  <si>
    <t>Assist.Line 7</t>
  </si>
  <si>
    <t xml:space="preserve"> Line 13</t>
  </si>
  <si>
    <t>Leader Line 7</t>
  </si>
  <si>
    <t>Leader Line 13</t>
  </si>
  <si>
    <t>Leader Line 9</t>
  </si>
  <si>
    <t>Assist.Line 21</t>
  </si>
  <si>
    <t>Assist.Line 9</t>
  </si>
  <si>
    <t>Assist.Line 15</t>
  </si>
  <si>
    <t>Leader Line 8</t>
  </si>
  <si>
    <t>Assist.Line 8</t>
  </si>
  <si>
    <t xml:space="preserve">Warehouse </t>
  </si>
  <si>
    <t>Leader warehouse Fabric</t>
  </si>
  <si>
    <t>Assist. Warehouse Fabric</t>
  </si>
  <si>
    <t>Leader Warehouse Trims</t>
  </si>
  <si>
    <t xml:space="preserve">Packing   </t>
  </si>
  <si>
    <t>Leader Packing   A</t>
  </si>
  <si>
    <t>Assist.Packing   A</t>
  </si>
  <si>
    <t>Leader Packing   B</t>
  </si>
  <si>
    <t xml:space="preserve">QC  </t>
  </si>
  <si>
    <t xml:space="preserve">Leader QC  </t>
  </si>
  <si>
    <t>Assist.QC  A</t>
  </si>
  <si>
    <t>Assist.QC  B</t>
  </si>
  <si>
    <t>部門</t>
    <phoneticPr fontId="10" type="noConversion"/>
  </si>
  <si>
    <t xml:space="preserve">CHHEM </t>
  </si>
  <si>
    <t>SOPHOL</t>
  </si>
  <si>
    <t>Assist.Line 3</t>
  </si>
  <si>
    <t>Leader Line 6</t>
  </si>
  <si>
    <t>Assist.Line 6</t>
  </si>
  <si>
    <t>Line6</t>
  </si>
  <si>
    <t>Line 14</t>
  </si>
  <si>
    <t>Leader A14</t>
  </si>
  <si>
    <t>Assist.A14</t>
  </si>
  <si>
    <t xml:space="preserve"> Line 15</t>
  </si>
  <si>
    <t>Line 20</t>
  </si>
  <si>
    <t>Leader Line 20</t>
  </si>
  <si>
    <t>Assist.Line 20</t>
  </si>
  <si>
    <t>Line5</t>
  </si>
  <si>
    <t>Leader Line 5</t>
  </si>
  <si>
    <t>Assist.Line 5</t>
  </si>
  <si>
    <t>SARETH</t>
  </si>
  <si>
    <t>RANG</t>
  </si>
  <si>
    <t>TIEN</t>
  </si>
  <si>
    <t>OAK</t>
  </si>
  <si>
    <t>CHHUN ENG</t>
  </si>
  <si>
    <t xml:space="preserve"> Line 8</t>
  </si>
  <si>
    <t xml:space="preserve"> Line 9</t>
  </si>
  <si>
    <t xml:space="preserve"> Line 10</t>
  </si>
  <si>
    <t>Leader Line 10</t>
  </si>
  <si>
    <t xml:space="preserve"> Line 11</t>
  </si>
  <si>
    <t>Leader Line 11</t>
  </si>
  <si>
    <t>Assist.Line 11</t>
  </si>
  <si>
    <t>SOMBO</t>
  </si>
  <si>
    <t>Assist.Line 10</t>
  </si>
  <si>
    <t>Supevisor Line</t>
  </si>
  <si>
    <t>Adjust amount</t>
    <phoneticPr fontId="11" type="noConversion"/>
  </si>
  <si>
    <t>Adjust Date</t>
    <phoneticPr fontId="11" type="noConversion"/>
  </si>
  <si>
    <t>Evaluator</t>
    <phoneticPr fontId="11" type="noConversion"/>
  </si>
  <si>
    <r>
      <rPr>
        <b/>
        <sz val="8"/>
        <color indexed="10"/>
        <rFont val="Tahoma"/>
        <family val="2"/>
      </rPr>
      <t>2020</t>
    </r>
    <r>
      <rPr>
        <sz val="8"/>
        <rFont val="Tahoma"/>
        <family val="2"/>
        <charset val="134"/>
      </rPr>
      <t xml:space="preserve"> Total Marks</t>
    </r>
  </si>
  <si>
    <t>With
Comment</t>
    <phoneticPr fontId="11" type="noConversion"/>
  </si>
  <si>
    <t>調動金額</t>
    <phoneticPr fontId="11" type="noConversion"/>
  </si>
  <si>
    <t>調動日期</t>
    <phoneticPr fontId="11" type="noConversion"/>
  </si>
  <si>
    <t>評核人</t>
    <phoneticPr fontId="11" type="noConversion"/>
  </si>
  <si>
    <t>2020總分</t>
  </si>
  <si>
    <t>意見</t>
    <phoneticPr fontId="11" type="noConversion"/>
  </si>
  <si>
    <r>
      <t>2020</t>
    </r>
    <r>
      <rPr>
        <b/>
        <sz val="8"/>
        <rFont val="MingLiU"/>
        <family val="3"/>
        <charset val="136"/>
      </rPr>
      <t>薪資總額</t>
    </r>
    <phoneticPr fontId="11" type="noConversion"/>
  </si>
  <si>
    <r>
      <t>2021</t>
    </r>
    <r>
      <rPr>
        <b/>
        <sz val="8"/>
        <rFont val="MingLiU"/>
        <family val="3"/>
        <charset val="136"/>
      </rPr>
      <t>薪資總額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</si>
</sst>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76" formatCode="&quot;$&quot;#,##0.00_);[Red]\(&quot;$&quot;#,##0.00\)"/>
    <numFmt numFmtId="177" formatCode="_(&quot;$&quot;* #,##0.00_);_(&quot;$&quot;* \(#,##0.00\);_(&quot;$&quot;* &quot;-&quot;??_);_(@_)"/>
    <numFmt numFmtId="178" formatCode="0000"/>
    <numFmt numFmtId="179" formatCode="dd/mm/yy;@"/>
    <numFmt numFmtId="180" formatCode="[$-409]d/mmm/yy;@"/>
    <numFmt numFmtId="181" formatCode="[$-409]d\-mmm\-yy;@"/>
    <numFmt numFmtId="182" formatCode="[$-409]d\-mmm\-yyyy;@"/>
    <numFmt numFmtId="183" formatCode="#,##0.00&quot;riel&quot;"/>
    <numFmt numFmtId="184" formatCode="[$-12000425]0"/>
    <numFmt numFmtId="185" formatCode="mmm\-yyyy"/>
    <numFmt numFmtId="186" formatCode="0.0"/>
    <numFmt numFmtId="187" formatCode="m&quot;月&quot;d&quot;日&quot;"/>
  </numFmts>
  <fonts count="57">
    <font>
      <sz val="11"/>
      <color theme="1"/>
      <name val="新細明體"/>
      <family val="2"/>
      <scheme val="minor"/>
    </font>
    <font>
      <sz val="11"/>
      <color theme="1"/>
      <name val="Times New Roman"/>
      <family val="1"/>
    </font>
    <font>
      <sz val="9"/>
      <name val="Time New Roman"/>
      <family val="2"/>
    </font>
    <font>
      <b/>
      <sz val="14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8"/>
      <color rgb="FF000000"/>
      <name val="Khmer OS Content"/>
    </font>
    <font>
      <sz val="8"/>
      <color rgb="FF7030A0"/>
      <name val="Arial"/>
      <family val="2"/>
    </font>
    <font>
      <b/>
      <sz val="10"/>
      <color rgb="FF7030A0"/>
      <name val="Arial"/>
      <family val="2"/>
    </font>
    <font>
      <sz val="10"/>
      <color rgb="FF000000"/>
      <name val="Khmer OS Content"/>
    </font>
    <font>
      <sz val="9"/>
      <color rgb="FF7030A0"/>
      <name val="Arial"/>
      <family val="2"/>
    </font>
    <font>
      <sz val="12"/>
      <name val="Arial"/>
      <family val="2"/>
    </font>
    <font>
      <sz val="9"/>
      <name val="新細明體"/>
      <family val="3"/>
      <charset val="136"/>
      <scheme val="minor"/>
    </font>
    <font>
      <sz val="8"/>
      <name val="Tahoma"/>
      <family val="2"/>
      <charset val="134"/>
    </font>
    <font>
      <sz val="8"/>
      <name val="Tahoma"/>
      <family val="2"/>
    </font>
    <font>
      <sz val="9"/>
      <color rgb="FF7030A0"/>
      <name val="MingLiU"/>
      <family val="3"/>
      <charset val="136"/>
    </font>
    <font>
      <b/>
      <sz val="9"/>
      <color rgb="FF7030A0"/>
      <name val="Arial"/>
      <family val="2"/>
    </font>
    <font>
      <b/>
      <sz val="8"/>
      <name val="Tahoma"/>
      <family val="2"/>
    </font>
    <font>
      <b/>
      <sz val="11"/>
      <color theme="1"/>
      <name val="新細明體"/>
      <family val="2"/>
      <scheme val="minor"/>
    </font>
    <font>
      <sz val="8"/>
      <color rgb="FF000000"/>
      <name val="MingLiU"/>
      <family val="3"/>
      <charset val="136"/>
    </font>
    <font>
      <sz val="11"/>
      <color rgb="FF9C0006"/>
      <name val="新細明體"/>
      <family val="2"/>
      <scheme val="minor"/>
    </font>
    <font>
      <b/>
      <i/>
      <sz val="10"/>
      <color rgb="FF7030A0"/>
      <name val="Arial"/>
      <family val="2"/>
    </font>
    <font>
      <b/>
      <sz val="15"/>
      <color rgb="FF7030A0"/>
      <name val="Limon R1"/>
    </font>
    <font>
      <b/>
      <sz val="11"/>
      <color rgb="FF7030A0"/>
      <name val="新細明體"/>
      <family val="2"/>
      <scheme val="major"/>
    </font>
    <font>
      <sz val="9"/>
      <name val="Khmer OS"/>
    </font>
    <font>
      <sz val="18"/>
      <name val="Limon F1"/>
    </font>
    <font>
      <sz val="10"/>
      <name val="Khmer OS"/>
    </font>
    <font>
      <sz val="10"/>
      <color theme="1"/>
      <name val="Khmer OS Battambang"/>
    </font>
    <font>
      <sz val="12"/>
      <color theme="1"/>
      <name val="Limon S1"/>
    </font>
    <font>
      <sz val="10"/>
      <name val="Webdings"/>
      <family val="1"/>
      <charset val="2"/>
    </font>
    <font>
      <sz val="9"/>
      <color theme="1"/>
      <name val="新細明體"/>
      <family val="2"/>
      <scheme val="minor"/>
    </font>
    <font>
      <sz val="11"/>
      <color theme="1"/>
      <name val="新細明體"/>
      <family val="2"/>
      <scheme val="major"/>
    </font>
    <font>
      <sz val="10"/>
      <color indexed="8"/>
      <name val="Arial"/>
      <family val="2"/>
    </font>
    <font>
      <sz val="11"/>
      <color indexed="8"/>
      <name val="新細明體"/>
      <family val="2"/>
      <scheme val="minor"/>
    </font>
    <font>
      <sz val="10"/>
      <color theme="1"/>
      <name val="新細明體"/>
      <family val="2"/>
      <scheme val="minor"/>
    </font>
    <font>
      <sz val="9"/>
      <name val="Limon S1"/>
    </font>
    <font>
      <sz val="8"/>
      <color theme="1"/>
      <name val="新細明體"/>
      <family val="2"/>
      <scheme val="minor"/>
    </font>
    <font>
      <sz val="20"/>
      <name val="Limon S1"/>
    </font>
    <font>
      <sz val="11"/>
      <name val="新細明體"/>
      <family val="2"/>
      <scheme val="major"/>
    </font>
    <font>
      <sz val="22"/>
      <name val="Limon S1"/>
    </font>
    <font>
      <sz val="11"/>
      <name val="Limon S1"/>
    </font>
    <font>
      <sz val="9"/>
      <name val="新細明體"/>
      <family val="2"/>
      <scheme val="major"/>
    </font>
    <font>
      <sz val="20"/>
      <name val="新細明體"/>
      <family val="2"/>
      <scheme val="major"/>
    </font>
    <font>
      <sz val="10"/>
      <name val="新細明體"/>
      <family val="2"/>
      <scheme val="major"/>
    </font>
    <font>
      <sz val="12"/>
      <name val="新細明體"/>
      <family val="2"/>
      <scheme val="major"/>
    </font>
    <font>
      <sz val="10"/>
      <color theme="1"/>
      <name val="Khmertakeo A705"/>
      <family val="2"/>
    </font>
    <font>
      <sz val="10"/>
      <color theme="1"/>
      <name val="Webdings"/>
      <family val="1"/>
      <charset val="2"/>
    </font>
    <font>
      <sz val="20"/>
      <color theme="1"/>
      <name val="Limon S1"/>
    </font>
    <font>
      <sz val="9"/>
      <color theme="1"/>
      <name val="Limon S1"/>
    </font>
    <font>
      <sz val="11"/>
      <color theme="1"/>
      <name val="Limon S1"/>
    </font>
    <font>
      <sz val="10"/>
      <color theme="1"/>
      <name val="新細明體"/>
      <family val="2"/>
      <scheme val="major"/>
    </font>
    <font>
      <sz val="9"/>
      <color theme="1"/>
      <name val="新細明體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b/>
      <sz val="8"/>
      <color indexed="10"/>
      <name val="Tahoma"/>
      <family val="2"/>
    </font>
    <font>
      <b/>
      <sz val="8"/>
      <name val="MingLiU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77" fontId="4" fillId="0" borderId="0" applyFont="0" applyFill="0" applyBorder="0" applyAlignment="0" applyProtection="0"/>
    <xf numFmtId="0" fontId="19" fillId="9" borderId="0" applyNumberFormat="0" applyBorder="0" applyAlignment="0" applyProtection="0"/>
    <xf numFmtId="0" fontId="31" fillId="0" borderId="0"/>
  </cellStyleXfs>
  <cellXfs count="37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2" borderId="1" xfId="0" applyFill="1" applyBorder="1"/>
    <xf numFmtId="178" fontId="0" fillId="2" borderId="0" xfId="0" applyNumberFormat="1" applyFill="1" applyAlignment="1">
      <alignment horizontal="center" vertical="center"/>
    </xf>
    <xf numFmtId="0" fontId="0" fillId="2" borderId="0" xfId="0" applyFill="1"/>
    <xf numFmtId="178" fontId="0" fillId="2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177" fontId="0" fillId="2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0" fillId="0" borderId="1" xfId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80" fontId="0" fillId="2" borderId="1" xfId="0" applyNumberFormat="1" applyFill="1" applyBorder="1" applyAlignment="1">
      <alignment horizontal="center" vertical="center"/>
    </xf>
    <xf numFmtId="181" fontId="0" fillId="0" borderId="1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180" fontId="0" fillId="0" borderId="1" xfId="0" applyNumberFormat="1" applyFill="1" applyBorder="1" applyAlignment="1">
      <alignment horizontal="center" vertical="center"/>
    </xf>
    <xf numFmtId="176" fontId="0" fillId="2" borderId="1" xfId="1" applyNumberFormat="1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 wrapText="1" readingOrder="1"/>
    </xf>
    <xf numFmtId="182" fontId="6" fillId="5" borderId="5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 readingOrder="1"/>
    </xf>
    <xf numFmtId="180" fontId="5" fillId="3" borderId="7" xfId="0" applyNumberFormat="1" applyFont="1" applyFill="1" applyBorder="1" applyAlignment="1">
      <alignment horizontal="center" vertical="center" wrapText="1" readingOrder="1"/>
    </xf>
    <xf numFmtId="0" fontId="8" fillId="3" borderId="9" xfId="0" applyNumberFormat="1" applyFont="1" applyFill="1" applyBorder="1" applyAlignment="1">
      <alignment horizontal="center" vertical="center" wrapText="1" readingOrder="1"/>
    </xf>
    <xf numFmtId="0" fontId="8" fillId="2" borderId="9" xfId="0" applyNumberFormat="1" applyFont="1" applyFill="1" applyBorder="1" applyAlignment="1">
      <alignment horizontal="center" vertical="center" wrapText="1" readingOrder="1"/>
    </xf>
    <xf numFmtId="180" fontId="5" fillId="3" borderId="11" xfId="0" applyNumberFormat="1" applyFont="1" applyFill="1" applyBorder="1" applyAlignment="1">
      <alignment horizontal="center" vertical="center" wrapText="1" readingOrder="1"/>
    </xf>
    <xf numFmtId="181" fontId="0" fillId="2" borderId="1" xfId="0" applyNumberFormat="1" applyFont="1" applyFill="1" applyBorder="1" applyAlignment="1">
      <alignment horizontal="center" vertical="center"/>
    </xf>
    <xf numFmtId="49" fontId="12" fillId="7" borderId="13" xfId="0" applyNumberFormat="1" applyFont="1" applyFill="1" applyBorder="1" applyAlignment="1" applyProtection="1">
      <alignment horizontal="center" vertical="center" wrapText="1"/>
    </xf>
    <xf numFmtId="49" fontId="13" fillId="7" borderId="13" xfId="0" applyNumberFormat="1" applyFont="1" applyFill="1" applyBorder="1" applyAlignment="1" applyProtection="1">
      <alignment horizontal="center" vertical="center" wrapText="1"/>
    </xf>
    <xf numFmtId="0" fontId="14" fillId="5" borderId="15" xfId="0" applyNumberFormat="1" applyFont="1" applyFill="1" applyBorder="1" applyAlignment="1">
      <alignment horizontal="center" vertical="center"/>
    </xf>
    <xf numFmtId="0" fontId="14" fillId="5" borderId="13" xfId="0" applyNumberFormat="1" applyFont="1" applyFill="1" applyBorder="1" applyAlignment="1">
      <alignment horizontal="center" vertical="center"/>
    </xf>
    <xf numFmtId="0" fontId="9" fillId="5" borderId="13" xfId="0" applyNumberFormat="1" applyFont="1" applyFill="1" applyBorder="1" applyAlignment="1">
      <alignment horizontal="center" vertical="center" wrapText="1"/>
    </xf>
    <xf numFmtId="49" fontId="13" fillId="7" borderId="18" xfId="0" applyNumberFormat="1" applyFont="1" applyFill="1" applyBorder="1" applyAlignment="1" applyProtection="1">
      <alignment horizontal="center" vertical="center" wrapText="1"/>
    </xf>
    <xf numFmtId="49" fontId="16" fillId="7" borderId="14" xfId="0" applyNumberFormat="1" applyFont="1" applyFill="1" applyBorder="1" applyAlignment="1" applyProtection="1">
      <alignment horizontal="center" vertical="center" wrapText="1"/>
    </xf>
    <xf numFmtId="0" fontId="15" fillId="8" borderId="20" xfId="0" applyNumberFormat="1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 wrapText="1"/>
    </xf>
    <xf numFmtId="177" fontId="0" fillId="2" borderId="12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left" vertical="center"/>
    </xf>
    <xf numFmtId="0" fontId="0" fillId="4" borderId="16" xfId="0" applyFill="1" applyBorder="1" applyAlignment="1">
      <alignment horizontal="center" vertical="center"/>
    </xf>
    <xf numFmtId="178" fontId="0" fillId="4" borderId="17" xfId="0" applyNumberFormat="1" applyFill="1" applyBorder="1" applyAlignment="1">
      <alignment horizontal="center" vertical="center"/>
    </xf>
    <xf numFmtId="179" fontId="0" fillId="4" borderId="17" xfId="0" applyNumberForma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9" fillId="6" borderId="21" xfId="0" applyNumberFormat="1" applyFont="1" applyFill="1" applyBorder="1" applyAlignment="1">
      <alignment horizontal="center" vertical="center"/>
    </xf>
    <xf numFmtId="0" fontId="9" fillId="6" borderId="12" xfId="0" applyNumberFormat="1" applyFont="1" applyFill="1" applyBorder="1" applyAlignment="1">
      <alignment horizontal="center" vertical="center"/>
    </xf>
    <xf numFmtId="0" fontId="9" fillId="6" borderId="12" xfId="0" applyNumberFormat="1" applyFont="1" applyFill="1" applyBorder="1" applyAlignment="1">
      <alignment horizontal="center" vertical="center" wrapText="1"/>
    </xf>
    <xf numFmtId="177" fontId="0" fillId="2" borderId="12" xfId="1" applyNumberFormat="1" applyFont="1" applyFill="1" applyBorder="1" applyAlignment="1">
      <alignment horizontal="center" vertical="center"/>
    </xf>
    <xf numFmtId="177" fontId="0" fillId="0" borderId="0" xfId="0" applyNumberFormat="1"/>
    <xf numFmtId="0" fontId="0" fillId="0" borderId="1" xfId="0" applyFill="1" applyBorder="1" applyAlignment="1">
      <alignment horizontal="center"/>
    </xf>
    <xf numFmtId="0" fontId="5" fillId="3" borderId="10" xfId="0" applyNumberFormat="1" applyFont="1" applyFill="1" applyBorder="1" applyAlignment="1">
      <alignment horizontal="center" vertical="center" wrapText="1" readingOrder="1"/>
    </xf>
    <xf numFmtId="0" fontId="5" fillId="3" borderId="11" xfId="0" applyNumberFormat="1" applyFont="1" applyFill="1" applyBorder="1" applyAlignment="1">
      <alignment horizontal="center" vertical="center" wrapText="1" readingOrder="1"/>
    </xf>
    <xf numFmtId="0" fontId="5" fillId="3" borderId="7" xfId="0" applyNumberFormat="1" applyFont="1" applyFill="1" applyBorder="1" applyAlignment="1">
      <alignment horizontal="center" vertical="center" wrapText="1" readingOrder="1"/>
    </xf>
    <xf numFmtId="49" fontId="5" fillId="3" borderId="4" xfId="0" applyNumberFormat="1" applyFont="1" applyFill="1" applyBorder="1" applyAlignment="1">
      <alignment horizontal="center" vertical="center" wrapText="1" readingOrder="1"/>
    </xf>
    <xf numFmtId="0" fontId="5" fillId="3" borderId="27" xfId="0" applyNumberFormat="1" applyFont="1" applyFill="1" applyBorder="1" applyAlignment="1">
      <alignment horizontal="center" vertical="center" wrapText="1" readingOrder="1"/>
    </xf>
    <xf numFmtId="0" fontId="5" fillId="10" borderId="7" xfId="0" applyNumberFormat="1" applyFont="1" applyFill="1" applyBorder="1" applyAlignment="1">
      <alignment horizontal="center" vertical="center" wrapText="1" readingOrder="1"/>
    </xf>
    <xf numFmtId="0" fontId="5" fillId="5" borderId="7" xfId="0" applyNumberFormat="1" applyFont="1" applyFill="1" applyBorder="1" applyAlignment="1">
      <alignment horizontal="center" vertical="center" wrapText="1" readingOrder="1"/>
    </xf>
    <xf numFmtId="17" fontId="6" fillId="5" borderId="28" xfId="0" applyNumberFormat="1" applyFont="1" applyFill="1" applyBorder="1" applyAlignment="1">
      <alignment horizontal="center" vertical="center"/>
    </xf>
    <xf numFmtId="49" fontId="8" fillId="3" borderId="9" xfId="0" applyNumberFormat="1" applyFont="1" applyFill="1" applyBorder="1" applyAlignment="1">
      <alignment horizontal="center" vertical="center" wrapText="1" readingOrder="1"/>
    </xf>
    <xf numFmtId="0" fontId="5" fillId="3" borderId="12" xfId="0" applyNumberFormat="1" applyFont="1" applyFill="1" applyBorder="1" applyAlignment="1">
      <alignment horizontal="center" vertical="center" wrapText="1" readingOrder="1"/>
    </xf>
    <xf numFmtId="0" fontId="5" fillId="10" borderId="11" xfId="0" applyNumberFormat="1" applyFont="1" applyFill="1" applyBorder="1" applyAlignment="1">
      <alignment horizontal="center" vertical="center" wrapText="1" readingOrder="1"/>
    </xf>
    <xf numFmtId="0" fontId="5" fillId="5" borderId="11" xfId="0" applyNumberFormat="1" applyFont="1" applyFill="1" applyBorder="1" applyAlignment="1">
      <alignment horizontal="center" vertical="center" wrapText="1" readingOrder="1"/>
    </xf>
    <xf numFmtId="0" fontId="23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9" fillId="5" borderId="1" xfId="0" applyNumberFormat="1" applyFont="1" applyFill="1" applyBorder="1" applyAlignment="1">
      <alignment horizontal="center" vertical="center"/>
    </xf>
    <xf numFmtId="2" fontId="4" fillId="0" borderId="1" xfId="1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180" fontId="0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81" fontId="0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/>
    </xf>
    <xf numFmtId="0" fontId="30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32" fillId="0" borderId="1" xfId="3" applyFont="1" applyFill="1" applyBorder="1" applyAlignment="1">
      <alignment horizontal="center" vertical="center" wrapText="1"/>
    </xf>
    <xf numFmtId="2" fontId="4" fillId="2" borderId="1" xfId="1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/>
    </xf>
    <xf numFmtId="180" fontId="0" fillId="0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/>
    </xf>
    <xf numFmtId="0" fontId="30" fillId="11" borderId="1" xfId="0" applyFont="1" applyFill="1" applyBorder="1" applyAlignment="1">
      <alignment horizontal="center" vertical="center"/>
    </xf>
    <xf numFmtId="177" fontId="0" fillId="11" borderId="1" xfId="1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178" fontId="0" fillId="2" borderId="1" xfId="0" applyNumberFormat="1" applyFont="1" applyFill="1" applyBorder="1" applyAlignment="1">
      <alignment horizontal="center" vertical="center"/>
    </xf>
    <xf numFmtId="0" fontId="32" fillId="2" borderId="1" xfId="3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0" fillId="11" borderId="1" xfId="0" applyNumberFormat="1" applyFon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NumberFormat="1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center" vertical="center"/>
    </xf>
    <xf numFmtId="14" fontId="0" fillId="0" borderId="1" xfId="1" applyNumberFormat="1" applyFont="1" applyFill="1" applyBorder="1" applyAlignment="1">
      <alignment horizontal="center" vertical="center"/>
    </xf>
    <xf numFmtId="14" fontId="36" fillId="0" borderId="1" xfId="0" applyNumberFormat="1" applyFont="1" applyFill="1" applyBorder="1" applyAlignment="1">
      <alignment horizontal="center" vertical="center"/>
    </xf>
    <xf numFmtId="14" fontId="37" fillId="0" borderId="1" xfId="0" applyNumberFormat="1" applyFont="1" applyFill="1" applyBorder="1" applyAlignment="1">
      <alignment horizontal="center" vertical="center"/>
    </xf>
    <xf numFmtId="14" fontId="34" fillId="0" borderId="1" xfId="0" applyNumberFormat="1" applyFont="1" applyFill="1" applyBorder="1" applyAlignment="1">
      <alignment horizontal="center" vertical="center"/>
    </xf>
    <xf numFmtId="178" fontId="0" fillId="12" borderId="1" xfId="0" applyNumberFormat="1" applyFill="1" applyBorder="1" applyAlignment="1">
      <alignment horizontal="center" vertical="center"/>
    </xf>
    <xf numFmtId="2" fontId="4" fillId="12" borderId="1" xfId="1" applyNumberFormat="1" applyFont="1" applyFill="1" applyBorder="1" applyAlignment="1">
      <alignment horizontal="center" vertical="center" wrapText="1"/>
    </xf>
    <xf numFmtId="49" fontId="0" fillId="12" borderId="1" xfId="0" applyNumberFormat="1" applyFill="1" applyBorder="1" applyAlignment="1">
      <alignment horizontal="center" vertical="center"/>
    </xf>
    <xf numFmtId="0" fontId="26" fillId="12" borderId="2" xfId="0" applyFont="1" applyFill="1" applyBorder="1" applyAlignment="1">
      <alignment horizontal="center" vertical="center"/>
    </xf>
    <xf numFmtId="0" fontId="26" fillId="12" borderId="3" xfId="0" applyFont="1" applyFill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 wrapText="1"/>
    </xf>
    <xf numFmtId="0" fontId="0" fillId="12" borderId="3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/>
    </xf>
    <xf numFmtId="180" fontId="0" fillId="12" borderId="1" xfId="0" applyNumberForma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 wrapText="1"/>
    </xf>
    <xf numFmtId="181" fontId="0" fillId="12" borderId="1" xfId="0" applyNumberFormat="1" applyFill="1" applyBorder="1" applyAlignment="1">
      <alignment horizontal="center" vertical="center"/>
    </xf>
    <xf numFmtId="0" fontId="0" fillId="12" borderId="1" xfId="0" applyNumberFormat="1" applyFont="1" applyFill="1" applyBorder="1" applyAlignment="1">
      <alignment horizontal="center" vertical="center"/>
    </xf>
    <xf numFmtId="0" fontId="0" fillId="12" borderId="1" xfId="0" applyNumberFormat="1" applyFill="1" applyBorder="1" applyAlignment="1">
      <alignment horizontal="center" vertical="center"/>
    </xf>
    <xf numFmtId="177" fontId="0" fillId="12" borderId="1" xfId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14" fontId="37" fillId="12" borderId="1" xfId="0" applyNumberFormat="1" applyFont="1" applyFill="1" applyBorder="1" applyAlignment="1">
      <alignment horizontal="center" vertical="center"/>
    </xf>
    <xf numFmtId="0" fontId="35" fillId="2" borderId="1" xfId="0" applyNumberFormat="1" applyFont="1" applyFill="1" applyBorder="1" applyAlignment="1">
      <alignment horizontal="center" vertical="center"/>
    </xf>
    <xf numFmtId="183" fontId="0" fillId="0" borderId="1" xfId="0" applyNumberFormat="1" applyFill="1" applyBorder="1" applyAlignment="1">
      <alignment horizontal="center" vertical="center" shrinkToFit="1"/>
    </xf>
    <xf numFmtId="178" fontId="0" fillId="13" borderId="1" xfId="0" applyNumberFormat="1" applyFill="1" applyBorder="1" applyAlignment="1">
      <alignment horizontal="center" vertical="center"/>
    </xf>
    <xf numFmtId="2" fontId="4" fillId="13" borderId="1" xfId="1" applyNumberFormat="1" applyFont="1" applyFill="1" applyBorder="1" applyAlignment="1">
      <alignment horizontal="center" vertical="center" wrapText="1"/>
    </xf>
    <xf numFmtId="49" fontId="0" fillId="13" borderId="1" xfId="0" applyNumberFormat="1" applyFill="1" applyBorder="1" applyAlignment="1">
      <alignment horizontal="center" vertical="center"/>
    </xf>
    <xf numFmtId="0" fontId="26" fillId="13" borderId="2" xfId="0" applyFont="1" applyFill="1" applyBorder="1" applyAlignment="1">
      <alignment horizontal="center" vertical="center"/>
    </xf>
    <xf numFmtId="0" fontId="26" fillId="13" borderId="3" xfId="0" applyFont="1" applyFill="1" applyBorder="1" applyAlignment="1">
      <alignment horizontal="center" vertical="center"/>
    </xf>
    <xf numFmtId="0" fontId="0" fillId="13" borderId="2" xfId="0" applyFont="1" applyFill="1" applyBorder="1" applyAlignment="1">
      <alignment horizontal="center" vertical="center" wrapText="1"/>
    </xf>
    <xf numFmtId="0" fontId="0" fillId="13" borderId="3" xfId="0" applyFont="1" applyFill="1" applyBorder="1" applyAlignment="1">
      <alignment horizontal="center" vertical="center" wrapText="1"/>
    </xf>
    <xf numFmtId="0" fontId="27" fillId="13" borderId="1" xfId="0" applyFont="1" applyFill="1" applyBorder="1" applyAlignment="1">
      <alignment horizontal="center"/>
    </xf>
    <xf numFmtId="180" fontId="0" fillId="13" borderId="1" xfId="0" applyNumberForma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 wrapText="1"/>
    </xf>
    <xf numFmtId="181" fontId="0" fillId="13" borderId="1" xfId="0" applyNumberFormat="1" applyFill="1" applyBorder="1" applyAlignment="1">
      <alignment horizontal="center" vertical="center"/>
    </xf>
    <xf numFmtId="0" fontId="0" fillId="13" borderId="1" xfId="0" applyNumberFormat="1" applyFont="1" applyFill="1" applyBorder="1" applyAlignment="1">
      <alignment horizontal="center" vertical="center"/>
    </xf>
    <xf numFmtId="177" fontId="0" fillId="13" borderId="1" xfId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14" fontId="36" fillId="13" borderId="1" xfId="0" applyNumberFormat="1" applyFont="1" applyFill="1" applyBorder="1" applyAlignment="1">
      <alignment horizontal="center" vertical="center"/>
    </xf>
    <xf numFmtId="14" fontId="34" fillId="13" borderId="1" xfId="0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4" fontId="37" fillId="13" borderId="1" xfId="0" applyNumberFormat="1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center" vertical="center"/>
    </xf>
    <xf numFmtId="14" fontId="36" fillId="12" borderId="1" xfId="0" applyNumberFormat="1" applyFont="1" applyFill="1" applyBorder="1" applyAlignment="1">
      <alignment horizontal="center" vertical="center"/>
    </xf>
    <xf numFmtId="14" fontId="34" fillId="1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14" fontId="36" fillId="11" borderId="1" xfId="0" applyNumberFormat="1" applyFont="1" applyFill="1" applyBorder="1" applyAlignment="1">
      <alignment horizontal="center" vertical="center"/>
    </xf>
    <xf numFmtId="14" fontId="34" fillId="11" borderId="1" xfId="0" applyNumberFormat="1" applyFont="1" applyFill="1" applyBorder="1" applyAlignment="1">
      <alignment horizontal="center" vertical="center"/>
    </xf>
    <xf numFmtId="14" fontId="37" fillId="11" borderId="1" xfId="0" applyNumberFormat="1" applyFont="1" applyFill="1" applyBorder="1" applyAlignment="1">
      <alignment horizontal="center" vertical="center"/>
    </xf>
    <xf numFmtId="14" fontId="38" fillId="0" borderId="1" xfId="0" applyNumberFormat="1" applyFont="1" applyFill="1" applyBorder="1" applyAlignment="1">
      <alignment horizontal="center" vertical="center"/>
    </xf>
    <xf numFmtId="177" fontId="0" fillId="0" borderId="1" xfId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39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39" fillId="2" borderId="1" xfId="0" applyNumberFormat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14" fontId="34" fillId="2" borderId="1" xfId="0" applyNumberFormat="1" applyFont="1" applyFill="1" applyBorder="1" applyAlignment="1">
      <alignment horizontal="center" vertical="center"/>
    </xf>
    <xf numFmtId="14" fontId="36" fillId="2" borderId="1" xfId="0" applyNumberFormat="1" applyFont="1" applyFill="1" applyBorder="1" applyAlignment="1">
      <alignment horizontal="center" vertical="center"/>
    </xf>
    <xf numFmtId="14" fontId="39" fillId="13" borderId="1" xfId="0" applyNumberFormat="1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 vertical="center"/>
    </xf>
    <xf numFmtId="14" fontId="37" fillId="2" borderId="1" xfId="0" applyNumberFormat="1" applyFont="1" applyFill="1" applyBorder="1" applyAlignment="1">
      <alignment horizontal="center" vertical="center"/>
    </xf>
    <xf numFmtId="14" fontId="39" fillId="12" borderId="1" xfId="0" applyNumberFormat="1" applyFont="1" applyFill="1" applyBorder="1" applyAlignment="1">
      <alignment horizontal="center" vertical="center"/>
    </xf>
    <xf numFmtId="0" fontId="0" fillId="8" borderId="1" xfId="0" applyNumberForma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2" fontId="4" fillId="8" borderId="1" xfId="1" applyNumberFormat="1" applyFon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27" fillId="8" borderId="3" xfId="0" applyFon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/>
    </xf>
    <xf numFmtId="181" fontId="0" fillId="8" borderId="1" xfId="0" applyNumberForma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 wrapText="1"/>
    </xf>
    <xf numFmtId="0" fontId="0" fillId="8" borderId="1" xfId="0" applyNumberFormat="1" applyFont="1" applyFill="1" applyBorder="1" applyAlignment="1">
      <alignment horizontal="center" vertical="center"/>
    </xf>
    <xf numFmtId="177" fontId="0" fillId="8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14" fontId="39" fillId="8" borderId="1" xfId="0" applyNumberFormat="1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14" fontId="36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14" fontId="37" fillId="8" borderId="1" xfId="0" applyNumberFormat="1" applyFont="1" applyFill="1" applyBorder="1" applyAlignment="1">
      <alignment horizontal="center" vertical="center"/>
    </xf>
    <xf numFmtId="2" fontId="0" fillId="13" borderId="1" xfId="1" applyNumberFormat="1" applyFont="1" applyFill="1" applyBorder="1" applyAlignment="1">
      <alignment horizontal="center" vertical="center" wrapText="1"/>
    </xf>
    <xf numFmtId="0" fontId="0" fillId="13" borderId="1" xfId="0" applyNumberFormat="1" applyFill="1" applyBorder="1" applyAlignment="1">
      <alignment horizontal="center" vertical="center"/>
    </xf>
    <xf numFmtId="0" fontId="32" fillId="12" borderId="1" xfId="3" applyFont="1" applyFill="1" applyBorder="1" applyAlignment="1">
      <alignment horizontal="center" vertical="center" wrapText="1"/>
    </xf>
    <xf numFmtId="2" fontId="0" fillId="2" borderId="1" xfId="1" applyNumberFormat="1" applyFont="1" applyFill="1" applyBorder="1" applyAlignment="1">
      <alignment horizontal="center" vertical="center" wrapText="1"/>
    </xf>
    <xf numFmtId="181" fontId="0" fillId="3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1" xfId="0" quotePrefix="1" applyNumberForma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14" fontId="40" fillId="0" borderId="1" xfId="0" applyNumberFormat="1" applyFont="1" applyFill="1" applyBorder="1" applyAlignment="1">
      <alignment horizontal="center" vertical="center"/>
    </xf>
    <xf numFmtId="14" fontId="41" fillId="0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42" fillId="0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81" fontId="0" fillId="14" borderId="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14" fontId="40" fillId="2" borderId="1" xfId="0" applyNumberFormat="1" applyFont="1" applyFill="1" applyBorder="1" applyAlignment="1">
      <alignment horizontal="center" vertical="center"/>
    </xf>
    <xf numFmtId="14" fontId="41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/>
    </xf>
    <xf numFmtId="181" fontId="0" fillId="2" borderId="0" xfId="0" applyNumberFormat="1" applyFill="1"/>
    <xf numFmtId="1" fontId="0" fillId="2" borderId="1" xfId="0" applyNumberFormat="1" applyFill="1" applyBorder="1" applyAlignment="1">
      <alignment horizontal="center" vertical="center"/>
    </xf>
    <xf numFmtId="14" fontId="43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0" fontId="44" fillId="0" borderId="2" xfId="0" applyFont="1" applyFill="1" applyBorder="1" applyAlignment="1">
      <alignment horizontal="center" vertical="center"/>
    </xf>
    <xf numFmtId="0" fontId="44" fillId="0" borderId="3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 vertical="center"/>
    </xf>
    <xf numFmtId="0" fontId="0" fillId="15" borderId="1" xfId="0" applyNumberFormat="1" applyFill="1" applyBorder="1" applyAlignment="1">
      <alignment horizontal="center" vertical="center"/>
    </xf>
    <xf numFmtId="178" fontId="0" fillId="15" borderId="1" xfId="0" applyNumberFormat="1" applyFill="1" applyBorder="1" applyAlignment="1">
      <alignment horizontal="center" vertical="center"/>
    </xf>
    <xf numFmtId="0" fontId="0" fillId="15" borderId="1" xfId="0" applyNumberFormat="1" applyFont="1" applyFill="1" applyBorder="1" applyAlignment="1">
      <alignment horizontal="center" vertical="center"/>
    </xf>
    <xf numFmtId="2" fontId="0" fillId="15" borderId="1" xfId="1" applyNumberFormat="1" applyFont="1" applyFill="1" applyBorder="1" applyAlignment="1">
      <alignment horizontal="center" vertical="center" wrapText="1"/>
    </xf>
    <xf numFmtId="49" fontId="0" fillId="15" borderId="1" xfId="0" quotePrefix="1" applyNumberFormat="1" applyFill="1" applyBorder="1" applyAlignment="1">
      <alignment horizontal="center" vertical="center"/>
    </xf>
    <xf numFmtId="0" fontId="44" fillId="15" borderId="2" xfId="0" applyFont="1" applyFill="1" applyBorder="1" applyAlignment="1">
      <alignment horizontal="center" vertical="center"/>
    </xf>
    <xf numFmtId="0" fontId="44" fillId="15" borderId="3" xfId="0" applyFont="1" applyFill="1" applyBorder="1" applyAlignment="1">
      <alignment horizontal="center" vertical="center"/>
    </xf>
    <xf numFmtId="0" fontId="0" fillId="15" borderId="2" xfId="0" applyFont="1" applyFill="1" applyBorder="1" applyAlignment="1">
      <alignment horizontal="center" vertical="center" wrapText="1"/>
    </xf>
    <xf numFmtId="0" fontId="0" fillId="15" borderId="3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/>
    </xf>
    <xf numFmtId="180" fontId="0" fillId="15" borderId="1" xfId="0" applyNumberForma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 wrapText="1"/>
    </xf>
    <xf numFmtId="181" fontId="0" fillId="15" borderId="1" xfId="0" applyNumberFormat="1" applyFill="1" applyBorder="1" applyAlignment="1">
      <alignment horizontal="center" vertical="center"/>
    </xf>
    <xf numFmtId="177" fontId="0" fillId="15" borderId="1" xfId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14" fontId="37" fillId="15" borderId="1" xfId="0" applyNumberFormat="1" applyFont="1" applyFill="1" applyBorder="1" applyAlignment="1">
      <alignment horizontal="center" vertical="center"/>
    </xf>
    <xf numFmtId="0" fontId="40" fillId="15" borderId="1" xfId="0" applyFont="1" applyFill="1" applyBorder="1" applyAlignment="1">
      <alignment horizontal="center" vertical="center"/>
    </xf>
    <xf numFmtId="14" fontId="40" fillId="15" borderId="1" xfId="0" applyNumberFormat="1" applyFont="1" applyFill="1" applyBorder="1" applyAlignment="1">
      <alignment horizontal="center" vertical="center"/>
    </xf>
    <xf numFmtId="14" fontId="41" fillId="15" borderId="1" xfId="0" applyNumberFormat="1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center"/>
    </xf>
    <xf numFmtId="0" fontId="30" fillId="15" borderId="1" xfId="0" applyFont="1" applyFill="1" applyBorder="1" applyAlignment="1">
      <alignment horizontal="center" vertical="center"/>
    </xf>
    <xf numFmtId="0" fontId="0" fillId="15" borderId="0" xfId="0" applyFill="1" applyAlignment="1">
      <alignment horizontal="center"/>
    </xf>
    <xf numFmtId="184" fontId="0" fillId="15" borderId="1" xfId="0" applyNumberForma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178" fontId="0" fillId="15" borderId="1" xfId="0" applyNumberFormat="1" applyFont="1" applyFill="1" applyBorder="1" applyAlignment="1">
      <alignment horizontal="center" vertical="center"/>
    </xf>
    <xf numFmtId="49" fontId="0" fillId="15" borderId="1" xfId="0" applyNumberFormat="1" applyFont="1" applyFill="1" applyBorder="1" applyAlignment="1">
      <alignment horizontal="center" vertical="center"/>
    </xf>
    <xf numFmtId="0" fontId="26" fillId="15" borderId="2" xfId="0" applyFont="1" applyFill="1" applyBorder="1" applyAlignment="1">
      <alignment horizontal="center" vertical="center"/>
    </xf>
    <xf numFmtId="0" fontId="26" fillId="15" borderId="3" xfId="0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180" fontId="0" fillId="15" borderId="1" xfId="0" applyNumberFormat="1" applyFont="1" applyFill="1" applyBorder="1" applyAlignment="1">
      <alignment horizontal="center" vertical="center"/>
    </xf>
    <xf numFmtId="181" fontId="0" fillId="15" borderId="1" xfId="0" applyNumberFormat="1" applyFont="1" applyFill="1" applyBorder="1" applyAlignment="1">
      <alignment horizontal="center" vertical="center"/>
    </xf>
    <xf numFmtId="181" fontId="0" fillId="15" borderId="1" xfId="1" applyNumberFormat="1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33" fillId="15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/>
    </xf>
    <xf numFmtId="0" fontId="45" fillId="15" borderId="1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/>
    </xf>
    <xf numFmtId="0" fontId="29" fillId="15" borderId="1" xfId="0" applyFont="1" applyFill="1" applyBorder="1" applyAlignment="1">
      <alignment horizontal="center" vertical="center"/>
    </xf>
    <xf numFmtId="0" fontId="0" fillId="15" borderId="1" xfId="3" applyFont="1" applyFill="1" applyBorder="1" applyAlignment="1">
      <alignment horizontal="center" vertical="center" wrapText="1"/>
    </xf>
    <xf numFmtId="49" fontId="0" fillId="15" borderId="1" xfId="0" applyNumberFormat="1" applyFont="1" applyFill="1" applyBorder="1" applyAlignment="1">
      <alignment horizontal="center"/>
    </xf>
    <xf numFmtId="0" fontId="33" fillId="15" borderId="1" xfId="0" applyNumberFormat="1" applyFont="1" applyFill="1" applyBorder="1" applyAlignment="1">
      <alignment horizontal="center" vertical="center"/>
    </xf>
    <xf numFmtId="49" fontId="0" fillId="15" borderId="1" xfId="0" applyNumberFormat="1" applyFont="1" applyFill="1" applyBorder="1" applyAlignment="1">
      <alignment horizontal="center" vertical="center" wrapText="1"/>
    </xf>
    <xf numFmtId="1" fontId="0" fillId="15" borderId="1" xfId="1" applyNumberFormat="1" applyFont="1" applyFill="1" applyBorder="1" applyAlignment="1">
      <alignment horizontal="center" vertical="center" wrapText="1"/>
    </xf>
    <xf numFmtId="1" fontId="0" fillId="15" borderId="1" xfId="2" applyNumberFormat="1" applyFont="1" applyFill="1" applyBorder="1" applyAlignment="1">
      <alignment horizontal="center" vertical="center" wrapText="1"/>
    </xf>
    <xf numFmtId="14" fontId="46" fillId="15" borderId="1" xfId="0" applyNumberFormat="1" applyFont="1" applyFill="1" applyBorder="1" applyAlignment="1">
      <alignment horizontal="center" vertical="center"/>
    </xf>
    <xf numFmtId="0" fontId="47" fillId="15" borderId="1" xfId="0" applyFont="1" applyFill="1" applyBorder="1" applyAlignment="1">
      <alignment horizontal="center" vertical="center"/>
    </xf>
    <xf numFmtId="14" fontId="47" fillId="15" borderId="1" xfId="0" applyNumberFormat="1" applyFont="1" applyFill="1" applyBorder="1" applyAlignment="1">
      <alignment horizontal="center" vertical="center"/>
    </xf>
    <xf numFmtId="14" fontId="30" fillId="15" borderId="1" xfId="0" applyNumberFormat="1" applyFont="1" applyFill="1" applyBorder="1" applyAlignment="1">
      <alignment horizontal="center" vertical="center"/>
    </xf>
    <xf numFmtId="183" fontId="0" fillId="15" borderId="1" xfId="0" applyNumberFormat="1" applyFont="1" applyFill="1" applyBorder="1" applyAlignment="1">
      <alignment horizontal="center" vertical="center" shrinkToFit="1"/>
    </xf>
    <xf numFmtId="0" fontId="0" fillId="15" borderId="29" xfId="0" applyFont="1" applyFill="1" applyBorder="1" applyAlignment="1">
      <alignment horizontal="center" vertical="center" wrapText="1"/>
    </xf>
    <xf numFmtId="49" fontId="0" fillId="15" borderId="1" xfId="2" applyNumberFormat="1" applyFont="1" applyFill="1" applyBorder="1" applyAlignment="1">
      <alignment horizontal="center" vertical="center"/>
    </xf>
    <xf numFmtId="0" fontId="0" fillId="15" borderId="2" xfId="2" applyFont="1" applyFill="1" applyBorder="1" applyAlignment="1">
      <alignment horizontal="center" vertical="center" wrapText="1"/>
    </xf>
    <xf numFmtId="0" fontId="0" fillId="15" borderId="3" xfId="2" applyFont="1" applyFill="1" applyBorder="1" applyAlignment="1">
      <alignment horizontal="center" vertical="center" wrapText="1"/>
    </xf>
    <xf numFmtId="14" fontId="27" fillId="15" borderId="1" xfId="0" applyNumberFormat="1" applyFont="1" applyFill="1" applyBorder="1" applyAlignment="1">
      <alignment horizontal="center" vertical="center"/>
    </xf>
    <xf numFmtId="14" fontId="48" fillId="15" borderId="1" xfId="0" applyNumberFormat="1" applyFont="1" applyFill="1" applyBorder="1" applyAlignment="1">
      <alignment horizontal="center" vertical="center"/>
    </xf>
    <xf numFmtId="1" fontId="0" fillId="15" borderId="1" xfId="0" applyNumberFormat="1" applyFont="1" applyFill="1" applyBorder="1" applyAlignment="1">
      <alignment horizontal="center" vertical="center"/>
    </xf>
    <xf numFmtId="0" fontId="0" fillId="15" borderId="1" xfId="0" applyFont="1" applyFill="1" applyBorder="1"/>
    <xf numFmtId="14" fontId="0" fillId="15" borderId="1" xfId="0" applyNumberFormat="1" applyFont="1" applyFill="1" applyBorder="1" applyAlignment="1">
      <alignment horizontal="center" vertical="center"/>
    </xf>
    <xf numFmtId="14" fontId="26" fillId="15" borderId="2" xfId="0" applyNumberFormat="1" applyFont="1" applyFill="1" applyBorder="1" applyAlignment="1">
      <alignment horizontal="center" vertical="center"/>
    </xf>
    <xf numFmtId="14" fontId="0" fillId="15" borderId="1" xfId="0" applyNumberFormat="1" applyFont="1" applyFill="1" applyBorder="1" applyAlignment="1">
      <alignment horizontal="center" vertical="center" wrapText="1"/>
    </xf>
    <xf numFmtId="49" fontId="0" fillId="15" borderId="1" xfId="0" quotePrefix="1" applyNumberFormat="1" applyFont="1" applyFill="1" applyBorder="1" applyAlignment="1">
      <alignment horizontal="center" vertical="center"/>
    </xf>
    <xf numFmtId="1" fontId="33" fillId="15" borderId="1" xfId="0" applyNumberFormat="1" applyFont="1" applyFill="1" applyBorder="1" applyAlignment="1">
      <alignment horizontal="center" vertical="center"/>
    </xf>
    <xf numFmtId="0" fontId="0" fillId="15" borderId="0" xfId="0" applyFont="1" applyFill="1" applyAlignment="1">
      <alignment horizontal="center" vertical="center"/>
    </xf>
    <xf numFmtId="0" fontId="49" fillId="15" borderId="1" xfId="0" applyFont="1" applyFill="1" applyBorder="1" applyAlignment="1">
      <alignment horizontal="center" vertical="center"/>
    </xf>
    <xf numFmtId="2" fontId="0" fillId="15" borderId="1" xfId="2" applyNumberFormat="1" applyFont="1" applyFill="1" applyBorder="1" applyAlignment="1">
      <alignment horizontal="center" vertical="center" wrapText="1"/>
    </xf>
    <xf numFmtId="182" fontId="0" fillId="15" borderId="1" xfId="1" applyNumberFormat="1" applyFont="1" applyFill="1" applyBorder="1" applyAlignment="1">
      <alignment horizontal="center" vertical="center"/>
    </xf>
    <xf numFmtId="185" fontId="0" fillId="15" borderId="1" xfId="1" applyNumberFormat="1" applyFont="1" applyFill="1" applyBorder="1" applyAlignment="1">
      <alignment horizontal="center" vertical="center"/>
    </xf>
    <xf numFmtId="14" fontId="0" fillId="15" borderId="1" xfId="1" applyNumberFormat="1" applyFont="1" applyFill="1" applyBorder="1" applyAlignment="1">
      <alignment horizontal="center" vertical="center"/>
    </xf>
    <xf numFmtId="178" fontId="29" fillId="15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186" fontId="0" fillId="0" borderId="1" xfId="0" applyNumberFormat="1" applyFill="1" applyBorder="1" applyAlignment="1">
      <alignment horizontal="center" vertical="center"/>
    </xf>
    <xf numFmtId="0" fontId="50" fillId="0" borderId="1" xfId="0" applyFont="1" applyFill="1" applyBorder="1" applyAlignment="1">
      <alignment horizontal="center"/>
    </xf>
    <xf numFmtId="0" fontId="6" fillId="5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/>
    </xf>
    <xf numFmtId="177" fontId="0" fillId="3" borderId="1" xfId="1" applyFont="1" applyFill="1" applyBorder="1" applyAlignment="1">
      <alignment horizontal="center" vertical="center"/>
    </xf>
    <xf numFmtId="0" fontId="0" fillId="3" borderId="0" xfId="0" applyFill="1"/>
    <xf numFmtId="0" fontId="9" fillId="16" borderId="1" xfId="0" applyNumberFormat="1" applyFont="1" applyFill="1" applyBorder="1" applyAlignment="1">
      <alignment horizontal="center" vertical="center"/>
    </xf>
    <xf numFmtId="0" fontId="6" fillId="16" borderId="1" xfId="0" applyNumberFormat="1" applyFont="1" applyFill="1" applyBorder="1" applyAlignment="1">
      <alignment horizontal="center" vertical="center" wrapText="1"/>
    </xf>
    <xf numFmtId="177" fontId="17" fillId="3" borderId="12" xfId="1" applyFont="1" applyFill="1" applyBorder="1" applyAlignment="1">
      <alignment horizontal="center" vertical="center"/>
    </xf>
    <xf numFmtId="177" fontId="0" fillId="3" borderId="0" xfId="0" applyNumberFormat="1" applyFill="1"/>
    <xf numFmtId="178" fontId="53" fillId="0" borderId="12" xfId="0" applyNumberFormat="1" applyFont="1" applyFill="1" applyBorder="1" applyAlignment="1">
      <alignment horizontal="left" vertical="center"/>
    </xf>
    <xf numFmtId="178" fontId="53" fillId="0" borderId="1" xfId="0" applyNumberFormat="1" applyFont="1" applyFill="1" applyBorder="1" applyAlignment="1">
      <alignment horizontal="left" vertical="center"/>
    </xf>
    <xf numFmtId="178" fontId="54" fillId="0" borderId="12" xfId="0" applyNumberFormat="1" applyFont="1" applyFill="1" applyBorder="1" applyAlignment="1">
      <alignment horizontal="left" vertical="center"/>
    </xf>
    <xf numFmtId="178" fontId="53" fillId="0" borderId="2" xfId="0" applyNumberFormat="1" applyFont="1" applyFill="1" applyBorder="1" applyAlignment="1">
      <alignment horizontal="left" vertical="center"/>
    </xf>
    <xf numFmtId="178" fontId="54" fillId="0" borderId="2" xfId="0" applyNumberFormat="1" applyFont="1" applyFill="1" applyBorder="1" applyAlignment="1">
      <alignment horizontal="left" vertical="center"/>
    </xf>
    <xf numFmtId="178" fontId="0" fillId="17" borderId="1" xfId="0" applyNumberFormat="1" applyFill="1" applyBorder="1" applyAlignment="1">
      <alignment horizontal="center" vertical="center"/>
    </xf>
    <xf numFmtId="178" fontId="53" fillId="2" borderId="1" xfId="0" applyNumberFormat="1" applyFont="1" applyFill="1" applyBorder="1" applyAlignment="1">
      <alignment horizontal="left" vertical="center"/>
    </xf>
    <xf numFmtId="0" fontId="0" fillId="17" borderId="1" xfId="0" applyFont="1" applyFill="1" applyBorder="1" applyAlignment="1">
      <alignment horizontal="center" vertical="center" wrapText="1"/>
    </xf>
    <xf numFmtId="181" fontId="0" fillId="17" borderId="1" xfId="0" applyNumberFormat="1" applyFont="1" applyFill="1" applyBorder="1" applyAlignment="1">
      <alignment horizontal="center" vertical="center"/>
    </xf>
    <xf numFmtId="178" fontId="0" fillId="17" borderId="12" xfId="0" applyNumberFormat="1" applyFill="1" applyBorder="1" applyAlignment="1">
      <alignment horizontal="center" vertical="center"/>
    </xf>
    <xf numFmtId="181" fontId="0" fillId="17" borderId="12" xfId="0" applyNumberFormat="1" applyFont="1" applyFill="1" applyBorder="1" applyAlignment="1">
      <alignment horizontal="center" vertical="center"/>
    </xf>
    <xf numFmtId="178" fontId="0" fillId="18" borderId="1" xfId="0" applyNumberFormat="1" applyFill="1" applyBorder="1" applyAlignment="1">
      <alignment horizontal="center" vertical="center"/>
    </xf>
    <xf numFmtId="0" fontId="0" fillId="18" borderId="1" xfId="0" applyFont="1" applyFill="1" applyBorder="1" applyAlignment="1">
      <alignment horizontal="center" vertical="center" wrapText="1"/>
    </xf>
    <xf numFmtId="181" fontId="0" fillId="18" borderId="1" xfId="0" applyNumberFormat="1" applyFont="1" applyFill="1" applyBorder="1" applyAlignment="1">
      <alignment horizontal="center" vertical="center"/>
    </xf>
    <xf numFmtId="0" fontId="0" fillId="18" borderId="1" xfId="0" applyFill="1" applyBorder="1"/>
    <xf numFmtId="0" fontId="0" fillId="18" borderId="2" xfId="0" applyFont="1" applyFill="1" applyBorder="1" applyAlignment="1">
      <alignment horizontal="center" vertical="center" wrapText="1"/>
    </xf>
    <xf numFmtId="0" fontId="0" fillId="18" borderId="3" xfId="0" applyFont="1" applyFill="1" applyBorder="1" applyAlignment="1">
      <alignment horizontal="center" vertical="center" wrapText="1"/>
    </xf>
    <xf numFmtId="181" fontId="0" fillId="18" borderId="1" xfId="0" applyNumberForma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7" fillId="6" borderId="23" xfId="0" applyNumberFormat="1" applyFont="1" applyFill="1" applyBorder="1" applyAlignment="1">
      <alignment horizontal="center" vertical="center"/>
    </xf>
    <xf numFmtId="0" fontId="7" fillId="6" borderId="24" xfId="0" applyNumberFormat="1" applyFont="1" applyFill="1" applyBorder="1" applyAlignment="1">
      <alignment horizontal="center" vertical="center"/>
    </xf>
    <xf numFmtId="0" fontId="7" fillId="6" borderId="26" xfId="0" applyNumberFormat="1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49" fontId="12" fillId="7" borderId="18" xfId="0" applyNumberFormat="1" applyFont="1" applyFill="1" applyBorder="1" applyAlignment="1" applyProtection="1">
      <alignment horizontal="center" vertical="center" wrapText="1"/>
    </xf>
    <xf numFmtId="49" fontId="12" fillId="7" borderId="19" xfId="0" applyNumberFormat="1" applyFont="1" applyFill="1" applyBorder="1" applyAlignment="1" applyProtection="1">
      <alignment horizontal="center" vertical="center" wrapText="1"/>
    </xf>
    <xf numFmtId="49" fontId="20" fillId="5" borderId="1" xfId="0" applyNumberFormat="1" applyFont="1" applyFill="1" applyBorder="1" applyAlignment="1">
      <alignment horizontal="center" vertical="center" wrapText="1"/>
    </xf>
    <xf numFmtId="182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181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NumberFormat="1" applyFont="1" applyFill="1" applyBorder="1" applyAlignment="1">
      <alignment horizontal="center" vertical="center" wrapText="1"/>
    </xf>
    <xf numFmtId="0" fontId="7" fillId="16" borderId="1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2" fillId="5" borderId="8" xfId="0" applyNumberFormat="1" applyFont="1" applyFill="1" applyBorder="1" applyAlignment="1">
      <alignment horizontal="center" vertical="center" wrapText="1"/>
    </xf>
    <xf numFmtId="0" fontId="22" fillId="5" borderId="12" xfId="0" applyNumberFormat="1" applyFont="1" applyFill="1" applyBorder="1" applyAlignment="1">
      <alignment horizontal="center" vertical="center" wrapText="1"/>
    </xf>
    <xf numFmtId="0" fontId="7" fillId="5" borderId="1" xfId="0" applyNumberFormat="1" applyFont="1" applyFill="1" applyBorder="1" applyAlignment="1">
      <alignment horizontal="center" vertical="center"/>
    </xf>
    <xf numFmtId="49" fontId="12" fillId="7" borderId="22" xfId="0" applyNumberFormat="1" applyFont="1" applyFill="1" applyBorder="1" applyAlignment="1" applyProtection="1">
      <alignment horizontal="center" vertical="center" wrapText="1"/>
    </xf>
    <xf numFmtId="49" fontId="12" fillId="7" borderId="17" xfId="0" applyNumberFormat="1" applyFont="1" applyFill="1" applyBorder="1" applyAlignment="1" applyProtection="1">
      <alignment horizontal="center" vertical="center" wrapText="1"/>
    </xf>
    <xf numFmtId="49" fontId="13" fillId="7" borderId="17" xfId="0" applyNumberFormat="1" applyFont="1" applyFill="1" applyBorder="1" applyAlignment="1" applyProtection="1">
      <alignment horizontal="center" vertical="center" wrapText="1"/>
    </xf>
    <xf numFmtId="49" fontId="12" fillId="7" borderId="30" xfId="0" applyNumberFormat="1" applyFont="1" applyFill="1" applyBorder="1" applyAlignment="1" applyProtection="1">
      <alignment horizontal="center" vertical="center" wrapText="1"/>
    </xf>
    <xf numFmtId="49" fontId="13" fillId="7" borderId="19" xfId="0" applyNumberFormat="1" applyFont="1" applyFill="1" applyBorder="1" applyAlignment="1" applyProtection="1">
      <alignment horizontal="center" vertical="center" wrapText="1"/>
    </xf>
    <xf numFmtId="49" fontId="13" fillId="7" borderId="14" xfId="0" applyNumberFormat="1" applyFont="1" applyFill="1" applyBorder="1" applyAlignment="1" applyProtection="1">
      <alignment horizontal="center" vertical="center" wrapText="1"/>
    </xf>
    <xf numFmtId="0" fontId="0" fillId="0" borderId="12" xfId="0" applyBorder="1"/>
    <xf numFmtId="187" fontId="0" fillId="0" borderId="12" xfId="0" applyNumberFormat="1" applyBorder="1"/>
    <xf numFmtId="0" fontId="7" fillId="6" borderId="31" xfId="0" applyNumberFormat="1" applyFont="1" applyFill="1" applyBorder="1" applyAlignment="1">
      <alignment horizontal="center" vertical="center"/>
    </xf>
    <xf numFmtId="0" fontId="7" fillId="6" borderId="32" xfId="0" applyNumberFormat="1" applyFont="1" applyFill="1" applyBorder="1" applyAlignment="1">
      <alignment horizontal="center" vertical="center"/>
    </xf>
    <xf numFmtId="0" fontId="7" fillId="6" borderId="33" xfId="0" applyNumberFormat="1" applyFont="1" applyFill="1" applyBorder="1" applyAlignment="1">
      <alignment horizontal="center" vertical="center"/>
    </xf>
    <xf numFmtId="0" fontId="0" fillId="17" borderId="12" xfId="0" applyFont="1" applyFill="1" applyBorder="1" applyAlignment="1">
      <alignment horizontal="center" vertical="center" wrapText="1"/>
    </xf>
    <xf numFmtId="176" fontId="0" fillId="2" borderId="12" xfId="1" applyNumberFormat="1" applyFont="1" applyFill="1" applyBorder="1" applyAlignment="1">
      <alignment horizontal="center" vertical="center"/>
    </xf>
    <xf numFmtId="0" fontId="5" fillId="3" borderId="17" xfId="0" applyNumberFormat="1" applyFont="1" applyFill="1" applyBorder="1" applyAlignment="1">
      <alignment horizontal="center" vertical="center" wrapText="1" readingOrder="1"/>
    </xf>
    <xf numFmtId="0" fontId="9" fillId="6" borderId="16" xfId="0" applyNumberFormat="1" applyFont="1" applyFill="1" applyBorder="1" applyAlignment="1">
      <alignment horizontal="center" vertical="center"/>
    </xf>
    <xf numFmtId="0" fontId="9" fillId="6" borderId="17" xfId="0" applyNumberFormat="1" applyFont="1" applyFill="1" applyBorder="1" applyAlignment="1">
      <alignment horizontal="center" vertical="center"/>
    </xf>
    <xf numFmtId="0" fontId="9" fillId="6" borderId="17" xfId="0" applyNumberFormat="1" applyFont="1" applyFill="1" applyBorder="1" applyAlignment="1">
      <alignment horizontal="center" vertical="center" wrapText="1"/>
    </xf>
    <xf numFmtId="0" fontId="15" fillId="8" borderId="30" xfId="0" applyNumberFormat="1" applyFont="1" applyFill="1" applyBorder="1" applyAlignment="1">
      <alignment horizontal="center" vertical="center"/>
    </xf>
    <xf numFmtId="0" fontId="18" fillId="7" borderId="13" xfId="0" applyNumberFormat="1" applyFont="1" applyFill="1" applyBorder="1" applyAlignment="1">
      <alignment horizontal="center" vertical="center" wrapText="1" readingOrder="1"/>
    </xf>
  </cellXfs>
  <cellStyles count="4">
    <cellStyle name="Normal_Sheet1" xfId="3"/>
    <cellStyle name="一般" xfId="0" builtinId="0"/>
    <cellStyle name="貨幣" xfId="1" builtinId="4"/>
    <cellStyle name="壞" xfId="2" builtinId="27"/>
  </cellStyles>
  <dxfs count="7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CCCCFF"/>
      <color rgb="FFCCFF33"/>
      <color rgb="FFCCE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r%20Paul%20Doc\Mr%20Paul%20Doc\Report%20salary%20leader\2021\&#35079;&#26412;%20Report%20Salary%20leader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 salary"/>
      <sheetName val="Salary"/>
      <sheetName val="Maintenance"/>
      <sheetName val="Production"/>
      <sheetName val="裁剪 Cutting"/>
      <sheetName val="主料 WH F"/>
      <sheetName val="輔料 WH T"/>
      <sheetName val="IT&amp;Packing"/>
      <sheetName val="QC"/>
      <sheetName val="廠 Leader &amp; Assi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3233</v>
          </cell>
        </row>
      </sheetData>
      <sheetData sheetId="10">
        <row r="4">
          <cell r="C4">
            <v>10</v>
          </cell>
          <cell r="D4" t="str">
            <v>ញ៉ិល</v>
          </cell>
          <cell r="E4" t="str">
            <v>ចន័្នធា</v>
          </cell>
          <cell r="F4" t="str">
            <v>ញ៉ិលចន័្នធា</v>
          </cell>
          <cell r="G4" t="str">
            <v>NHEL</v>
          </cell>
          <cell r="H4" t="str">
            <v>CHANTHEA</v>
          </cell>
          <cell r="I4" t="str">
            <v>NHELCHANTHEA</v>
          </cell>
          <cell r="J4" t="str">
            <v>ស្រី</v>
          </cell>
          <cell r="K4">
            <v>30135</v>
          </cell>
          <cell r="L4">
            <v>41575</v>
          </cell>
        </row>
        <row r="5">
          <cell r="C5">
            <v>14</v>
          </cell>
          <cell r="D5" t="str">
            <v>គឹម</v>
          </cell>
          <cell r="E5" t="str">
            <v>សារិន</v>
          </cell>
          <cell r="F5" t="str">
            <v>គឹមសារិន</v>
          </cell>
          <cell r="G5" t="str">
            <v>Koem</v>
          </cell>
          <cell r="H5" t="str">
            <v>Sarim</v>
          </cell>
          <cell r="I5" t="str">
            <v>KoemSarim</v>
          </cell>
          <cell r="J5" t="str">
            <v>ស្រី</v>
          </cell>
          <cell r="K5">
            <v>27490</v>
          </cell>
          <cell r="L5">
            <v>41573</v>
          </cell>
        </row>
        <row r="6">
          <cell r="C6">
            <v>18</v>
          </cell>
          <cell r="D6" t="str">
            <v>ស្រី</v>
          </cell>
          <cell r="E6" t="str">
            <v>ច័ន្ទថុនា</v>
          </cell>
          <cell r="F6" t="str">
            <v>ស្រីច័ន្ទថុនា</v>
          </cell>
          <cell r="G6" t="str">
            <v>Srey</v>
          </cell>
          <cell r="H6" t="str">
            <v>Chanthuna</v>
          </cell>
          <cell r="I6" t="str">
            <v>SreyChanthuna</v>
          </cell>
          <cell r="J6" t="str">
            <v>ប្រុស</v>
          </cell>
          <cell r="K6">
            <v>33771</v>
          </cell>
          <cell r="L6">
            <v>41577</v>
          </cell>
        </row>
        <row r="7">
          <cell r="C7">
            <v>24</v>
          </cell>
          <cell r="D7" t="str">
            <v>អ៊ឹម</v>
          </cell>
          <cell r="E7" t="str">
            <v>ផានី</v>
          </cell>
          <cell r="F7" t="str">
            <v>អ៊ឹមផានី</v>
          </cell>
          <cell r="G7" t="str">
            <v>Im</v>
          </cell>
          <cell r="H7" t="str">
            <v>Phany</v>
          </cell>
          <cell r="I7" t="str">
            <v>ImPhany</v>
          </cell>
          <cell r="J7" t="str">
            <v>ស្រី</v>
          </cell>
          <cell r="K7">
            <v>30165</v>
          </cell>
          <cell r="L7">
            <v>41579</v>
          </cell>
        </row>
        <row r="8">
          <cell r="C8">
            <v>30</v>
          </cell>
          <cell r="D8" t="str">
            <v>ភោក</v>
          </cell>
          <cell r="E8" t="str">
            <v>ស៊ីណា</v>
          </cell>
          <cell r="F8" t="str">
            <v>ភោកស៊ីណា</v>
          </cell>
          <cell r="G8" t="str">
            <v>Phouk</v>
          </cell>
          <cell r="H8" t="str">
            <v>Sina</v>
          </cell>
          <cell r="I8" t="str">
            <v>PhoukSina</v>
          </cell>
          <cell r="J8" t="str">
            <v>ស្រី</v>
          </cell>
          <cell r="K8">
            <v>29927</v>
          </cell>
          <cell r="L8">
            <v>41579</v>
          </cell>
        </row>
        <row r="9">
          <cell r="C9">
            <v>32</v>
          </cell>
          <cell r="D9" t="str">
            <v>ហៀ</v>
          </cell>
          <cell r="E9" t="str">
            <v>ហឿង</v>
          </cell>
          <cell r="F9" t="str">
            <v>ហៀហឿង</v>
          </cell>
          <cell r="G9" t="str">
            <v>Hear</v>
          </cell>
          <cell r="H9" t="str">
            <v>Hoeung</v>
          </cell>
          <cell r="I9" t="str">
            <v>HearHoeung</v>
          </cell>
          <cell r="J9" t="str">
            <v>ស្រី</v>
          </cell>
          <cell r="K9">
            <v>27885</v>
          </cell>
          <cell r="L9">
            <v>41579</v>
          </cell>
        </row>
        <row r="10">
          <cell r="C10">
            <v>39</v>
          </cell>
          <cell r="D10" t="str">
            <v>អ៊ឹម</v>
          </cell>
          <cell r="E10" t="str">
            <v>ស្រីល័ក្ខ</v>
          </cell>
          <cell r="F10" t="str">
            <v>អ៊ឹមស្រីល័ក្ខ</v>
          </cell>
          <cell r="G10" t="str">
            <v>Oem</v>
          </cell>
          <cell r="H10" t="str">
            <v>Srey Leak</v>
          </cell>
          <cell r="I10" t="str">
            <v>OemSrey Leak</v>
          </cell>
          <cell r="J10" t="str">
            <v>ស្រី</v>
          </cell>
          <cell r="K10">
            <v>32600</v>
          </cell>
          <cell r="L10">
            <v>41579</v>
          </cell>
        </row>
        <row r="11">
          <cell r="C11">
            <v>44</v>
          </cell>
          <cell r="D11" t="str">
            <v>ប៊ុន</v>
          </cell>
          <cell r="E11" t="str">
            <v>គឹមសែ</v>
          </cell>
          <cell r="F11" t="str">
            <v>ប៊ុនគឹមសែ</v>
          </cell>
          <cell r="G11" t="str">
            <v>Bun</v>
          </cell>
          <cell r="H11" t="str">
            <v>Kimse</v>
          </cell>
          <cell r="I11" t="str">
            <v>BunKimse</v>
          </cell>
          <cell r="J11" t="str">
            <v>ស្រី</v>
          </cell>
          <cell r="K11">
            <v>31836</v>
          </cell>
          <cell r="L11">
            <v>41579</v>
          </cell>
        </row>
        <row r="12">
          <cell r="C12">
            <v>47</v>
          </cell>
          <cell r="D12" t="str">
            <v>ឃុន</v>
          </cell>
          <cell r="E12" t="str">
            <v>សាខន</v>
          </cell>
          <cell r="F12" t="str">
            <v>ឃុនសាខន</v>
          </cell>
          <cell r="G12" t="str">
            <v>Khun</v>
          </cell>
          <cell r="H12" t="str">
            <v>Sakhân</v>
          </cell>
          <cell r="I12" t="str">
            <v>KhunSakhân</v>
          </cell>
          <cell r="J12" t="str">
            <v>ស្រី</v>
          </cell>
          <cell r="K12">
            <v>24152</v>
          </cell>
          <cell r="L12">
            <v>41583</v>
          </cell>
        </row>
        <row r="13">
          <cell r="C13">
            <v>67</v>
          </cell>
          <cell r="D13" t="str">
            <v>ហុង</v>
          </cell>
          <cell r="E13" t="str">
            <v>សេងចន្នី</v>
          </cell>
          <cell r="F13" t="str">
            <v>ហុងសេងចន្នី</v>
          </cell>
          <cell r="G13" t="str">
            <v>HONG</v>
          </cell>
          <cell r="H13" t="str">
            <v>SENG CHANNY</v>
          </cell>
          <cell r="I13" t="str">
            <v>HONGSENG CHANNY</v>
          </cell>
          <cell r="J13" t="str">
            <v>ស្រី</v>
          </cell>
          <cell r="K13">
            <v>30439</v>
          </cell>
          <cell r="L13">
            <v>41591</v>
          </cell>
        </row>
        <row r="14">
          <cell r="C14">
            <v>69</v>
          </cell>
          <cell r="D14" t="str">
            <v>ធង</v>
          </cell>
          <cell r="E14" t="str">
            <v>អួន</v>
          </cell>
          <cell r="F14" t="str">
            <v>ធងអួន</v>
          </cell>
          <cell r="G14" t="str">
            <v>THORNG</v>
          </cell>
          <cell r="H14" t="str">
            <v>UON</v>
          </cell>
          <cell r="I14" t="str">
            <v>THORNGUON</v>
          </cell>
          <cell r="J14" t="str">
            <v>ស្រី</v>
          </cell>
          <cell r="K14">
            <v>29285</v>
          </cell>
          <cell r="L14">
            <v>41591</v>
          </cell>
        </row>
        <row r="15">
          <cell r="C15">
            <v>74</v>
          </cell>
          <cell r="D15" t="str">
            <v>ពេជ</v>
          </cell>
          <cell r="E15" t="str">
            <v>សោភា</v>
          </cell>
          <cell r="F15" t="str">
            <v>ពេជសោភា</v>
          </cell>
          <cell r="G15" t="str">
            <v>Pich</v>
          </cell>
          <cell r="H15" t="str">
            <v>Sophea</v>
          </cell>
          <cell r="I15" t="str">
            <v>PichSophea</v>
          </cell>
          <cell r="J15" t="str">
            <v>ស្រី</v>
          </cell>
          <cell r="K15">
            <v>29108</v>
          </cell>
          <cell r="L15">
            <v>41598</v>
          </cell>
        </row>
        <row r="16">
          <cell r="C16">
            <v>78</v>
          </cell>
          <cell r="D16" t="str">
            <v>ម៉ូវ</v>
          </cell>
          <cell r="E16" t="str">
            <v>សុធឿន</v>
          </cell>
          <cell r="F16" t="str">
            <v>ម៉ូវសុធឿន</v>
          </cell>
          <cell r="G16" t="str">
            <v>MOUV</v>
          </cell>
          <cell r="H16" t="str">
            <v>SOTHOEUNRN</v>
          </cell>
          <cell r="I16" t="str">
            <v>MOUVSOTHOEUNRN</v>
          </cell>
          <cell r="J16" t="str">
            <v>ស្រី</v>
          </cell>
          <cell r="K16">
            <v>31630</v>
          </cell>
          <cell r="L16">
            <v>41598</v>
          </cell>
        </row>
        <row r="17">
          <cell r="C17">
            <v>81</v>
          </cell>
          <cell r="D17" t="str">
            <v>វ៉ន</v>
          </cell>
          <cell r="E17" t="str">
            <v>ភា</v>
          </cell>
          <cell r="F17" t="str">
            <v>វ៉នភា</v>
          </cell>
          <cell r="G17" t="str">
            <v>Vorn</v>
          </cell>
          <cell r="H17" t="str">
            <v>Phea</v>
          </cell>
          <cell r="I17" t="str">
            <v>VornPhea</v>
          </cell>
          <cell r="J17" t="str">
            <v>ស្រី</v>
          </cell>
          <cell r="K17">
            <v>28299</v>
          </cell>
          <cell r="L17">
            <v>41599</v>
          </cell>
        </row>
        <row r="18">
          <cell r="C18">
            <v>90</v>
          </cell>
          <cell r="D18" t="str">
            <v>ហឿង</v>
          </cell>
          <cell r="E18" t="str">
            <v>សុខឡាង</v>
          </cell>
          <cell r="F18" t="str">
            <v>ហឿងសុខឡាង</v>
          </cell>
          <cell r="G18" t="str">
            <v>HOEUNG</v>
          </cell>
          <cell r="H18" t="str">
            <v>SOK LANG</v>
          </cell>
          <cell r="I18" t="str">
            <v>HOEUNGSOK LANG</v>
          </cell>
          <cell r="J18" t="str">
            <v>ស្រី</v>
          </cell>
          <cell r="K18">
            <v>33244</v>
          </cell>
          <cell r="L18">
            <v>41598</v>
          </cell>
        </row>
        <row r="19">
          <cell r="C19">
            <v>113</v>
          </cell>
          <cell r="D19" t="str">
            <v>អៀម</v>
          </cell>
          <cell r="E19" t="str">
            <v>សារីម</v>
          </cell>
          <cell r="F19" t="str">
            <v>អៀមសារីម</v>
          </cell>
          <cell r="G19" t="str">
            <v>IEM</v>
          </cell>
          <cell r="H19" t="str">
            <v>SARIM</v>
          </cell>
          <cell r="I19" t="str">
            <v>IEMSARIM</v>
          </cell>
          <cell r="J19" t="str">
            <v>ស្រី</v>
          </cell>
          <cell r="K19">
            <v>29385</v>
          </cell>
          <cell r="L19">
            <v>41612</v>
          </cell>
        </row>
        <row r="20">
          <cell r="C20">
            <v>114</v>
          </cell>
          <cell r="D20" t="str">
            <v>ខាត់</v>
          </cell>
          <cell r="E20" t="str">
            <v>ឈុំ</v>
          </cell>
          <cell r="F20" t="str">
            <v>ខាត់ឈុំ</v>
          </cell>
          <cell r="G20" t="str">
            <v>Khat</v>
          </cell>
          <cell r="H20" t="str">
            <v>Chhum</v>
          </cell>
          <cell r="I20" t="str">
            <v>KhatChhum</v>
          </cell>
          <cell r="J20" t="str">
            <v>ស្រី</v>
          </cell>
          <cell r="K20">
            <v>30211</v>
          </cell>
          <cell r="L20">
            <v>41612</v>
          </cell>
        </row>
        <row r="21">
          <cell r="C21">
            <v>135</v>
          </cell>
          <cell r="D21" t="str">
            <v>សឿង</v>
          </cell>
          <cell r="E21" t="str">
            <v>សុភក្តិ</v>
          </cell>
          <cell r="F21" t="str">
            <v>សឿងសុភក្តិ</v>
          </cell>
          <cell r="G21" t="str">
            <v>SOEURNG</v>
          </cell>
          <cell r="H21" t="str">
            <v>SOPHEAK</v>
          </cell>
          <cell r="I21" t="str">
            <v>SOEURNGSOPHEAK</v>
          </cell>
          <cell r="J21" t="str">
            <v>ស្រី</v>
          </cell>
          <cell r="K21">
            <v>30780</v>
          </cell>
          <cell r="L21">
            <v>41619</v>
          </cell>
        </row>
        <row r="22">
          <cell r="C22">
            <v>141</v>
          </cell>
          <cell r="D22" t="str">
            <v>ពេជ្យ</v>
          </cell>
          <cell r="E22" t="str">
            <v>សាបាន</v>
          </cell>
          <cell r="F22" t="str">
            <v>ពេជ្យសាបាន</v>
          </cell>
          <cell r="G22" t="str">
            <v>PICH</v>
          </cell>
          <cell r="H22" t="str">
            <v>SAMBAN</v>
          </cell>
          <cell r="I22" t="str">
            <v>PICHSAMBAN</v>
          </cell>
          <cell r="J22" t="str">
            <v>ស្រី</v>
          </cell>
          <cell r="K22">
            <v>29235</v>
          </cell>
          <cell r="L22">
            <v>41619</v>
          </cell>
        </row>
        <row r="23">
          <cell r="C23">
            <v>146</v>
          </cell>
          <cell r="D23" t="str">
            <v>ទៀប</v>
          </cell>
          <cell r="E23" t="str">
            <v>សូនី</v>
          </cell>
          <cell r="F23" t="str">
            <v>ទៀបសូនី</v>
          </cell>
          <cell r="G23" t="str">
            <v>Teab</v>
          </cell>
          <cell r="H23" t="str">
            <v>sony</v>
          </cell>
          <cell r="I23" t="str">
            <v>Teabsony</v>
          </cell>
          <cell r="J23" t="str">
            <v>ស្រី</v>
          </cell>
          <cell r="K23">
            <v>25950</v>
          </cell>
          <cell r="L23">
            <v>41619</v>
          </cell>
        </row>
        <row r="24">
          <cell r="C24">
            <v>161</v>
          </cell>
          <cell r="D24" t="str">
            <v>សែត</v>
          </cell>
          <cell r="E24" t="str">
            <v>មឿន</v>
          </cell>
          <cell r="F24" t="str">
            <v>សែតមឿន</v>
          </cell>
          <cell r="G24" t="str">
            <v>Set</v>
          </cell>
          <cell r="H24" t="str">
            <v>moeun</v>
          </cell>
          <cell r="I24" t="str">
            <v>Setmoeun</v>
          </cell>
          <cell r="J24" t="str">
            <v>ស្រី</v>
          </cell>
          <cell r="K24">
            <v>34710</v>
          </cell>
          <cell r="L24">
            <v>41674</v>
          </cell>
        </row>
        <row r="25">
          <cell r="C25">
            <v>163</v>
          </cell>
          <cell r="D25" t="str">
            <v>ខៀវ</v>
          </cell>
          <cell r="E25" t="str">
            <v>ចាន់នួន</v>
          </cell>
          <cell r="F25" t="str">
            <v>ខៀវចាន់នួន</v>
          </cell>
          <cell r="G25" t="str">
            <v>keav</v>
          </cell>
          <cell r="H25" t="str">
            <v>channoun</v>
          </cell>
          <cell r="I25" t="str">
            <v>keavchannoun</v>
          </cell>
          <cell r="J25" t="str">
            <v>ស្រី</v>
          </cell>
          <cell r="K25">
            <v>30297</v>
          </cell>
          <cell r="L25">
            <v>41676</v>
          </cell>
        </row>
        <row r="26">
          <cell r="C26">
            <v>171</v>
          </cell>
          <cell r="D26" t="str">
            <v>សោម</v>
          </cell>
          <cell r="E26" t="str">
            <v>ចន្ធី</v>
          </cell>
          <cell r="F26" t="str">
            <v>សោមចន្ធី</v>
          </cell>
          <cell r="G26" t="str">
            <v>Som</v>
          </cell>
          <cell r="H26" t="str">
            <v>Chanthy</v>
          </cell>
          <cell r="I26" t="str">
            <v>SomChanthy</v>
          </cell>
          <cell r="J26" t="str">
            <v>ស្រី</v>
          </cell>
          <cell r="K26">
            <v>32617</v>
          </cell>
          <cell r="L26">
            <v>41680</v>
          </cell>
        </row>
        <row r="27">
          <cell r="C27">
            <v>176</v>
          </cell>
          <cell r="D27" t="str">
            <v>ឃុំ</v>
          </cell>
          <cell r="E27" t="str">
            <v>ផល្លី</v>
          </cell>
          <cell r="F27" t="str">
            <v>ឃុំផល្លី</v>
          </cell>
          <cell r="G27" t="str">
            <v>khom</v>
          </cell>
          <cell r="H27" t="str">
            <v>pholy</v>
          </cell>
          <cell r="I27" t="str">
            <v>khompholy</v>
          </cell>
          <cell r="J27" t="str">
            <v>ស្រី</v>
          </cell>
          <cell r="K27">
            <v>29575</v>
          </cell>
          <cell r="L27">
            <v>41683</v>
          </cell>
        </row>
        <row r="28">
          <cell r="C28">
            <v>224</v>
          </cell>
          <cell r="D28" t="str">
            <v>ជឿន</v>
          </cell>
          <cell r="E28" t="str">
            <v>រឿម</v>
          </cell>
          <cell r="F28" t="str">
            <v>ជឿនរឿម</v>
          </cell>
          <cell r="G28" t="str">
            <v>Choeun</v>
          </cell>
          <cell r="H28" t="str">
            <v>Roeum</v>
          </cell>
          <cell r="I28" t="str">
            <v>ChoeunRoeum</v>
          </cell>
          <cell r="J28" t="str">
            <v>ស្រី</v>
          </cell>
          <cell r="K28">
            <v>28491</v>
          </cell>
          <cell r="L28">
            <v>41702</v>
          </cell>
        </row>
        <row r="29">
          <cell r="C29">
            <v>226</v>
          </cell>
          <cell r="D29" t="str">
            <v>រស់</v>
          </cell>
          <cell r="E29" t="str">
            <v>ផល្លី</v>
          </cell>
          <cell r="F29" t="str">
            <v>រស់ផល្លី</v>
          </cell>
          <cell r="G29" t="str">
            <v>Ros</v>
          </cell>
          <cell r="H29" t="str">
            <v>Poly</v>
          </cell>
          <cell r="I29" t="str">
            <v>RosPoly</v>
          </cell>
          <cell r="J29" t="str">
            <v>ស្រី</v>
          </cell>
          <cell r="K29">
            <v>30275</v>
          </cell>
          <cell r="L29">
            <v>41702</v>
          </cell>
        </row>
        <row r="30">
          <cell r="C30">
            <v>271</v>
          </cell>
          <cell r="D30" t="str">
            <v>វុន</v>
          </cell>
          <cell r="E30" t="str">
            <v>តាំង</v>
          </cell>
          <cell r="F30" t="str">
            <v>វុនតាំង</v>
          </cell>
          <cell r="G30" t="str">
            <v>VUN</v>
          </cell>
          <cell r="H30" t="str">
            <v>TAING</v>
          </cell>
          <cell r="I30" t="str">
            <v>VUNTAING</v>
          </cell>
          <cell r="J30" t="str">
            <v>ស្រី</v>
          </cell>
          <cell r="K30">
            <v>29064</v>
          </cell>
          <cell r="L30">
            <v>41730</v>
          </cell>
        </row>
        <row r="31">
          <cell r="C31">
            <v>283</v>
          </cell>
          <cell r="D31" t="str">
            <v>កែវ</v>
          </cell>
          <cell r="E31" t="str">
            <v>ពុទ្ធា</v>
          </cell>
          <cell r="F31" t="str">
            <v>កែវពុទ្ធា</v>
          </cell>
          <cell r="G31" t="str">
            <v>KEO</v>
          </cell>
          <cell r="H31" t="str">
            <v>PUTHEA</v>
          </cell>
          <cell r="I31" t="str">
            <v>KEOPUTHEA</v>
          </cell>
          <cell r="J31" t="str">
            <v>ស្រី</v>
          </cell>
          <cell r="K31">
            <v>34151</v>
          </cell>
          <cell r="L31">
            <v>41750</v>
          </cell>
        </row>
        <row r="32">
          <cell r="C32">
            <v>286</v>
          </cell>
          <cell r="D32" t="str">
            <v>ម៉ិល</v>
          </cell>
          <cell r="E32" t="str">
            <v>វី</v>
          </cell>
          <cell r="F32" t="str">
            <v>ម៉ិលវី</v>
          </cell>
          <cell r="G32" t="str">
            <v>MIL</v>
          </cell>
          <cell r="H32" t="str">
            <v>VY</v>
          </cell>
          <cell r="I32" t="str">
            <v>MILVY</v>
          </cell>
          <cell r="J32" t="str">
            <v>ស្រី</v>
          </cell>
          <cell r="K32">
            <v>26674</v>
          </cell>
          <cell r="L32">
            <v>41751</v>
          </cell>
        </row>
        <row r="33">
          <cell r="C33">
            <v>312</v>
          </cell>
          <cell r="D33" t="str">
            <v>នាក់</v>
          </cell>
          <cell r="E33" t="str">
            <v>នួន</v>
          </cell>
          <cell r="F33" t="str">
            <v>នាក់នួន</v>
          </cell>
          <cell r="G33" t="str">
            <v>NAK</v>
          </cell>
          <cell r="H33" t="str">
            <v>NGUON</v>
          </cell>
          <cell r="I33" t="str">
            <v>NAKNGUON</v>
          </cell>
          <cell r="J33" t="str">
            <v>ស្រី</v>
          </cell>
          <cell r="K33">
            <v>30906</v>
          </cell>
          <cell r="L33">
            <v>41754</v>
          </cell>
        </row>
        <row r="34">
          <cell r="C34">
            <v>316</v>
          </cell>
          <cell r="D34" t="str">
            <v>រិន</v>
          </cell>
          <cell r="E34" t="str">
            <v>ចាន់ថា</v>
          </cell>
          <cell r="F34" t="str">
            <v>រិនចាន់ថា</v>
          </cell>
          <cell r="G34" t="str">
            <v>RIN</v>
          </cell>
          <cell r="H34" t="str">
            <v>CHANTHA</v>
          </cell>
          <cell r="I34" t="str">
            <v>RINCHANTHA</v>
          </cell>
          <cell r="J34" t="str">
            <v>ស្រី</v>
          </cell>
          <cell r="K34">
            <v>34981</v>
          </cell>
          <cell r="L34">
            <v>41755</v>
          </cell>
        </row>
        <row r="35">
          <cell r="C35">
            <v>326</v>
          </cell>
          <cell r="D35" t="str">
            <v>ផង់</v>
          </cell>
          <cell r="E35" t="str">
            <v>ហៃ</v>
          </cell>
          <cell r="F35" t="str">
            <v>ផង់ហៃ</v>
          </cell>
          <cell r="G35" t="str">
            <v>PHANG</v>
          </cell>
          <cell r="H35" t="str">
            <v>HEY</v>
          </cell>
          <cell r="I35" t="str">
            <v>PHANGHEY</v>
          </cell>
          <cell r="J35" t="str">
            <v>ស្រី</v>
          </cell>
          <cell r="K35">
            <v>30929</v>
          </cell>
          <cell r="L35">
            <v>41762</v>
          </cell>
        </row>
        <row r="36">
          <cell r="C36">
            <v>355</v>
          </cell>
          <cell r="D36" t="str">
            <v>ហង្ស</v>
          </cell>
          <cell r="E36" t="str">
            <v>ភារុន</v>
          </cell>
          <cell r="F36" t="str">
            <v>ហង្សភារុន</v>
          </cell>
          <cell r="G36" t="str">
            <v>HONG</v>
          </cell>
          <cell r="H36" t="str">
            <v>SARUN</v>
          </cell>
          <cell r="I36" t="str">
            <v>HONGSARUN</v>
          </cell>
          <cell r="J36" t="str">
            <v>ស្រី</v>
          </cell>
          <cell r="K36">
            <v>29707</v>
          </cell>
          <cell r="L36">
            <v>41765</v>
          </cell>
        </row>
        <row r="37">
          <cell r="C37">
            <v>335</v>
          </cell>
          <cell r="D37" t="str">
            <v>ផល</v>
          </cell>
          <cell r="E37" t="str">
            <v>សុខា</v>
          </cell>
          <cell r="F37" t="str">
            <v>ផលសុខា</v>
          </cell>
          <cell r="G37" t="str">
            <v>POL</v>
          </cell>
          <cell r="H37" t="str">
            <v>SOKHA</v>
          </cell>
          <cell r="I37" t="str">
            <v>POLSOKHA</v>
          </cell>
          <cell r="J37" t="str">
            <v>ស្រី</v>
          </cell>
          <cell r="K37">
            <v>29999</v>
          </cell>
          <cell r="L37">
            <v>41765</v>
          </cell>
        </row>
        <row r="38">
          <cell r="C38">
            <v>351</v>
          </cell>
          <cell r="D38" t="str">
            <v>និត</v>
          </cell>
          <cell r="E38" t="str">
            <v>ស្រីនាង</v>
          </cell>
          <cell r="F38" t="str">
            <v>និតស្រីនាង</v>
          </cell>
          <cell r="G38" t="str">
            <v>NIT</v>
          </cell>
          <cell r="H38" t="str">
            <v>SREYNEANG</v>
          </cell>
          <cell r="I38" t="str">
            <v>NITSREYNEANG</v>
          </cell>
          <cell r="J38" t="str">
            <v>ស្រី</v>
          </cell>
          <cell r="K38">
            <v>32567</v>
          </cell>
          <cell r="L38">
            <v>41766</v>
          </cell>
        </row>
        <row r="39">
          <cell r="C39">
            <v>372</v>
          </cell>
          <cell r="D39" t="str">
            <v>លី</v>
          </cell>
          <cell r="E39" t="str">
            <v>ប៊ុនរិទ្ធ</v>
          </cell>
          <cell r="F39" t="str">
            <v>លីប៊ុនរិទ្ធ</v>
          </cell>
          <cell r="G39" t="str">
            <v>LY</v>
          </cell>
          <cell r="H39" t="str">
            <v>BONRETH</v>
          </cell>
          <cell r="I39" t="str">
            <v>LYBONRETH</v>
          </cell>
          <cell r="J39" t="str">
            <v>ប្រុស</v>
          </cell>
          <cell r="K39">
            <v>30348</v>
          </cell>
          <cell r="L39">
            <v>41765</v>
          </cell>
        </row>
        <row r="40">
          <cell r="C40">
            <v>333</v>
          </cell>
          <cell r="D40" t="str">
            <v>ផាន់</v>
          </cell>
          <cell r="E40" t="str">
            <v>ផេន</v>
          </cell>
          <cell r="F40" t="str">
            <v>ផាន់ផេន</v>
          </cell>
          <cell r="G40" t="str">
            <v>PHAN</v>
          </cell>
          <cell r="H40" t="str">
            <v>PHEN</v>
          </cell>
          <cell r="I40" t="str">
            <v>PHANPHEN</v>
          </cell>
          <cell r="J40" t="str">
            <v>ស្រី</v>
          </cell>
          <cell r="K40">
            <v>28524</v>
          </cell>
          <cell r="L40">
            <v>41765</v>
          </cell>
        </row>
        <row r="41">
          <cell r="C41">
            <v>385</v>
          </cell>
          <cell r="D41" t="str">
            <v>ដេង</v>
          </cell>
          <cell r="E41" t="str">
            <v>តេង</v>
          </cell>
          <cell r="F41" t="str">
            <v>ដេងតេង</v>
          </cell>
          <cell r="G41" t="str">
            <v>DANG</v>
          </cell>
          <cell r="H41" t="str">
            <v>TANG</v>
          </cell>
          <cell r="I41" t="str">
            <v>DANGTANG</v>
          </cell>
          <cell r="J41" t="str">
            <v>ប្រុស</v>
          </cell>
          <cell r="K41">
            <v>33217</v>
          </cell>
          <cell r="L41">
            <v>41782</v>
          </cell>
        </row>
        <row r="42">
          <cell r="C42">
            <v>404</v>
          </cell>
          <cell r="D42" t="str">
            <v>គង់</v>
          </cell>
          <cell r="E42" t="str">
            <v>ស្រស់</v>
          </cell>
          <cell r="F42" t="str">
            <v>គង់ស្រស់</v>
          </cell>
          <cell r="G42" t="str">
            <v>KONG</v>
          </cell>
          <cell r="H42" t="str">
            <v>SROS</v>
          </cell>
          <cell r="I42" t="str">
            <v>KONGSROS</v>
          </cell>
          <cell r="J42" t="str">
            <v>ស្រី</v>
          </cell>
          <cell r="K42">
            <v>34116</v>
          </cell>
          <cell r="L42">
            <v>41793</v>
          </cell>
        </row>
        <row r="43">
          <cell r="C43">
            <v>405</v>
          </cell>
          <cell r="D43" t="str">
            <v>គង់</v>
          </cell>
          <cell r="E43" t="str">
            <v>ស្រីនី</v>
          </cell>
          <cell r="F43" t="str">
            <v>គង់ស្រីនី</v>
          </cell>
          <cell r="G43" t="str">
            <v>KONG</v>
          </cell>
          <cell r="H43" t="str">
            <v>SREYNY</v>
          </cell>
          <cell r="I43" t="str">
            <v>KONGSREYNY</v>
          </cell>
          <cell r="J43" t="str">
            <v>ស្រី</v>
          </cell>
          <cell r="K43">
            <v>33258</v>
          </cell>
          <cell r="L43">
            <v>41793</v>
          </cell>
        </row>
        <row r="44">
          <cell r="C44">
            <v>468</v>
          </cell>
          <cell r="D44" t="str">
            <v>វ៉ែន</v>
          </cell>
          <cell r="E44" t="str">
            <v>ផាន</v>
          </cell>
          <cell r="F44" t="str">
            <v>វ៉ែនផាន</v>
          </cell>
          <cell r="G44" t="str">
            <v>VEN</v>
          </cell>
          <cell r="H44" t="str">
            <v>PHAN</v>
          </cell>
          <cell r="I44" t="str">
            <v>VENPHAN</v>
          </cell>
          <cell r="J44" t="str">
            <v>ស្រី</v>
          </cell>
          <cell r="K44">
            <v>30138</v>
          </cell>
          <cell r="L44">
            <v>41817</v>
          </cell>
        </row>
        <row r="45">
          <cell r="C45">
            <v>574</v>
          </cell>
          <cell r="D45" t="str">
            <v>គ្រី</v>
          </cell>
          <cell r="E45" t="str">
            <v>ណាវី</v>
          </cell>
          <cell r="F45" t="str">
            <v>គ្រីណាវី</v>
          </cell>
          <cell r="G45" t="str">
            <v>KRY</v>
          </cell>
          <cell r="H45" t="str">
            <v>NAVY</v>
          </cell>
          <cell r="I45" t="str">
            <v>KRYNAVY</v>
          </cell>
          <cell r="J45" t="str">
            <v>ស្រី</v>
          </cell>
          <cell r="K45">
            <v>34034</v>
          </cell>
          <cell r="L45">
            <v>41835</v>
          </cell>
        </row>
        <row r="46">
          <cell r="C46">
            <v>548</v>
          </cell>
          <cell r="D46" t="str">
            <v>ប៊ិញ</v>
          </cell>
          <cell r="E46" t="str">
            <v>លូត</v>
          </cell>
          <cell r="F46" t="str">
            <v>ប៊ិញលូត</v>
          </cell>
          <cell r="G46" t="str">
            <v>BICH</v>
          </cell>
          <cell r="H46" t="str">
            <v>LOT</v>
          </cell>
          <cell r="I46" t="str">
            <v>BICHLOT</v>
          </cell>
          <cell r="J46" t="str">
            <v>ស្រី</v>
          </cell>
          <cell r="K46">
            <v>29348</v>
          </cell>
          <cell r="L46">
            <v>41828</v>
          </cell>
        </row>
        <row r="47">
          <cell r="C47">
            <v>521</v>
          </cell>
          <cell r="D47" t="str">
            <v>ភា</v>
          </cell>
          <cell r="E47" t="str">
            <v>ទន</v>
          </cell>
          <cell r="F47" t="str">
            <v>ភាទន</v>
          </cell>
          <cell r="G47" t="str">
            <v>PHEA</v>
          </cell>
          <cell r="H47" t="str">
            <v>THHON</v>
          </cell>
          <cell r="I47" t="str">
            <v>PHEATHHON</v>
          </cell>
          <cell r="J47" t="str">
            <v>ស្រី</v>
          </cell>
          <cell r="K47">
            <v>33817</v>
          </cell>
          <cell r="L47">
            <v>41825</v>
          </cell>
        </row>
        <row r="48">
          <cell r="C48">
            <v>572</v>
          </cell>
          <cell r="D48" t="str">
            <v>លី</v>
          </cell>
          <cell r="E48" t="str">
            <v>ឈួន</v>
          </cell>
          <cell r="F48" t="str">
            <v>លីឈួន</v>
          </cell>
          <cell r="G48" t="str">
            <v>LY</v>
          </cell>
          <cell r="H48" t="str">
            <v>CHHOUN</v>
          </cell>
          <cell r="I48" t="str">
            <v>LYCHHOUN</v>
          </cell>
          <cell r="J48" t="str">
            <v>ស្រី</v>
          </cell>
          <cell r="K48">
            <v>32436</v>
          </cell>
          <cell r="L48">
            <v>41835</v>
          </cell>
        </row>
        <row r="49">
          <cell r="C49">
            <v>546</v>
          </cell>
          <cell r="D49" t="str">
            <v>សោម</v>
          </cell>
          <cell r="E49" t="str">
            <v>ធិនា</v>
          </cell>
          <cell r="F49" t="str">
            <v>សោមធិនា</v>
          </cell>
          <cell r="G49" t="str">
            <v>SORM</v>
          </cell>
          <cell r="H49" t="str">
            <v>THINEA</v>
          </cell>
          <cell r="I49" t="str">
            <v>SORMTHINEA</v>
          </cell>
          <cell r="J49" t="str">
            <v>ស្រី</v>
          </cell>
          <cell r="K49">
            <v>34274</v>
          </cell>
          <cell r="L49">
            <v>41828</v>
          </cell>
        </row>
        <row r="50">
          <cell r="C50">
            <v>609</v>
          </cell>
          <cell r="D50" t="str">
            <v>ខែក</v>
          </cell>
          <cell r="E50" t="str">
            <v>ក្អួក</v>
          </cell>
          <cell r="F50" t="str">
            <v>ខែកក្អួក</v>
          </cell>
          <cell r="G50" t="str">
            <v xml:space="preserve">KHEK </v>
          </cell>
          <cell r="H50" t="str">
            <v>KA UOK</v>
          </cell>
          <cell r="I50" t="str">
            <v>KHEK KA UOK</v>
          </cell>
          <cell r="J50" t="str">
            <v>ស្រី</v>
          </cell>
          <cell r="K50">
            <v>31416</v>
          </cell>
          <cell r="L50">
            <v>41838</v>
          </cell>
        </row>
        <row r="51">
          <cell r="C51">
            <v>603</v>
          </cell>
          <cell r="D51" t="str">
            <v xml:space="preserve">ខេង </v>
          </cell>
          <cell r="E51" t="str">
            <v>មួយគៀង</v>
          </cell>
          <cell r="F51" t="str">
            <v>ខេង មួយគៀង</v>
          </cell>
          <cell r="G51" t="str">
            <v>KHENG</v>
          </cell>
          <cell r="H51" t="str">
            <v>MOUY KEAN</v>
          </cell>
          <cell r="I51" t="str">
            <v>KHENGMOUY KEAN</v>
          </cell>
          <cell r="J51" t="str">
            <v>ស្រី</v>
          </cell>
          <cell r="K51">
            <v>35349</v>
          </cell>
          <cell r="L51">
            <v>41837</v>
          </cell>
        </row>
        <row r="52">
          <cell r="C52">
            <v>542</v>
          </cell>
          <cell r="D52" t="str">
            <v>សេង</v>
          </cell>
          <cell r="E52" t="str">
            <v>ប៊ុនថា</v>
          </cell>
          <cell r="F52" t="str">
            <v>សេងប៊ុនថា</v>
          </cell>
          <cell r="G52" t="str">
            <v>SANG</v>
          </cell>
          <cell r="H52" t="str">
            <v>BUNTHA</v>
          </cell>
          <cell r="I52" t="str">
            <v>SANGBUNTHA</v>
          </cell>
          <cell r="J52" t="str">
            <v>ស្រី</v>
          </cell>
          <cell r="K52">
            <v>29164</v>
          </cell>
          <cell r="L52">
            <v>41828</v>
          </cell>
        </row>
        <row r="53">
          <cell r="C53">
            <v>488</v>
          </cell>
          <cell r="D53" t="str">
            <v>ប៉ែត</v>
          </cell>
          <cell r="E53" t="str">
            <v>គឹមស្រស់</v>
          </cell>
          <cell r="F53" t="str">
            <v>ប៉ែតគឹមស្រស់</v>
          </cell>
          <cell r="G53" t="str">
            <v>PHET</v>
          </cell>
          <cell r="H53" t="str">
            <v>KIMSROS</v>
          </cell>
          <cell r="I53" t="str">
            <v>PHETKIMSROS</v>
          </cell>
          <cell r="J53" t="str">
            <v>ស្រី</v>
          </cell>
          <cell r="K53">
            <v>33480</v>
          </cell>
          <cell r="L53">
            <v>41822</v>
          </cell>
        </row>
        <row r="54">
          <cell r="C54">
            <v>620</v>
          </cell>
          <cell r="D54" t="str">
            <v>សោម</v>
          </cell>
          <cell r="E54" t="str">
            <v>ធីណាច</v>
          </cell>
          <cell r="F54" t="str">
            <v>សោមធីណាច</v>
          </cell>
          <cell r="G54" t="str">
            <v>SORM</v>
          </cell>
          <cell r="H54" t="str">
            <v>THYNACH</v>
          </cell>
          <cell r="I54" t="str">
            <v>SORMTHYNACH</v>
          </cell>
          <cell r="J54" t="str">
            <v>ស្រី</v>
          </cell>
          <cell r="K54">
            <v>35498</v>
          </cell>
          <cell r="L54">
            <v>41839</v>
          </cell>
        </row>
        <row r="55">
          <cell r="C55">
            <v>588</v>
          </cell>
          <cell r="D55" t="str">
            <v>ហេង</v>
          </cell>
          <cell r="E55" t="str">
            <v>ឡៃស៊ា</v>
          </cell>
          <cell r="F55" t="str">
            <v>ហេងឡៃស៊ា</v>
          </cell>
          <cell r="G55" t="str">
            <v>HANG</v>
          </cell>
          <cell r="H55" t="str">
            <v>LEASEANG</v>
          </cell>
          <cell r="I55" t="str">
            <v>HANGLEASEANG</v>
          </cell>
          <cell r="J55" t="str">
            <v>ស្រី</v>
          </cell>
          <cell r="K55">
            <v>32453</v>
          </cell>
          <cell r="L55">
            <v>41836</v>
          </cell>
        </row>
        <row r="56">
          <cell r="C56">
            <v>634</v>
          </cell>
          <cell r="D56" t="str">
            <v>ភោគ</v>
          </cell>
          <cell r="E56" t="str">
            <v>ចាន់រដ្ឋធានី</v>
          </cell>
          <cell r="F56" t="str">
            <v>ភោគចាន់រដ្ឋធានី</v>
          </cell>
          <cell r="G56" t="str">
            <v>PHOUK</v>
          </cell>
          <cell r="H56" t="str">
            <v>CHANROTHEANY</v>
          </cell>
          <cell r="I56" t="str">
            <v>PHOUKCHANROTHEANY</v>
          </cell>
          <cell r="J56" t="str">
            <v>ស្រី</v>
          </cell>
          <cell r="K56">
            <v>29833</v>
          </cell>
          <cell r="L56">
            <v>41862</v>
          </cell>
        </row>
        <row r="57">
          <cell r="C57">
            <v>658</v>
          </cell>
          <cell r="D57" t="str">
            <v>ទុយ</v>
          </cell>
          <cell r="E57" t="str">
            <v>ស្រីម៉ៅ</v>
          </cell>
          <cell r="F57" t="str">
            <v>ទុយស្រីម៉ៅ</v>
          </cell>
          <cell r="G57" t="str">
            <v>TUY</v>
          </cell>
          <cell r="H57" t="str">
            <v>SREYMAO</v>
          </cell>
          <cell r="I57" t="str">
            <v>TUYSREYMAO</v>
          </cell>
          <cell r="J57" t="str">
            <v>ស្រី</v>
          </cell>
          <cell r="K57">
            <v>30713</v>
          </cell>
          <cell r="L57">
            <v>41873</v>
          </cell>
        </row>
        <row r="58">
          <cell r="C58">
            <v>649</v>
          </cell>
          <cell r="D58" t="str">
            <v>គឹម</v>
          </cell>
          <cell r="E58" t="str">
            <v>ចាន់ដា</v>
          </cell>
          <cell r="F58" t="str">
            <v>គឹមចាន់ដា</v>
          </cell>
          <cell r="G58" t="str">
            <v>KIM</v>
          </cell>
          <cell r="H58" t="str">
            <v>CHANDA</v>
          </cell>
          <cell r="I58" t="str">
            <v>KIMCHANDA</v>
          </cell>
          <cell r="J58" t="str">
            <v>ស្រី</v>
          </cell>
          <cell r="K58">
            <v>31022</v>
          </cell>
          <cell r="L58">
            <v>41870</v>
          </cell>
        </row>
        <row r="59">
          <cell r="C59">
            <v>648</v>
          </cell>
          <cell r="D59" t="str">
            <v>ម៉េង</v>
          </cell>
          <cell r="E59" t="str">
            <v>រដ្ឋា</v>
          </cell>
          <cell r="F59" t="str">
            <v>ម៉េងរដ្ឋា</v>
          </cell>
          <cell r="G59" t="str">
            <v>MENG</v>
          </cell>
          <cell r="H59" t="str">
            <v>RATHA</v>
          </cell>
          <cell r="I59" t="str">
            <v>MENGRATHA</v>
          </cell>
          <cell r="J59" t="str">
            <v>ប្រុស</v>
          </cell>
          <cell r="K59">
            <v>34481</v>
          </cell>
          <cell r="L59">
            <v>41869</v>
          </cell>
        </row>
        <row r="60">
          <cell r="C60">
            <v>657</v>
          </cell>
          <cell r="D60" t="str">
            <v>លន</v>
          </cell>
          <cell r="E60" t="str">
            <v>ស្រីលីន</v>
          </cell>
          <cell r="F60" t="str">
            <v>លនស្រីលីន</v>
          </cell>
          <cell r="G60" t="str">
            <v>LOAN</v>
          </cell>
          <cell r="H60" t="str">
            <v>SREYLIN</v>
          </cell>
          <cell r="I60" t="str">
            <v>LOANSREYLIN</v>
          </cell>
          <cell r="J60" t="str">
            <v>ស្រី</v>
          </cell>
          <cell r="K60">
            <v>35139</v>
          </cell>
          <cell r="L60">
            <v>41872</v>
          </cell>
        </row>
        <row r="61">
          <cell r="C61">
            <v>663</v>
          </cell>
          <cell r="D61" t="str">
            <v>ឈិន</v>
          </cell>
          <cell r="E61" t="str">
            <v>ដាវី</v>
          </cell>
          <cell r="F61" t="str">
            <v>ឈិនដាវី</v>
          </cell>
          <cell r="G61" t="str">
            <v>CHIN</v>
          </cell>
          <cell r="H61" t="str">
            <v>DAVY</v>
          </cell>
          <cell r="I61" t="str">
            <v>CHINDAVY</v>
          </cell>
          <cell r="J61" t="str">
            <v>ស្រី</v>
          </cell>
          <cell r="K61">
            <v>30601</v>
          </cell>
          <cell r="L61">
            <v>41884</v>
          </cell>
        </row>
        <row r="62">
          <cell r="C62">
            <v>674</v>
          </cell>
          <cell r="D62" t="str">
            <v>សឿន</v>
          </cell>
          <cell r="E62" t="str">
            <v>សុខនី</v>
          </cell>
          <cell r="F62" t="str">
            <v>សឿនសុខនី</v>
          </cell>
          <cell r="G62" t="str">
            <v>SOEUN</v>
          </cell>
          <cell r="H62" t="str">
            <v>SOKNY</v>
          </cell>
          <cell r="I62" t="str">
            <v>SOEUNSOKNY</v>
          </cell>
          <cell r="J62" t="str">
            <v>ស្រី</v>
          </cell>
          <cell r="K62">
            <v>30691</v>
          </cell>
          <cell r="L62">
            <v>41887</v>
          </cell>
        </row>
        <row r="63">
          <cell r="C63">
            <v>677</v>
          </cell>
          <cell r="D63" t="str">
            <v>សើន</v>
          </cell>
          <cell r="E63" t="str">
            <v>នាង</v>
          </cell>
          <cell r="F63" t="str">
            <v>សើននាង</v>
          </cell>
          <cell r="G63" t="str">
            <v>SEUN</v>
          </cell>
          <cell r="H63" t="str">
            <v>NEANG</v>
          </cell>
          <cell r="I63" t="str">
            <v>SEUNNEANG</v>
          </cell>
          <cell r="J63" t="str">
            <v>ស្រី</v>
          </cell>
          <cell r="K63">
            <v>30252</v>
          </cell>
          <cell r="L63">
            <v>41890</v>
          </cell>
        </row>
        <row r="64">
          <cell r="C64">
            <v>689</v>
          </cell>
          <cell r="D64" t="str">
            <v>ទឹម</v>
          </cell>
          <cell r="E64" t="str">
            <v>ស្រីរ៉ា</v>
          </cell>
          <cell r="F64" t="str">
            <v>ទឹមស្រីរ៉ា</v>
          </cell>
          <cell r="G64" t="str">
            <v>TEUM</v>
          </cell>
          <cell r="H64" t="str">
            <v>SREY RA</v>
          </cell>
          <cell r="I64" t="str">
            <v>TEUMSREY RA</v>
          </cell>
          <cell r="J64" t="str">
            <v>ស្រី</v>
          </cell>
          <cell r="K64">
            <v>31468</v>
          </cell>
          <cell r="L64">
            <v>41915</v>
          </cell>
        </row>
        <row r="65">
          <cell r="C65">
            <v>697</v>
          </cell>
          <cell r="D65" t="str">
            <v>ខេន</v>
          </cell>
          <cell r="E65" t="str">
            <v>ភា</v>
          </cell>
          <cell r="F65" t="str">
            <v>ខេនភា</v>
          </cell>
          <cell r="G65" t="str">
            <v>KHEN</v>
          </cell>
          <cell r="H65" t="str">
            <v>PHEA</v>
          </cell>
          <cell r="I65" t="str">
            <v>KHENPHEA</v>
          </cell>
          <cell r="J65" t="str">
            <v>ស្រី</v>
          </cell>
          <cell r="K65">
            <v>29228</v>
          </cell>
          <cell r="L65">
            <v>41920</v>
          </cell>
        </row>
        <row r="66">
          <cell r="C66">
            <v>742</v>
          </cell>
          <cell r="D66" t="str">
            <v>ភោគ</v>
          </cell>
          <cell r="E66" t="str">
            <v>អ៊ុយ</v>
          </cell>
          <cell r="F66" t="str">
            <v>ភោគអ៊ុយ</v>
          </cell>
          <cell r="G66" t="str">
            <v>PHUK</v>
          </cell>
          <cell r="H66" t="str">
            <v>UY</v>
          </cell>
          <cell r="I66" t="str">
            <v>PHUKUY</v>
          </cell>
          <cell r="J66" t="str">
            <v>ស្រី</v>
          </cell>
          <cell r="K66">
            <v>28331</v>
          </cell>
          <cell r="L66">
            <v>41964</v>
          </cell>
        </row>
        <row r="67">
          <cell r="C67">
            <v>747</v>
          </cell>
          <cell r="D67" t="str">
            <v>ឆង</v>
          </cell>
          <cell r="E67" t="str">
            <v>តយ</v>
          </cell>
          <cell r="F67" t="str">
            <v>ឆងតយ</v>
          </cell>
          <cell r="G67" t="str">
            <v>THORNG</v>
          </cell>
          <cell r="H67" t="str">
            <v>TAY</v>
          </cell>
          <cell r="I67" t="str">
            <v>THORNGTAY</v>
          </cell>
          <cell r="J67" t="str">
            <v>ស្រី</v>
          </cell>
          <cell r="K67">
            <v>30656</v>
          </cell>
          <cell r="L67">
            <v>41970</v>
          </cell>
        </row>
        <row r="68">
          <cell r="C68">
            <v>748</v>
          </cell>
          <cell r="D68" t="str">
            <v>ហៃ</v>
          </cell>
          <cell r="E68" t="str">
            <v>ម៉ាលី</v>
          </cell>
          <cell r="F68" t="str">
            <v>ហៃម៉ាលី</v>
          </cell>
          <cell r="G68" t="str">
            <v>HEY</v>
          </cell>
          <cell r="H68" t="str">
            <v>MALY</v>
          </cell>
          <cell r="I68" t="str">
            <v>HEYMALY</v>
          </cell>
          <cell r="J68" t="str">
            <v>ស្រី</v>
          </cell>
          <cell r="K68">
            <v>29710</v>
          </cell>
          <cell r="L68">
            <v>41970</v>
          </cell>
        </row>
        <row r="69">
          <cell r="C69">
            <v>755</v>
          </cell>
          <cell r="D69" t="str">
            <v>បន</v>
          </cell>
          <cell r="E69" t="str">
            <v>ស្រីម៉ៅ</v>
          </cell>
          <cell r="F69" t="str">
            <v>បនស្រីម៉ៅ</v>
          </cell>
          <cell r="G69" t="str">
            <v>BORN</v>
          </cell>
          <cell r="H69" t="str">
            <v>SREY MAO</v>
          </cell>
          <cell r="I69" t="str">
            <v>BORNSREY MAO</v>
          </cell>
          <cell r="J69" t="str">
            <v>ស្រី</v>
          </cell>
          <cell r="K69">
            <v>30942</v>
          </cell>
          <cell r="L69">
            <v>41970</v>
          </cell>
        </row>
        <row r="70">
          <cell r="C70">
            <v>485</v>
          </cell>
          <cell r="D70" t="str">
            <v>ឈិន</v>
          </cell>
          <cell r="E70" t="str">
            <v>ស្រីធី</v>
          </cell>
          <cell r="F70" t="str">
            <v>ឈិនស្រីធី</v>
          </cell>
          <cell r="G70" t="str">
            <v>CHIN</v>
          </cell>
          <cell r="H70" t="str">
            <v>SREYTHY</v>
          </cell>
          <cell r="I70" t="str">
            <v>CHINSREYTHY</v>
          </cell>
          <cell r="J70" t="str">
            <v>ស្រី</v>
          </cell>
          <cell r="K70">
            <v>32876</v>
          </cell>
          <cell r="L70">
            <v>41822</v>
          </cell>
        </row>
        <row r="71">
          <cell r="C71">
            <v>762</v>
          </cell>
          <cell r="D71" t="str">
            <v>ម៉ី</v>
          </cell>
          <cell r="E71" t="str">
            <v>លក្ខិណា</v>
          </cell>
          <cell r="F71" t="str">
            <v>ម៉ីលក្ខិណា</v>
          </cell>
          <cell r="G71" t="str">
            <v>MEY</v>
          </cell>
          <cell r="H71" t="str">
            <v>LEAKHENA</v>
          </cell>
          <cell r="I71" t="str">
            <v>MEYLEAKHENA</v>
          </cell>
          <cell r="J71" t="str">
            <v>ស្រី</v>
          </cell>
          <cell r="K71">
            <v>30440</v>
          </cell>
          <cell r="L71">
            <v>41981</v>
          </cell>
        </row>
        <row r="72">
          <cell r="C72">
            <v>835</v>
          </cell>
          <cell r="D72" t="str">
            <v>គៀន</v>
          </cell>
          <cell r="E72" t="str">
            <v>យូរី</v>
          </cell>
          <cell r="F72" t="str">
            <v>គៀនយូរី</v>
          </cell>
          <cell r="G72" t="str">
            <v>KIEN</v>
          </cell>
          <cell r="H72" t="str">
            <v>YORI</v>
          </cell>
          <cell r="I72" t="str">
            <v>KIENYORI</v>
          </cell>
          <cell r="J72" t="str">
            <v>ស្រី</v>
          </cell>
          <cell r="K72">
            <v>35014</v>
          </cell>
          <cell r="L72">
            <v>42047</v>
          </cell>
        </row>
        <row r="73">
          <cell r="C73">
            <v>826</v>
          </cell>
          <cell r="D73" t="str">
            <v>យុន</v>
          </cell>
          <cell r="E73" t="str">
            <v>ម៉េងជូ</v>
          </cell>
          <cell r="F73" t="str">
            <v>យុនម៉េងជូ</v>
          </cell>
          <cell r="G73" t="str">
            <v>YUN</v>
          </cell>
          <cell r="H73" t="str">
            <v>MENG CHOU</v>
          </cell>
          <cell r="I73" t="str">
            <v>YUNMENG CHOU</v>
          </cell>
          <cell r="J73" t="str">
            <v>ស្រី</v>
          </cell>
          <cell r="K73">
            <v>32982</v>
          </cell>
          <cell r="L73">
            <v>42045</v>
          </cell>
        </row>
        <row r="74">
          <cell r="C74">
            <v>825</v>
          </cell>
          <cell r="D74" t="str">
            <v>ម៉េ</v>
          </cell>
          <cell r="E74" t="str">
            <v>សុគា</v>
          </cell>
          <cell r="F74" t="str">
            <v>ម៉េសុគា</v>
          </cell>
          <cell r="G74" t="str">
            <v>MA</v>
          </cell>
          <cell r="H74" t="str">
            <v>SOKEA</v>
          </cell>
          <cell r="I74" t="str">
            <v>MASOKEA</v>
          </cell>
          <cell r="J74" t="str">
            <v>ស្រី</v>
          </cell>
          <cell r="K74">
            <v>34227</v>
          </cell>
          <cell r="L74">
            <v>42044</v>
          </cell>
        </row>
        <row r="75">
          <cell r="C75">
            <v>854</v>
          </cell>
          <cell r="D75" t="str">
            <v>ជៃ</v>
          </cell>
          <cell r="E75" t="str">
            <v>នីម</v>
          </cell>
          <cell r="F75" t="str">
            <v>ជៃនីម</v>
          </cell>
          <cell r="G75" t="str">
            <v>CHAI</v>
          </cell>
          <cell r="H75" t="str">
            <v>NIM</v>
          </cell>
          <cell r="I75" t="str">
            <v>CHAINIM</v>
          </cell>
          <cell r="J75" t="str">
            <v>ស្រី</v>
          </cell>
          <cell r="K75">
            <v>31663</v>
          </cell>
          <cell r="L75">
            <v>42074</v>
          </cell>
        </row>
        <row r="76">
          <cell r="C76">
            <v>839</v>
          </cell>
          <cell r="D76" t="str">
            <v>រុន</v>
          </cell>
          <cell r="E76" t="str">
            <v>រ៉េត</v>
          </cell>
          <cell r="F76" t="str">
            <v>រុនរ៉េត</v>
          </cell>
          <cell r="G76" t="str">
            <v>RUN</v>
          </cell>
          <cell r="H76" t="str">
            <v>RETH</v>
          </cell>
          <cell r="I76" t="str">
            <v>RUNRETH</v>
          </cell>
          <cell r="J76" t="str">
            <v>ស្រី</v>
          </cell>
          <cell r="K76">
            <v>31455</v>
          </cell>
          <cell r="L76">
            <v>42066</v>
          </cell>
        </row>
        <row r="77">
          <cell r="C77">
            <v>840</v>
          </cell>
          <cell r="D77" t="str">
            <v>ហេង</v>
          </cell>
          <cell r="E77" t="str">
            <v>រ៉ាត</v>
          </cell>
          <cell r="F77" t="str">
            <v>ហេងរ៉ាត</v>
          </cell>
          <cell r="G77" t="str">
            <v>HANG</v>
          </cell>
          <cell r="H77" t="str">
            <v>RAT</v>
          </cell>
          <cell r="I77" t="str">
            <v>HANGRAT</v>
          </cell>
          <cell r="J77" t="str">
            <v>ស្រី</v>
          </cell>
          <cell r="K77">
            <v>29222</v>
          </cell>
          <cell r="L77">
            <v>42066</v>
          </cell>
        </row>
        <row r="78">
          <cell r="C78">
            <v>843</v>
          </cell>
          <cell r="D78" t="str">
            <v>យុង</v>
          </cell>
          <cell r="E78" t="str">
            <v>ចិន</v>
          </cell>
          <cell r="F78" t="str">
            <v>យុងចិន</v>
          </cell>
          <cell r="G78" t="str">
            <v>YONG</v>
          </cell>
          <cell r="H78" t="str">
            <v xml:space="preserve">CHIN </v>
          </cell>
          <cell r="I78" t="str">
            <v xml:space="preserve">YONGCHIN </v>
          </cell>
          <cell r="J78" t="str">
            <v>ស្រី</v>
          </cell>
          <cell r="K78">
            <v>34586</v>
          </cell>
          <cell r="L78">
            <v>42066</v>
          </cell>
        </row>
        <row r="79">
          <cell r="C79">
            <v>844</v>
          </cell>
          <cell r="D79" t="str">
            <v>ទូច</v>
          </cell>
          <cell r="E79" t="str">
            <v>នាង</v>
          </cell>
          <cell r="F79" t="str">
            <v>ទូចនាង</v>
          </cell>
          <cell r="G79" t="str">
            <v>TOUCH</v>
          </cell>
          <cell r="H79" t="str">
            <v xml:space="preserve">NEANG </v>
          </cell>
          <cell r="I79" t="str">
            <v xml:space="preserve">TOUCHNEANG </v>
          </cell>
          <cell r="J79" t="str">
            <v>ស្រី</v>
          </cell>
          <cell r="K79">
            <v>29292</v>
          </cell>
          <cell r="L79">
            <v>42067</v>
          </cell>
        </row>
        <row r="80">
          <cell r="C80">
            <v>855</v>
          </cell>
          <cell r="D80" t="str">
            <v>លាក់</v>
          </cell>
          <cell r="E80" t="str">
            <v>ឌីន</v>
          </cell>
          <cell r="F80" t="str">
            <v>លាក់ឌីន</v>
          </cell>
          <cell r="G80" t="str">
            <v>LEAK</v>
          </cell>
          <cell r="H80" t="str">
            <v>DIN</v>
          </cell>
          <cell r="I80" t="str">
            <v>LEAKDIN</v>
          </cell>
          <cell r="J80" t="str">
            <v>ស្រី</v>
          </cell>
          <cell r="K80">
            <v>30777</v>
          </cell>
          <cell r="L80">
            <v>42074</v>
          </cell>
        </row>
        <row r="81">
          <cell r="C81">
            <v>873</v>
          </cell>
          <cell r="D81" t="str">
            <v>សូ</v>
          </cell>
          <cell r="E81" t="str">
            <v>ភាព</v>
          </cell>
          <cell r="F81" t="str">
            <v>សូភាព</v>
          </cell>
          <cell r="G81" t="str">
            <v>SO</v>
          </cell>
          <cell r="H81" t="str">
            <v>PHEAP</v>
          </cell>
          <cell r="I81" t="str">
            <v>SOPHEAP</v>
          </cell>
          <cell r="J81" t="str">
            <v>ស្រី</v>
          </cell>
          <cell r="K81">
            <v>27580</v>
          </cell>
          <cell r="L81">
            <v>42086</v>
          </cell>
        </row>
        <row r="82">
          <cell r="C82">
            <v>884</v>
          </cell>
          <cell r="D82" t="str">
            <v>ង៉ែត</v>
          </cell>
          <cell r="E82" t="str">
            <v>សូភា</v>
          </cell>
          <cell r="F82" t="str">
            <v>ង៉ែតសូភា</v>
          </cell>
          <cell r="G82" t="str">
            <v>NGET</v>
          </cell>
          <cell r="H82" t="str">
            <v>SOPHEA</v>
          </cell>
          <cell r="I82" t="str">
            <v>NGETSOPHEA</v>
          </cell>
          <cell r="J82" t="str">
            <v>ស្រី</v>
          </cell>
          <cell r="K82">
            <v>29714</v>
          </cell>
          <cell r="L82">
            <v>42103</v>
          </cell>
        </row>
        <row r="83">
          <cell r="C83">
            <v>892</v>
          </cell>
          <cell r="D83" t="str">
            <v>នាង</v>
          </cell>
          <cell r="E83" t="str">
            <v>រ៉ាន់</v>
          </cell>
          <cell r="F83" t="str">
            <v>នាងរ៉ាន់</v>
          </cell>
          <cell r="G83" t="str">
            <v>NEANG</v>
          </cell>
          <cell r="H83" t="str">
            <v>RAN</v>
          </cell>
          <cell r="I83" t="str">
            <v>NEANGRAN</v>
          </cell>
          <cell r="J83" t="str">
            <v>ស្រី</v>
          </cell>
          <cell r="K83">
            <v>34578</v>
          </cell>
          <cell r="L83">
            <v>42116</v>
          </cell>
        </row>
        <row r="84">
          <cell r="C84">
            <v>899</v>
          </cell>
          <cell r="D84" t="str">
            <v>នួន</v>
          </cell>
          <cell r="E84" t="str">
            <v>ចេក</v>
          </cell>
          <cell r="F84" t="str">
            <v>នួនចេក</v>
          </cell>
          <cell r="G84" t="str">
            <v>NUON</v>
          </cell>
          <cell r="H84" t="str">
            <v>CHEK</v>
          </cell>
          <cell r="I84" t="str">
            <v>NUONCHEK</v>
          </cell>
          <cell r="J84" t="str">
            <v>ស្រី</v>
          </cell>
          <cell r="K84">
            <v>31570</v>
          </cell>
          <cell r="L84">
            <v>42118</v>
          </cell>
        </row>
        <row r="85">
          <cell r="C85">
            <v>906</v>
          </cell>
          <cell r="D85" t="str">
            <v>អ៊ុត</v>
          </cell>
          <cell r="E85" t="str">
            <v>រតនា</v>
          </cell>
          <cell r="F85" t="str">
            <v>អ៊ុតរតនា</v>
          </cell>
          <cell r="G85" t="str">
            <v>UT</v>
          </cell>
          <cell r="H85" t="str">
            <v>ROTHANA</v>
          </cell>
          <cell r="I85" t="str">
            <v>UTROTHANA</v>
          </cell>
          <cell r="J85" t="str">
            <v>ស្រី</v>
          </cell>
          <cell r="K85">
            <v>33857</v>
          </cell>
          <cell r="L85">
            <v>42119</v>
          </cell>
        </row>
        <row r="86">
          <cell r="C86">
            <v>909</v>
          </cell>
          <cell r="D86" t="str">
            <v>ភឹម</v>
          </cell>
          <cell r="E86" t="str">
            <v>ឡាន</v>
          </cell>
          <cell r="F86" t="str">
            <v>ភឹមឡាន</v>
          </cell>
          <cell r="G86" t="str">
            <v>PHOEM</v>
          </cell>
          <cell r="H86" t="str">
            <v>LAN</v>
          </cell>
          <cell r="I86" t="str">
            <v>PHOEMLAN</v>
          </cell>
          <cell r="J86" t="str">
            <v>ស្រី</v>
          </cell>
          <cell r="K86">
            <v>31851</v>
          </cell>
          <cell r="L86">
            <v>42122</v>
          </cell>
        </row>
        <row r="87">
          <cell r="C87">
            <v>946</v>
          </cell>
          <cell r="D87" t="str">
            <v>វង់</v>
          </cell>
          <cell r="E87" t="str">
            <v>សុខចាន់</v>
          </cell>
          <cell r="F87" t="str">
            <v>វង់សុខចាន់</v>
          </cell>
          <cell r="G87" t="str">
            <v>VONG</v>
          </cell>
          <cell r="H87" t="str">
            <v>SOKCHAN</v>
          </cell>
          <cell r="I87" t="str">
            <v>VONGSOKCHAN</v>
          </cell>
          <cell r="J87" t="str">
            <v>ស្រី</v>
          </cell>
          <cell r="K87">
            <v>29322</v>
          </cell>
          <cell r="L87">
            <v>42136</v>
          </cell>
        </row>
        <row r="88">
          <cell r="C88">
            <v>947</v>
          </cell>
          <cell r="D88" t="str">
            <v>សិន</v>
          </cell>
          <cell r="E88" t="str">
            <v>ស៊ីថាត</v>
          </cell>
          <cell r="F88" t="str">
            <v>សិនស៊ីថាត</v>
          </cell>
          <cell r="G88" t="str">
            <v>SIN</v>
          </cell>
          <cell r="H88" t="str">
            <v>SITHAT</v>
          </cell>
          <cell r="I88" t="str">
            <v>SINSITHAT</v>
          </cell>
          <cell r="J88" t="str">
            <v>ស្រី</v>
          </cell>
          <cell r="K88">
            <v>31827</v>
          </cell>
          <cell r="L88">
            <v>42136</v>
          </cell>
        </row>
        <row r="89">
          <cell r="C89">
            <v>929</v>
          </cell>
          <cell r="D89" t="str">
            <v>សុខ</v>
          </cell>
          <cell r="E89" t="str">
            <v>ដាវី</v>
          </cell>
          <cell r="F89" t="str">
            <v>សុខដាវី</v>
          </cell>
          <cell r="G89" t="str">
            <v>SOK</v>
          </cell>
          <cell r="H89" t="str">
            <v>DAVY</v>
          </cell>
          <cell r="I89" t="str">
            <v>SOKDAVY</v>
          </cell>
          <cell r="J89" t="str">
            <v>ស្រី</v>
          </cell>
          <cell r="K89">
            <v>31396</v>
          </cell>
          <cell r="L89">
            <v>42130</v>
          </cell>
        </row>
        <row r="90">
          <cell r="C90">
            <v>933</v>
          </cell>
          <cell r="D90" t="str">
            <v>នាង</v>
          </cell>
          <cell r="E90" t="str">
            <v>ពៅ</v>
          </cell>
          <cell r="F90" t="str">
            <v>នាងពៅ</v>
          </cell>
          <cell r="G90" t="str">
            <v>NEANG</v>
          </cell>
          <cell r="H90" t="str">
            <v>POV</v>
          </cell>
          <cell r="I90" t="str">
            <v>NEANGPOV</v>
          </cell>
          <cell r="J90" t="str">
            <v>ស្រី</v>
          </cell>
          <cell r="K90">
            <v>29692</v>
          </cell>
          <cell r="L90">
            <v>42130</v>
          </cell>
        </row>
        <row r="91">
          <cell r="C91">
            <v>942</v>
          </cell>
          <cell r="D91" t="str">
            <v>ណុល</v>
          </cell>
          <cell r="E91" t="str">
            <v>ម៉េងហួយ</v>
          </cell>
          <cell r="F91" t="str">
            <v>ណុលម៉េងហួយ</v>
          </cell>
          <cell r="G91" t="str">
            <v>NOL</v>
          </cell>
          <cell r="H91" t="str">
            <v>MEGNHOUY</v>
          </cell>
          <cell r="I91" t="str">
            <v>NOLMEGNHOUY</v>
          </cell>
          <cell r="J91" t="str">
            <v>ប្រុស</v>
          </cell>
          <cell r="K91">
            <v>35385</v>
          </cell>
          <cell r="L91">
            <v>42132</v>
          </cell>
        </row>
        <row r="92">
          <cell r="C92">
            <v>957</v>
          </cell>
          <cell r="D92" t="str">
            <v>យ៉ែន​</v>
          </cell>
          <cell r="E92" t="str">
            <v>ហ៊ុយ</v>
          </cell>
          <cell r="F92" t="str">
            <v>យ៉ែន​ហ៊ុយ</v>
          </cell>
          <cell r="G92" t="str">
            <v>YEN</v>
          </cell>
          <cell r="H92" t="str">
            <v>HUY</v>
          </cell>
          <cell r="I92" t="str">
            <v>YENHUY</v>
          </cell>
          <cell r="J92" t="str">
            <v>ស្រី</v>
          </cell>
          <cell r="K92">
            <v>33028</v>
          </cell>
          <cell r="L92">
            <v>42143</v>
          </cell>
        </row>
        <row r="93">
          <cell r="C93">
            <v>956</v>
          </cell>
          <cell r="D93" t="str">
            <v>សេន</v>
          </cell>
          <cell r="E93" t="str">
            <v>ធាវី</v>
          </cell>
          <cell r="F93" t="str">
            <v>សេនធាវី</v>
          </cell>
          <cell r="G93" t="str">
            <v>SEN</v>
          </cell>
          <cell r="H93" t="str">
            <v>THEAVY</v>
          </cell>
          <cell r="I93" t="str">
            <v>SENTHEAVY</v>
          </cell>
          <cell r="J93" t="str">
            <v>ស្រី</v>
          </cell>
          <cell r="K93">
            <v>30116</v>
          </cell>
          <cell r="L93">
            <v>42143</v>
          </cell>
        </row>
        <row r="94">
          <cell r="C94">
            <v>967</v>
          </cell>
          <cell r="D94" t="str">
            <v>អា</v>
          </cell>
          <cell r="E94" t="str">
            <v>លាប</v>
          </cell>
          <cell r="F94" t="str">
            <v>អាលាប</v>
          </cell>
          <cell r="G94" t="str">
            <v>A</v>
          </cell>
          <cell r="H94" t="str">
            <v>KEAP</v>
          </cell>
          <cell r="I94" t="str">
            <v>AKEAP</v>
          </cell>
          <cell r="J94" t="str">
            <v>ស្រី</v>
          </cell>
          <cell r="K94">
            <v>26757</v>
          </cell>
          <cell r="L94">
            <v>42149</v>
          </cell>
        </row>
        <row r="95">
          <cell r="C95">
            <v>913</v>
          </cell>
          <cell r="D95" t="str">
            <v>សៀក</v>
          </cell>
          <cell r="E95" t="str">
            <v>សុខលី</v>
          </cell>
          <cell r="F95" t="str">
            <v>សៀកសុខលី</v>
          </cell>
          <cell r="G95" t="str">
            <v>SEAK</v>
          </cell>
          <cell r="H95" t="str">
            <v>SOK LY</v>
          </cell>
          <cell r="I95" t="str">
            <v>SEAKSOK LY</v>
          </cell>
          <cell r="J95" t="str">
            <v>ស្រី</v>
          </cell>
          <cell r="K95">
            <v>32211</v>
          </cell>
          <cell r="L95">
            <v>42128</v>
          </cell>
        </row>
        <row r="96">
          <cell r="C96">
            <v>1012</v>
          </cell>
          <cell r="D96" t="str">
            <v>ទឹម</v>
          </cell>
          <cell r="E96" t="str">
            <v>សុគន្ធា</v>
          </cell>
          <cell r="F96" t="str">
            <v>ទឹមសុគន្ធា</v>
          </cell>
          <cell r="G96" t="str">
            <v>TEM</v>
          </cell>
          <cell r="H96" t="str">
            <v>SOKUNTHEA</v>
          </cell>
          <cell r="I96" t="str">
            <v>TEMSOKUNTHEA</v>
          </cell>
          <cell r="J96" t="str">
            <v>ស្រី</v>
          </cell>
          <cell r="K96">
            <v>34132</v>
          </cell>
          <cell r="L96">
            <v>42167</v>
          </cell>
        </row>
        <row r="97">
          <cell r="C97">
            <v>1019</v>
          </cell>
          <cell r="D97" t="str">
            <v>ប៉ុន</v>
          </cell>
          <cell r="E97" t="str">
            <v>សូណា</v>
          </cell>
          <cell r="F97" t="str">
            <v>ប៉ុនសូណា</v>
          </cell>
          <cell r="G97" t="str">
            <v>BUN</v>
          </cell>
          <cell r="H97" t="str">
            <v>SONA</v>
          </cell>
          <cell r="I97" t="str">
            <v>BUNSONA</v>
          </cell>
          <cell r="J97" t="str">
            <v>ស្រី</v>
          </cell>
          <cell r="K97">
            <v>29258</v>
          </cell>
          <cell r="L97">
            <v>42178</v>
          </cell>
        </row>
        <row r="98">
          <cell r="C98">
            <v>1031</v>
          </cell>
          <cell r="D98" t="str">
            <v>ជា</v>
          </cell>
          <cell r="E98" t="str">
            <v>សារ៉ុន</v>
          </cell>
          <cell r="F98" t="str">
            <v>ជាសារ៉ុន</v>
          </cell>
          <cell r="G98" t="str">
            <v>CHEA</v>
          </cell>
          <cell r="H98" t="str">
            <v>SARON</v>
          </cell>
          <cell r="I98" t="str">
            <v>CHEASARON</v>
          </cell>
          <cell r="J98" t="str">
            <v>ស្រី</v>
          </cell>
          <cell r="K98">
            <v>29361</v>
          </cell>
          <cell r="L98">
            <v>42187</v>
          </cell>
        </row>
        <row r="99">
          <cell r="C99">
            <v>1036</v>
          </cell>
          <cell r="D99" t="str">
            <v>ម៉េន</v>
          </cell>
          <cell r="E99" t="str">
            <v>ចាន់មេសា</v>
          </cell>
          <cell r="F99" t="str">
            <v>ម៉េនចាន់មេសា</v>
          </cell>
          <cell r="G99" t="str">
            <v>MAN</v>
          </cell>
          <cell r="H99" t="str">
            <v>CHANMASA</v>
          </cell>
          <cell r="I99" t="str">
            <v>MANCHANMASA</v>
          </cell>
          <cell r="J99" t="str">
            <v>ស្រី</v>
          </cell>
          <cell r="K99">
            <v>31144</v>
          </cell>
          <cell r="L99">
            <v>42192</v>
          </cell>
        </row>
        <row r="100">
          <cell r="C100">
            <v>1038</v>
          </cell>
          <cell r="D100" t="str">
            <v>ញ៉ែម</v>
          </cell>
          <cell r="E100" t="str">
            <v>សុវណ្ណឧស្សាហ៍</v>
          </cell>
          <cell r="F100" t="str">
            <v>ញ៉ែមសុវណ្ណឧស្សាហ៍</v>
          </cell>
          <cell r="G100" t="str">
            <v>NHEM</v>
          </cell>
          <cell r="H100" t="str">
            <v>SOVANUKSA</v>
          </cell>
          <cell r="I100" t="str">
            <v>NHEMSOVANUKSA</v>
          </cell>
          <cell r="J100" t="str">
            <v>ស្រី</v>
          </cell>
          <cell r="K100">
            <v>32212</v>
          </cell>
          <cell r="L100">
            <v>42192</v>
          </cell>
        </row>
        <row r="101">
          <cell r="C101">
            <v>1057</v>
          </cell>
          <cell r="D101" t="str">
            <v>អ៊ុន</v>
          </cell>
          <cell r="E101" t="str">
            <v>តី</v>
          </cell>
          <cell r="F101" t="str">
            <v>អ៊ុនតី</v>
          </cell>
          <cell r="G101" t="str">
            <v>UN</v>
          </cell>
          <cell r="H101" t="str">
            <v>TEY</v>
          </cell>
          <cell r="I101" t="str">
            <v>UNTEY</v>
          </cell>
          <cell r="J101" t="str">
            <v>ស្រី</v>
          </cell>
          <cell r="K101">
            <v>32393</v>
          </cell>
          <cell r="L101">
            <v>42209</v>
          </cell>
        </row>
        <row r="102">
          <cell r="C102">
            <v>1122</v>
          </cell>
          <cell r="D102" t="str">
            <v>សយ</v>
          </cell>
          <cell r="E102" t="str">
            <v>ស្រីឌី</v>
          </cell>
          <cell r="F102" t="str">
            <v>សយស្រីឌី</v>
          </cell>
          <cell r="G102" t="str">
            <v>SOY</v>
          </cell>
          <cell r="H102" t="str">
            <v>SREYDY</v>
          </cell>
          <cell r="I102" t="str">
            <v>SOYSREYDY</v>
          </cell>
          <cell r="J102" t="str">
            <v>ស្រី</v>
          </cell>
          <cell r="K102">
            <v>27900</v>
          </cell>
          <cell r="L102">
            <v>42257</v>
          </cell>
        </row>
        <row r="103">
          <cell r="C103">
            <v>1128</v>
          </cell>
          <cell r="D103" t="str">
            <v>ហ៊ន</v>
          </cell>
          <cell r="E103" t="str">
            <v>ផារ៉េម</v>
          </cell>
          <cell r="F103" t="str">
            <v>ហ៊នផារ៉េម</v>
          </cell>
          <cell r="G103" t="str">
            <v>HORN</v>
          </cell>
          <cell r="H103" t="str">
            <v>PHAREM</v>
          </cell>
          <cell r="I103" t="str">
            <v>HORNPHAREM</v>
          </cell>
          <cell r="J103" t="str">
            <v>ស្រី</v>
          </cell>
          <cell r="K103">
            <v>31755</v>
          </cell>
          <cell r="L103">
            <v>42262</v>
          </cell>
        </row>
        <row r="104">
          <cell r="C104">
            <v>1152</v>
          </cell>
          <cell r="D104" t="str">
            <v>អោម​</v>
          </cell>
          <cell r="E104" t="str">
            <v>ស៊ីដា</v>
          </cell>
          <cell r="F104" t="str">
            <v>អោម​ស៊ីដា</v>
          </cell>
          <cell r="G104" t="str">
            <v>ORM</v>
          </cell>
          <cell r="H104" t="str">
            <v>SIDA</v>
          </cell>
          <cell r="I104" t="str">
            <v>ORMSIDA</v>
          </cell>
          <cell r="J104" t="str">
            <v>ស្រី</v>
          </cell>
          <cell r="K104">
            <v>29978</v>
          </cell>
          <cell r="L104">
            <v>42272</v>
          </cell>
        </row>
        <row r="105">
          <cell r="C105">
            <v>1153</v>
          </cell>
          <cell r="D105" t="str">
            <v>សុត</v>
          </cell>
          <cell r="E105" t="str">
            <v>ស៊ាងហាក់</v>
          </cell>
          <cell r="F105" t="str">
            <v>សុតស៊ាងហាក់</v>
          </cell>
          <cell r="G105" t="str">
            <v>SOTH</v>
          </cell>
          <cell r="H105" t="str">
            <v>SEANGHAK</v>
          </cell>
          <cell r="I105" t="str">
            <v>SOTHSEANGHAK</v>
          </cell>
          <cell r="J105" t="str">
            <v>ស្រី</v>
          </cell>
          <cell r="K105">
            <v>30029</v>
          </cell>
          <cell r="L105">
            <v>42271</v>
          </cell>
        </row>
        <row r="106">
          <cell r="C106">
            <v>1166</v>
          </cell>
          <cell r="D106" t="str">
            <v>អូម</v>
          </cell>
          <cell r="E106" t="str">
            <v>ចាន់ធូ</v>
          </cell>
          <cell r="F106" t="str">
            <v>អូមចាន់ធូ</v>
          </cell>
          <cell r="G106" t="str">
            <v>AUM</v>
          </cell>
          <cell r="H106" t="str">
            <v>CHANTHOU</v>
          </cell>
          <cell r="I106" t="str">
            <v>AUMCHANTHOU</v>
          </cell>
          <cell r="J106" t="str">
            <v>ស្រី</v>
          </cell>
          <cell r="K106">
            <v>29830</v>
          </cell>
          <cell r="L106">
            <v>42280</v>
          </cell>
        </row>
        <row r="107">
          <cell r="C107">
            <v>1182</v>
          </cell>
          <cell r="D107" t="str">
            <v>វ៉ាន់</v>
          </cell>
          <cell r="E107" t="str">
            <v>សុធា</v>
          </cell>
          <cell r="F107" t="str">
            <v>វ៉ាន់សុធា</v>
          </cell>
          <cell r="G107" t="str">
            <v>VAN</v>
          </cell>
          <cell r="H107" t="str">
            <v>SOTHEA</v>
          </cell>
          <cell r="I107" t="str">
            <v>VANSOTHEA</v>
          </cell>
          <cell r="J107" t="str">
            <v>ស្រី</v>
          </cell>
          <cell r="K107">
            <v>29620</v>
          </cell>
          <cell r="L107">
            <v>42294</v>
          </cell>
        </row>
        <row r="108">
          <cell r="C108">
            <v>1187</v>
          </cell>
          <cell r="D108" t="str">
            <v>ឡាច</v>
          </cell>
          <cell r="E108" t="str">
            <v>ឈុន</v>
          </cell>
          <cell r="F108" t="str">
            <v>ឡាចឈុន</v>
          </cell>
          <cell r="G108" t="str">
            <v>LACH</v>
          </cell>
          <cell r="H108" t="str">
            <v>CHHUN</v>
          </cell>
          <cell r="I108" t="str">
            <v>LACHCHHUN</v>
          </cell>
          <cell r="J108" t="str">
            <v>ស្រី</v>
          </cell>
          <cell r="K108">
            <v>30408</v>
          </cell>
          <cell r="L108">
            <v>42297</v>
          </cell>
        </row>
        <row r="109">
          <cell r="C109">
            <v>1218</v>
          </cell>
          <cell r="D109" t="str">
            <v>អ៊ុក</v>
          </cell>
          <cell r="E109" t="str">
            <v>ចាន់ធឿន</v>
          </cell>
          <cell r="F109" t="str">
            <v>អ៊ុកចាន់ធឿន</v>
          </cell>
          <cell r="G109" t="str">
            <v>UK</v>
          </cell>
          <cell r="H109" t="str">
            <v>CHANTHOEUN</v>
          </cell>
          <cell r="I109" t="str">
            <v>UKCHANTHOEUN</v>
          </cell>
          <cell r="J109" t="str">
            <v>ស្រី</v>
          </cell>
          <cell r="K109">
            <v>27427</v>
          </cell>
          <cell r="L109">
            <v>42298</v>
          </cell>
        </row>
        <row r="110">
          <cell r="C110">
            <v>1238</v>
          </cell>
          <cell r="D110" t="str">
            <v>រស់</v>
          </cell>
          <cell r="E110" t="str">
            <v>ណាត</v>
          </cell>
          <cell r="F110" t="str">
            <v>រស់ណាត</v>
          </cell>
          <cell r="G110" t="str">
            <v>ROS</v>
          </cell>
          <cell r="H110" t="str">
            <v>NATH</v>
          </cell>
          <cell r="I110" t="str">
            <v>ROSNATH</v>
          </cell>
          <cell r="J110" t="str">
            <v>ស្រី</v>
          </cell>
          <cell r="K110">
            <v>30334</v>
          </cell>
          <cell r="L110">
            <v>42299</v>
          </cell>
        </row>
        <row r="111">
          <cell r="C111">
            <v>1239</v>
          </cell>
          <cell r="D111" t="str">
            <v>ឆាយ</v>
          </cell>
          <cell r="E111" t="str">
            <v>ឆៃលាង</v>
          </cell>
          <cell r="F111" t="str">
            <v>ឆាយឆៃលាង</v>
          </cell>
          <cell r="G111" t="str">
            <v>CHHAY</v>
          </cell>
          <cell r="H111" t="str">
            <v>CHHAILEANG</v>
          </cell>
          <cell r="I111" t="str">
            <v>CHHAYCHHAILEANG</v>
          </cell>
          <cell r="J111" t="str">
            <v>ស្រី</v>
          </cell>
          <cell r="K111">
            <v>30688</v>
          </cell>
          <cell r="L111">
            <v>42299</v>
          </cell>
        </row>
        <row r="112">
          <cell r="C112">
            <v>1240</v>
          </cell>
          <cell r="D112" t="str">
            <v>កៃ</v>
          </cell>
          <cell r="E112" t="str">
            <v>គឹមលី</v>
          </cell>
          <cell r="F112" t="str">
            <v>កៃគឹមលី</v>
          </cell>
          <cell r="G112" t="str">
            <v>KAI</v>
          </cell>
          <cell r="H112" t="str">
            <v>KIMLY</v>
          </cell>
          <cell r="I112" t="str">
            <v>KAIKIMLY</v>
          </cell>
          <cell r="J112" t="str">
            <v>ស្រី</v>
          </cell>
          <cell r="K112">
            <v>33423</v>
          </cell>
          <cell r="L112">
            <v>42299</v>
          </cell>
        </row>
        <row r="113">
          <cell r="C113">
            <v>1251</v>
          </cell>
          <cell r="D113" t="str">
            <v>ឃួន</v>
          </cell>
          <cell r="E113" t="str">
            <v>សុភាស់</v>
          </cell>
          <cell r="F113" t="str">
            <v>ឃួនសុភាស់</v>
          </cell>
          <cell r="G113" t="str">
            <v>KHUON</v>
          </cell>
          <cell r="H113" t="str">
            <v>SOPHOIS</v>
          </cell>
          <cell r="I113" t="str">
            <v>KHUONSOPHOIS</v>
          </cell>
          <cell r="J113" t="str">
            <v>ស្រី</v>
          </cell>
          <cell r="K113">
            <v>34552</v>
          </cell>
          <cell r="L113">
            <v>42301</v>
          </cell>
        </row>
        <row r="114">
          <cell r="C114">
            <v>1255</v>
          </cell>
          <cell r="D114" t="str">
            <v>នាង</v>
          </cell>
          <cell r="E114" t="str">
            <v>ណុច</v>
          </cell>
          <cell r="F114" t="str">
            <v>នាងណុច</v>
          </cell>
          <cell r="G114" t="str">
            <v>NEANG</v>
          </cell>
          <cell r="H114" t="str">
            <v>NOCH</v>
          </cell>
          <cell r="I114" t="str">
            <v>NEANGNOCH</v>
          </cell>
          <cell r="J114" t="str">
            <v>ស្រី</v>
          </cell>
          <cell r="K114">
            <v>31086</v>
          </cell>
          <cell r="L114">
            <v>42303</v>
          </cell>
        </row>
        <row r="115">
          <cell r="C115">
            <v>1266</v>
          </cell>
          <cell r="D115" t="str">
            <v>ហាក់</v>
          </cell>
          <cell r="E115" t="str">
            <v>សាលឹម</v>
          </cell>
          <cell r="F115" t="str">
            <v>ហាក់សាលឹម</v>
          </cell>
          <cell r="G115" t="str">
            <v>HAK</v>
          </cell>
          <cell r="H115" t="str">
            <v>SALIM</v>
          </cell>
          <cell r="I115" t="str">
            <v>HAKSALIM</v>
          </cell>
          <cell r="J115" t="str">
            <v>ស្រី</v>
          </cell>
          <cell r="K115">
            <v>32614</v>
          </cell>
          <cell r="L115">
            <v>42300</v>
          </cell>
        </row>
        <row r="116">
          <cell r="C116">
            <v>1268</v>
          </cell>
          <cell r="D116" t="str">
            <v>ផន</v>
          </cell>
          <cell r="E116" t="str">
            <v>សារុំ</v>
          </cell>
          <cell r="F116" t="str">
            <v>ផនសារុំ</v>
          </cell>
          <cell r="G116" t="str">
            <v>PHAN</v>
          </cell>
          <cell r="H116" t="str">
            <v>SAROM</v>
          </cell>
          <cell r="I116" t="str">
            <v>PHANSAROM</v>
          </cell>
          <cell r="J116" t="str">
            <v>ស្រី</v>
          </cell>
          <cell r="K116">
            <v>33728</v>
          </cell>
          <cell r="L116">
            <v>42304</v>
          </cell>
        </row>
        <row r="117">
          <cell r="C117">
            <v>1300</v>
          </cell>
          <cell r="D117" t="str">
            <v>ងីម</v>
          </cell>
          <cell r="E117" t="str">
            <v>ស្រ៊ីម</v>
          </cell>
          <cell r="F117" t="str">
            <v>ងីមស្រ៊ីម</v>
          </cell>
          <cell r="G117" t="str">
            <v>NGIM</v>
          </cell>
          <cell r="H117" t="str">
            <v>SRIM</v>
          </cell>
          <cell r="I117" t="str">
            <v>NGIMSRIM</v>
          </cell>
          <cell r="J117" t="str">
            <v>ស្រី</v>
          </cell>
          <cell r="K117">
            <v>30043</v>
          </cell>
          <cell r="L117">
            <v>42310</v>
          </cell>
        </row>
        <row r="118">
          <cell r="C118">
            <v>1302</v>
          </cell>
          <cell r="D118" t="str">
            <v>នី</v>
          </cell>
          <cell r="E118" t="str">
            <v>គន្ធា</v>
          </cell>
          <cell r="F118" t="str">
            <v>នីគន្ធា</v>
          </cell>
          <cell r="G118" t="str">
            <v>NY</v>
          </cell>
          <cell r="H118" t="str">
            <v>KUNTHEA</v>
          </cell>
          <cell r="I118" t="str">
            <v>NYKUNTHEA</v>
          </cell>
          <cell r="J118" t="str">
            <v>ស្រី</v>
          </cell>
          <cell r="K118">
            <v>30195</v>
          </cell>
          <cell r="L118">
            <v>42311</v>
          </cell>
        </row>
        <row r="119">
          <cell r="C119">
            <v>1320</v>
          </cell>
          <cell r="D119" t="str">
            <v>ហែម</v>
          </cell>
          <cell r="E119" t="str">
            <v>ចាន់បូផា</v>
          </cell>
          <cell r="F119" t="str">
            <v>ហែមចាន់បូផា</v>
          </cell>
          <cell r="G119" t="str">
            <v>HEM</v>
          </cell>
          <cell r="H119" t="str">
            <v>CHAN BOPHA</v>
          </cell>
          <cell r="I119" t="str">
            <v>HEMCHAN BOPHA</v>
          </cell>
          <cell r="J119" t="str">
            <v>ស្រី</v>
          </cell>
          <cell r="K119">
            <v>30420</v>
          </cell>
          <cell r="L119">
            <v>42312</v>
          </cell>
        </row>
        <row r="120">
          <cell r="C120">
            <v>1338</v>
          </cell>
          <cell r="D120" t="str">
            <v>អ៊ុន</v>
          </cell>
          <cell r="E120" t="str">
            <v>នុន</v>
          </cell>
          <cell r="F120" t="str">
            <v>អ៊ុននុន</v>
          </cell>
          <cell r="G120" t="str">
            <v>UN</v>
          </cell>
          <cell r="H120" t="str">
            <v xml:space="preserve">NON </v>
          </cell>
          <cell r="I120" t="str">
            <v xml:space="preserve">UNNON </v>
          </cell>
          <cell r="J120" t="str">
            <v>ស្រី</v>
          </cell>
          <cell r="K120">
            <v>30778</v>
          </cell>
          <cell r="L120">
            <v>42314</v>
          </cell>
        </row>
        <row r="121">
          <cell r="C121">
            <v>1349</v>
          </cell>
          <cell r="D121" t="str">
            <v>ម៉ី</v>
          </cell>
          <cell r="E121" t="str">
            <v>រដ្ឋា</v>
          </cell>
          <cell r="F121" t="str">
            <v>ម៉ីរដ្ឋា</v>
          </cell>
          <cell r="G121" t="str">
            <v>MEY</v>
          </cell>
          <cell r="H121" t="str">
            <v>RATHA</v>
          </cell>
          <cell r="I121" t="str">
            <v>MEYRATHA</v>
          </cell>
          <cell r="J121" t="str">
            <v>ស្រី</v>
          </cell>
          <cell r="K121">
            <v>33258</v>
          </cell>
          <cell r="L121">
            <v>42320</v>
          </cell>
        </row>
        <row r="122">
          <cell r="C122">
            <v>1350</v>
          </cell>
          <cell r="D122" t="str">
            <v>ប្រាក់</v>
          </cell>
          <cell r="E122" t="str">
            <v>ភាន</v>
          </cell>
          <cell r="F122" t="str">
            <v>ប្រាក់ភាន</v>
          </cell>
          <cell r="G122" t="str">
            <v>PRAK</v>
          </cell>
          <cell r="H122" t="str">
            <v>PHEAN</v>
          </cell>
          <cell r="I122" t="str">
            <v>PRAKPHEAN</v>
          </cell>
          <cell r="J122" t="str">
            <v>ស្រី</v>
          </cell>
          <cell r="K122">
            <v>27851</v>
          </cell>
          <cell r="L122">
            <v>42321</v>
          </cell>
        </row>
        <row r="123">
          <cell r="C123">
            <v>1353</v>
          </cell>
          <cell r="D123" t="str">
            <v>ភូ</v>
          </cell>
          <cell r="E123" t="str">
            <v>ពុទ្រា</v>
          </cell>
          <cell r="F123" t="str">
            <v>ភូពុទ្រា</v>
          </cell>
          <cell r="G123" t="str">
            <v>PHOU</v>
          </cell>
          <cell r="H123" t="str">
            <v>PUTREA</v>
          </cell>
          <cell r="I123" t="str">
            <v>PHOUPUTREA</v>
          </cell>
          <cell r="J123" t="str">
            <v>ប្រុស</v>
          </cell>
          <cell r="K123">
            <v>32515</v>
          </cell>
          <cell r="L123">
            <v>42321</v>
          </cell>
        </row>
        <row r="124">
          <cell r="C124">
            <v>1362</v>
          </cell>
          <cell r="D124" t="str">
            <v>ពិ</v>
          </cell>
          <cell r="E124" t="str">
            <v>សាវី</v>
          </cell>
          <cell r="F124" t="str">
            <v>ពិសាវី</v>
          </cell>
          <cell r="G124" t="str">
            <v>PE</v>
          </cell>
          <cell r="H124" t="str">
            <v>SAVY</v>
          </cell>
          <cell r="I124" t="str">
            <v>PESAVY</v>
          </cell>
          <cell r="J124" t="str">
            <v>ស្រី</v>
          </cell>
          <cell r="K124">
            <v>32740</v>
          </cell>
          <cell r="L124">
            <v>42325</v>
          </cell>
        </row>
        <row r="125">
          <cell r="C125">
            <v>1384</v>
          </cell>
          <cell r="D125" t="str">
            <v>ភោគ</v>
          </cell>
          <cell r="E125" t="str">
            <v>រ៉ន</v>
          </cell>
          <cell r="F125" t="str">
            <v>ភោគរ៉ន</v>
          </cell>
          <cell r="G125" t="str">
            <v>PHAUK</v>
          </cell>
          <cell r="H125" t="str">
            <v>RAN</v>
          </cell>
          <cell r="I125" t="str">
            <v>PHAUKRAN</v>
          </cell>
          <cell r="J125" t="str">
            <v>ស្រី</v>
          </cell>
          <cell r="K125">
            <v>30878</v>
          </cell>
          <cell r="L125">
            <v>42332</v>
          </cell>
        </row>
        <row r="126">
          <cell r="C126">
            <v>1385</v>
          </cell>
          <cell r="D126" t="str">
            <v>សុខ</v>
          </cell>
          <cell r="E126" t="str">
            <v>ឌឿន</v>
          </cell>
          <cell r="F126" t="str">
            <v>សុខឌឿន</v>
          </cell>
          <cell r="G126" t="str">
            <v>SOK</v>
          </cell>
          <cell r="H126" t="str">
            <v>DOEUN</v>
          </cell>
          <cell r="I126" t="str">
            <v>SOKDOEUN</v>
          </cell>
          <cell r="J126" t="str">
            <v>ប្រុស</v>
          </cell>
          <cell r="K126">
            <v>34705</v>
          </cell>
          <cell r="L126">
            <v>42332</v>
          </cell>
        </row>
        <row r="127">
          <cell r="C127">
            <v>1396</v>
          </cell>
          <cell r="D127" t="str">
            <v>យ៉ុង</v>
          </cell>
          <cell r="E127" t="str">
            <v>ថានី</v>
          </cell>
          <cell r="F127" t="str">
            <v>យ៉ុងថានី</v>
          </cell>
          <cell r="G127" t="str">
            <v xml:space="preserve">YONG </v>
          </cell>
          <cell r="H127" t="str">
            <v>THANY</v>
          </cell>
          <cell r="I127" t="str">
            <v>YONG THANY</v>
          </cell>
          <cell r="J127" t="str">
            <v>ស្រី</v>
          </cell>
          <cell r="K127">
            <v>31757</v>
          </cell>
          <cell r="L127">
            <v>42340</v>
          </cell>
        </row>
        <row r="128">
          <cell r="C128">
            <v>1398</v>
          </cell>
          <cell r="D128" t="str">
            <v>កន</v>
          </cell>
          <cell r="E128" t="str">
            <v>ស្រីអូន</v>
          </cell>
          <cell r="F128" t="str">
            <v>កនស្រីអូន</v>
          </cell>
          <cell r="G128" t="str">
            <v>KORN</v>
          </cell>
          <cell r="H128" t="str">
            <v>SREY OUN</v>
          </cell>
          <cell r="I128" t="str">
            <v>KORNSREY OUN</v>
          </cell>
          <cell r="J128" t="str">
            <v>ស្រី</v>
          </cell>
          <cell r="K128">
            <v>36622</v>
          </cell>
          <cell r="L128">
            <v>42340</v>
          </cell>
        </row>
        <row r="129">
          <cell r="C129">
            <v>1408</v>
          </cell>
          <cell r="D129" t="str">
            <v>សាន់</v>
          </cell>
          <cell r="E129" t="str">
            <v>សម្ផស្ស</v>
          </cell>
          <cell r="F129" t="str">
            <v>សាន់សម្ផស្ស</v>
          </cell>
          <cell r="G129" t="str">
            <v>SANN</v>
          </cell>
          <cell r="H129" t="str">
            <v>SAMPHORS</v>
          </cell>
          <cell r="I129" t="str">
            <v>SANNSAMPHORS</v>
          </cell>
          <cell r="J129" t="str">
            <v>ស្រី</v>
          </cell>
          <cell r="K129">
            <v>35621</v>
          </cell>
          <cell r="L129">
            <v>42342</v>
          </cell>
        </row>
        <row r="130">
          <cell r="C130">
            <v>1411</v>
          </cell>
          <cell r="D130" t="str">
            <v>រូ</v>
          </cell>
          <cell r="E130" t="str">
            <v>និច</v>
          </cell>
          <cell r="F130" t="str">
            <v>រូនិច</v>
          </cell>
          <cell r="G130" t="str">
            <v>Ro</v>
          </cell>
          <cell r="H130" t="str">
            <v>Nich</v>
          </cell>
          <cell r="I130" t="str">
            <v>RoNich</v>
          </cell>
          <cell r="J130" t="str">
            <v>ស្រី</v>
          </cell>
          <cell r="K130">
            <v>35831</v>
          </cell>
          <cell r="L130">
            <v>42343</v>
          </cell>
        </row>
        <row r="131">
          <cell r="C131">
            <v>1415</v>
          </cell>
          <cell r="D131" t="str">
            <v>អ៊ុំ</v>
          </cell>
          <cell r="E131" t="str">
            <v>ហ៊ុន</v>
          </cell>
          <cell r="F131" t="str">
            <v>អ៊ុំហ៊ុន</v>
          </cell>
          <cell r="G131" t="str">
            <v>UM</v>
          </cell>
          <cell r="H131" t="str">
            <v>HUN</v>
          </cell>
          <cell r="I131" t="str">
            <v>UMHUN</v>
          </cell>
          <cell r="J131" t="str">
            <v>ស្រី</v>
          </cell>
          <cell r="K131">
            <v>27404</v>
          </cell>
          <cell r="L131">
            <v>42346</v>
          </cell>
        </row>
        <row r="132">
          <cell r="C132">
            <v>1427</v>
          </cell>
          <cell r="D132" t="str">
            <v>គឹម</v>
          </cell>
          <cell r="E132" t="str">
            <v>រតនា</v>
          </cell>
          <cell r="F132" t="str">
            <v>គឹមរតនា</v>
          </cell>
          <cell r="G132" t="str">
            <v xml:space="preserve">KIM </v>
          </cell>
          <cell r="H132" t="str">
            <v>RATHNA</v>
          </cell>
          <cell r="I132" t="str">
            <v>KIM RATHNA</v>
          </cell>
          <cell r="J132" t="str">
            <v>ស្រី</v>
          </cell>
          <cell r="K132">
            <v>32621</v>
          </cell>
          <cell r="L132">
            <v>42353</v>
          </cell>
        </row>
        <row r="133">
          <cell r="C133">
            <v>1445</v>
          </cell>
          <cell r="D133" t="str">
            <v>មឿង</v>
          </cell>
          <cell r="E133" t="str">
            <v>តារា</v>
          </cell>
          <cell r="F133" t="str">
            <v>មឿងតារា</v>
          </cell>
          <cell r="G133" t="str">
            <v>MOEUNG</v>
          </cell>
          <cell r="H133" t="str">
            <v>DARA</v>
          </cell>
          <cell r="I133" t="str">
            <v>MOEUNGDARA</v>
          </cell>
          <cell r="J133" t="str">
            <v>ស្រី</v>
          </cell>
          <cell r="K133">
            <v>29024</v>
          </cell>
          <cell r="L133">
            <v>42360</v>
          </cell>
        </row>
        <row r="134">
          <cell r="C134">
            <v>1466</v>
          </cell>
          <cell r="D134" t="str">
            <v>សុខ</v>
          </cell>
          <cell r="E134" t="str">
            <v>ផារី</v>
          </cell>
          <cell r="F134" t="str">
            <v>សុខផារី</v>
          </cell>
          <cell r="G134" t="str">
            <v>SOK</v>
          </cell>
          <cell r="H134" t="str">
            <v>PHARY</v>
          </cell>
          <cell r="I134" t="str">
            <v>SOKPHARY</v>
          </cell>
          <cell r="J134" t="str">
            <v>ស្រី</v>
          </cell>
          <cell r="K134">
            <v>32525</v>
          </cell>
          <cell r="L134">
            <v>42388</v>
          </cell>
        </row>
        <row r="135">
          <cell r="C135">
            <v>1481</v>
          </cell>
          <cell r="D135" t="str">
            <v>សោម</v>
          </cell>
          <cell r="E135" t="str">
            <v>ចន្នា</v>
          </cell>
          <cell r="F135" t="str">
            <v>សោមចន្នា</v>
          </cell>
          <cell r="G135" t="str">
            <v>SORM</v>
          </cell>
          <cell r="H135" t="str">
            <v>CHANNA</v>
          </cell>
          <cell r="I135" t="str">
            <v>SORMCHANNA</v>
          </cell>
          <cell r="J135" t="str">
            <v>ស្រី</v>
          </cell>
          <cell r="K135">
            <v>31249</v>
          </cell>
          <cell r="L135">
            <v>42402</v>
          </cell>
        </row>
        <row r="136">
          <cell r="C136">
            <v>1486</v>
          </cell>
          <cell r="D136" t="str">
            <v>សុក</v>
          </cell>
          <cell r="E136" t="str">
            <v>រ័ត្ន</v>
          </cell>
          <cell r="F136" t="str">
            <v>សុករ័ត្ន</v>
          </cell>
          <cell r="G136" t="str">
            <v>SOK</v>
          </cell>
          <cell r="H136" t="str">
            <v>ROTH</v>
          </cell>
          <cell r="I136" t="str">
            <v>SOKROTH</v>
          </cell>
          <cell r="J136" t="str">
            <v>ស្រី</v>
          </cell>
          <cell r="K136">
            <v>33522</v>
          </cell>
          <cell r="L136">
            <v>42409</v>
          </cell>
        </row>
        <row r="137">
          <cell r="C137">
            <v>1497</v>
          </cell>
          <cell r="D137" t="str">
            <v>គង់</v>
          </cell>
          <cell r="E137" t="str">
            <v>គា</v>
          </cell>
          <cell r="F137" t="str">
            <v>គង់គា</v>
          </cell>
          <cell r="G137" t="str">
            <v>KONG</v>
          </cell>
          <cell r="H137" t="str">
            <v>KEA</v>
          </cell>
          <cell r="I137" t="str">
            <v>KONGKEA</v>
          </cell>
          <cell r="J137" t="str">
            <v>ស្រី</v>
          </cell>
          <cell r="K137">
            <v>34920</v>
          </cell>
          <cell r="L137">
            <v>42445</v>
          </cell>
        </row>
        <row r="138">
          <cell r="C138">
            <v>1505</v>
          </cell>
          <cell r="D138" t="str">
            <v>ឆឹម</v>
          </cell>
          <cell r="E138" t="str">
            <v>ម៉ុងហួត</v>
          </cell>
          <cell r="F138" t="str">
            <v>ឆឹមម៉ុងហួត</v>
          </cell>
          <cell r="G138" t="str">
            <v>CHHE</v>
          </cell>
          <cell r="H138" t="str">
            <v>MONG HOURT</v>
          </cell>
          <cell r="I138" t="str">
            <v>CHHEMONG HOURT</v>
          </cell>
          <cell r="J138" t="str">
            <v>ប្រុស</v>
          </cell>
          <cell r="K138">
            <v>25563</v>
          </cell>
          <cell r="L138">
            <v>42466</v>
          </cell>
        </row>
        <row r="139">
          <cell r="C139">
            <v>1509</v>
          </cell>
          <cell r="D139" t="str">
            <v>ញ៉យ</v>
          </cell>
          <cell r="E139" t="str">
            <v>ញឹម</v>
          </cell>
          <cell r="F139" t="str">
            <v>ញ៉យញឹម</v>
          </cell>
          <cell r="G139" t="str">
            <v>NHORY</v>
          </cell>
          <cell r="H139" t="str">
            <v>NHOEM</v>
          </cell>
          <cell r="I139" t="str">
            <v>NHORYNHOEM</v>
          </cell>
          <cell r="J139" t="str">
            <v>ស្រី</v>
          </cell>
          <cell r="K139">
            <v>33207</v>
          </cell>
          <cell r="L139">
            <v>42481</v>
          </cell>
        </row>
        <row r="140">
          <cell r="C140">
            <v>1531</v>
          </cell>
          <cell r="D140" t="str">
            <v>ផេង</v>
          </cell>
          <cell r="E140" t="str">
            <v>ដានី</v>
          </cell>
          <cell r="F140" t="str">
            <v>ផេងដានី</v>
          </cell>
          <cell r="G140" t="str">
            <v>PHENG</v>
          </cell>
          <cell r="H140" t="str">
            <v>DANY</v>
          </cell>
          <cell r="I140" t="str">
            <v>PHENGDANY</v>
          </cell>
          <cell r="J140" t="str">
            <v>ស្រី</v>
          </cell>
          <cell r="K140">
            <v>34586</v>
          </cell>
          <cell r="L140">
            <v>42523</v>
          </cell>
        </row>
        <row r="141">
          <cell r="C141">
            <v>1540</v>
          </cell>
          <cell r="D141" t="str">
            <v>នាក់</v>
          </cell>
          <cell r="E141" t="str">
            <v>ស្រីនិច្ច</v>
          </cell>
          <cell r="F141" t="str">
            <v>នាក់ស្រីនិច្ច</v>
          </cell>
          <cell r="G141" t="str">
            <v>NAK</v>
          </cell>
          <cell r="H141" t="str">
            <v>SREYNECH</v>
          </cell>
          <cell r="I141" t="str">
            <v>NAKSREYNECH</v>
          </cell>
          <cell r="J141" t="str">
            <v>ស្រី</v>
          </cell>
          <cell r="K141">
            <v>34552</v>
          </cell>
          <cell r="L141">
            <v>42528</v>
          </cell>
        </row>
        <row r="142">
          <cell r="C142">
            <v>1553</v>
          </cell>
          <cell r="D142" t="str">
            <v>សាក់</v>
          </cell>
          <cell r="E142" t="str">
            <v>ចាន់រ៉ា</v>
          </cell>
          <cell r="F142" t="str">
            <v>សាក់ចាន់រ៉ា</v>
          </cell>
          <cell r="G142" t="str">
            <v>SAK</v>
          </cell>
          <cell r="H142" t="str">
            <v>CHANRA</v>
          </cell>
          <cell r="I142" t="str">
            <v>SAKCHANRA</v>
          </cell>
          <cell r="J142" t="str">
            <v>ស្រី</v>
          </cell>
          <cell r="K142">
            <v>31240</v>
          </cell>
          <cell r="L142">
            <v>42537</v>
          </cell>
        </row>
        <row r="143">
          <cell r="C143">
            <v>1559</v>
          </cell>
          <cell r="D143" t="str">
            <v>ដៀប</v>
          </cell>
          <cell r="E143" t="str">
            <v>អន</v>
          </cell>
          <cell r="F143" t="str">
            <v>ដៀបអន</v>
          </cell>
          <cell r="G143" t="str">
            <v>DIEB</v>
          </cell>
          <cell r="H143" t="str">
            <v>ON</v>
          </cell>
          <cell r="I143" t="str">
            <v>DIEBON</v>
          </cell>
          <cell r="J143" t="str">
            <v>ស្រី</v>
          </cell>
          <cell r="K143">
            <v>31459</v>
          </cell>
          <cell r="L143">
            <v>42545</v>
          </cell>
        </row>
        <row r="144">
          <cell r="C144">
            <v>1569</v>
          </cell>
          <cell r="D144" t="str">
            <v>សន</v>
          </cell>
          <cell r="E144" t="str">
            <v>ស៊ីណាត</v>
          </cell>
          <cell r="F144" t="str">
            <v>សនស៊ីណាត</v>
          </cell>
          <cell r="G144" t="str">
            <v>SORN</v>
          </cell>
          <cell r="H144" t="str">
            <v>SINAT</v>
          </cell>
          <cell r="I144" t="str">
            <v>SORNSINAT</v>
          </cell>
          <cell r="J144" t="str">
            <v>ស្រី</v>
          </cell>
          <cell r="K144">
            <v>31659</v>
          </cell>
          <cell r="L144">
            <v>42565</v>
          </cell>
        </row>
        <row r="145">
          <cell r="C145">
            <v>1574</v>
          </cell>
          <cell r="D145" t="str">
            <v>ស៊ាង</v>
          </cell>
          <cell r="E145" t="str">
            <v>ពុទ្ធី</v>
          </cell>
          <cell r="F145" t="str">
            <v>ស៊ាងពុទ្ធី</v>
          </cell>
          <cell r="G145" t="str">
            <v xml:space="preserve">SEANG </v>
          </cell>
          <cell r="H145" t="str">
            <v>PUTHY</v>
          </cell>
          <cell r="I145" t="str">
            <v>SEANG PUTHY</v>
          </cell>
          <cell r="J145" t="str">
            <v>ស្រី</v>
          </cell>
          <cell r="K145">
            <v>33125</v>
          </cell>
          <cell r="L145">
            <v>42572</v>
          </cell>
        </row>
        <row r="146">
          <cell r="C146">
            <v>1591</v>
          </cell>
          <cell r="D146" t="str">
            <v>យួង</v>
          </cell>
          <cell r="E146" t="str">
            <v>គន្ធា</v>
          </cell>
          <cell r="F146" t="str">
            <v>យួងគន្ធា</v>
          </cell>
          <cell r="G146" t="str">
            <v>YUONG</v>
          </cell>
          <cell r="H146" t="str">
            <v>KUNTHEA</v>
          </cell>
          <cell r="I146" t="str">
            <v>YUONGKUNTHEA</v>
          </cell>
          <cell r="J146" t="str">
            <v>ស្រី</v>
          </cell>
          <cell r="K146">
            <v>31946</v>
          </cell>
          <cell r="L146">
            <v>42592</v>
          </cell>
        </row>
        <row r="147">
          <cell r="C147">
            <v>1593</v>
          </cell>
          <cell r="D147" t="str">
            <v>ប៊ុន</v>
          </cell>
          <cell r="E147" t="str">
            <v>ស្រីឃីម</v>
          </cell>
          <cell r="F147" t="str">
            <v>ប៊ុនស្រីឃីម</v>
          </cell>
          <cell r="G147" t="str">
            <v>BUN</v>
          </cell>
          <cell r="H147" t="str">
            <v>SREI  KHIM</v>
          </cell>
          <cell r="I147" t="str">
            <v>BUNSREI  KHIM</v>
          </cell>
          <cell r="J147" t="str">
            <v>ស្រី</v>
          </cell>
          <cell r="K147">
            <v>28495</v>
          </cell>
          <cell r="L147">
            <v>42597</v>
          </cell>
        </row>
        <row r="148">
          <cell r="C148">
            <v>1608</v>
          </cell>
          <cell r="D148" t="str">
            <v>យ៉ាន់</v>
          </cell>
          <cell r="E148" t="str">
            <v>ចាន់រី</v>
          </cell>
          <cell r="F148" t="str">
            <v>យ៉ាន់ចាន់រី</v>
          </cell>
          <cell r="G148" t="str">
            <v>YANN</v>
          </cell>
          <cell r="H148" t="str">
            <v>CHANRY</v>
          </cell>
          <cell r="I148" t="str">
            <v>YANNCHANRY</v>
          </cell>
          <cell r="J148" t="str">
            <v>ស្រី</v>
          </cell>
          <cell r="K148">
            <v>31124</v>
          </cell>
          <cell r="L148">
            <v>42615</v>
          </cell>
        </row>
        <row r="149">
          <cell r="C149">
            <v>1610</v>
          </cell>
          <cell r="D149" t="str">
            <v xml:space="preserve">យ៉ូន </v>
          </cell>
          <cell r="E149" t="str">
            <v>សំអឿន</v>
          </cell>
          <cell r="F149" t="str">
            <v>យ៉ូន សំអឿន</v>
          </cell>
          <cell r="G149" t="str">
            <v>YAUN</v>
          </cell>
          <cell r="H149" t="str">
            <v>SAMOEUN</v>
          </cell>
          <cell r="I149" t="str">
            <v>YAUNSAMOEUN</v>
          </cell>
          <cell r="J149" t="str">
            <v>ស្រី</v>
          </cell>
          <cell r="K149">
            <v>29710</v>
          </cell>
          <cell r="L149">
            <v>42618</v>
          </cell>
        </row>
        <row r="150">
          <cell r="C150">
            <v>1611</v>
          </cell>
          <cell r="D150" t="str">
            <v>ឃុន</v>
          </cell>
          <cell r="E150" t="str">
            <v>អ៊ុយ</v>
          </cell>
          <cell r="F150" t="str">
            <v>ឃុនអ៊ុយ</v>
          </cell>
          <cell r="G150" t="str">
            <v>KHUN</v>
          </cell>
          <cell r="H150" t="str">
            <v>UY</v>
          </cell>
          <cell r="I150" t="str">
            <v>KHUNUY</v>
          </cell>
          <cell r="J150" t="str">
            <v>ស្រី</v>
          </cell>
          <cell r="K150">
            <v>29315</v>
          </cell>
          <cell r="L150">
            <v>42615</v>
          </cell>
        </row>
        <row r="151">
          <cell r="C151">
            <v>1614</v>
          </cell>
          <cell r="D151" t="str">
            <v>តឹប</v>
          </cell>
          <cell r="E151" t="str">
            <v>ចង្រិត</v>
          </cell>
          <cell r="F151" t="str">
            <v>តឹបចង្រិត</v>
          </cell>
          <cell r="G151" t="str">
            <v>TOEB</v>
          </cell>
          <cell r="H151" t="str">
            <v>CHANGRETH</v>
          </cell>
          <cell r="I151" t="str">
            <v>TOEBCHANGRETH</v>
          </cell>
          <cell r="J151" t="str">
            <v>ស្រី</v>
          </cell>
          <cell r="K151">
            <v>33396</v>
          </cell>
          <cell r="L151">
            <v>42648</v>
          </cell>
        </row>
        <row r="152">
          <cell r="C152">
            <v>1622</v>
          </cell>
          <cell r="D152" t="str">
            <v>ឈឹម</v>
          </cell>
          <cell r="E152" t="str">
            <v>រៀម</v>
          </cell>
          <cell r="F152" t="str">
            <v>ឈឹមរៀម</v>
          </cell>
          <cell r="G152" t="str">
            <v>CHHIM</v>
          </cell>
          <cell r="H152" t="str">
            <v>REAM</v>
          </cell>
          <cell r="I152" t="str">
            <v>CHHIMREAM</v>
          </cell>
          <cell r="J152" t="str">
            <v>ស្រី</v>
          </cell>
          <cell r="K152">
            <v>26160</v>
          </cell>
          <cell r="L152">
            <v>42655</v>
          </cell>
        </row>
        <row r="153">
          <cell r="C153">
            <v>1627</v>
          </cell>
          <cell r="D153" t="str">
            <v>កូវ</v>
          </cell>
          <cell r="E153" t="str">
            <v>សាឌី</v>
          </cell>
          <cell r="F153" t="str">
            <v>កូវសាឌី</v>
          </cell>
          <cell r="G153" t="str">
            <v>KOV</v>
          </cell>
          <cell r="H153" t="str">
            <v>SADY</v>
          </cell>
          <cell r="I153" t="str">
            <v>KOVSADY</v>
          </cell>
          <cell r="J153" t="str">
            <v>ស្រី</v>
          </cell>
          <cell r="K153">
            <v>29676</v>
          </cell>
          <cell r="L153">
            <v>42656</v>
          </cell>
        </row>
        <row r="154">
          <cell r="C154">
            <v>1637</v>
          </cell>
          <cell r="D154" t="str">
            <v>ភូ</v>
          </cell>
          <cell r="E154" t="str">
            <v>ដានី</v>
          </cell>
          <cell r="F154" t="str">
            <v>ភូដានី</v>
          </cell>
          <cell r="G154" t="str">
            <v>PHOU</v>
          </cell>
          <cell r="H154" t="str">
            <v>DANY</v>
          </cell>
          <cell r="I154" t="str">
            <v>PHOUDANY</v>
          </cell>
          <cell r="J154" t="str">
            <v>ស្រី</v>
          </cell>
          <cell r="K154">
            <v>31307</v>
          </cell>
          <cell r="L154">
            <v>42656</v>
          </cell>
        </row>
        <row r="155">
          <cell r="C155">
            <v>1644</v>
          </cell>
          <cell r="D155" t="str">
            <v>សេង</v>
          </cell>
          <cell r="E155" t="str">
            <v>ណាវី</v>
          </cell>
          <cell r="F155" t="str">
            <v>សេងណាវី</v>
          </cell>
          <cell r="G155" t="str">
            <v>SENG</v>
          </cell>
          <cell r="H155" t="str">
            <v>NAVY</v>
          </cell>
          <cell r="I155" t="str">
            <v>SENGNAVY</v>
          </cell>
          <cell r="J155" t="str">
            <v>ស្រី</v>
          </cell>
          <cell r="K155">
            <v>28541</v>
          </cell>
          <cell r="L155">
            <v>42657</v>
          </cell>
        </row>
        <row r="156">
          <cell r="C156">
            <v>1648</v>
          </cell>
          <cell r="D156" t="str">
            <v>ឈឹម</v>
          </cell>
          <cell r="E156" t="str">
            <v>រត្ននា</v>
          </cell>
          <cell r="F156" t="str">
            <v>ឈឹមរត្ននា</v>
          </cell>
          <cell r="G156" t="str">
            <v>CHHOEM</v>
          </cell>
          <cell r="H156" t="str">
            <v>ROTANA</v>
          </cell>
          <cell r="I156" t="str">
            <v>CHHOEMROTANA</v>
          </cell>
          <cell r="J156" t="str">
            <v>ស្រី</v>
          </cell>
          <cell r="K156">
            <v>29691</v>
          </cell>
          <cell r="L156">
            <v>42657</v>
          </cell>
        </row>
        <row r="157">
          <cell r="C157">
            <v>1655</v>
          </cell>
          <cell r="D157" t="str">
            <v>កែ</v>
          </cell>
          <cell r="E157" t="str">
            <v>គុន្ធា</v>
          </cell>
          <cell r="F157" t="str">
            <v>កែគុន្ធា</v>
          </cell>
          <cell r="G157" t="str">
            <v>KE</v>
          </cell>
          <cell r="H157" t="str">
            <v>KUNTHEA</v>
          </cell>
          <cell r="I157" t="str">
            <v>KEKUNTHEA</v>
          </cell>
          <cell r="J157" t="str">
            <v>ស្រី</v>
          </cell>
          <cell r="K157">
            <v>30385</v>
          </cell>
          <cell r="L157">
            <v>42656</v>
          </cell>
        </row>
        <row r="158">
          <cell r="C158">
            <v>1657</v>
          </cell>
          <cell r="D158" t="str">
            <v>សុខ</v>
          </cell>
          <cell r="E158" t="str">
            <v>សីណា</v>
          </cell>
          <cell r="F158" t="str">
            <v>សុខសីណា</v>
          </cell>
          <cell r="G158" t="str">
            <v>SOK</v>
          </cell>
          <cell r="H158" t="str">
            <v>SEYNA</v>
          </cell>
          <cell r="I158" t="str">
            <v>SOKSEYNA</v>
          </cell>
          <cell r="J158" t="str">
            <v>ស្រី</v>
          </cell>
          <cell r="K158">
            <v>31058</v>
          </cell>
          <cell r="L158">
            <v>42656</v>
          </cell>
        </row>
        <row r="159">
          <cell r="C159">
            <v>1665</v>
          </cell>
          <cell r="D159" t="str">
            <v>គឹម</v>
          </cell>
          <cell r="E159" t="str">
            <v>ភារម្យ</v>
          </cell>
          <cell r="F159" t="str">
            <v>គឹមភារម្យ</v>
          </cell>
          <cell r="G159" t="str">
            <v>KIM</v>
          </cell>
          <cell r="H159" t="str">
            <v>PHEARUM</v>
          </cell>
          <cell r="I159" t="str">
            <v>KIMPHEARUM</v>
          </cell>
          <cell r="J159" t="str">
            <v>ប្រុស</v>
          </cell>
          <cell r="K159">
            <v>22819</v>
          </cell>
          <cell r="L159">
            <v>42657</v>
          </cell>
        </row>
        <row r="160">
          <cell r="C160">
            <v>1668</v>
          </cell>
          <cell r="D160" t="str">
            <v>ងួន</v>
          </cell>
          <cell r="E160" t="str">
            <v>ស៊ីណែម</v>
          </cell>
          <cell r="F160" t="str">
            <v>ងួនស៊ីណែម</v>
          </cell>
          <cell r="G160" t="str">
            <v>NGUON</v>
          </cell>
          <cell r="H160" t="str">
            <v>SINEM</v>
          </cell>
          <cell r="I160" t="str">
            <v>NGUONSINEM</v>
          </cell>
          <cell r="J160" t="str">
            <v>ស្រី</v>
          </cell>
          <cell r="K160">
            <v>28927</v>
          </cell>
          <cell r="L160">
            <v>42656</v>
          </cell>
        </row>
        <row r="161">
          <cell r="C161">
            <v>1653</v>
          </cell>
          <cell r="D161" t="str">
            <v>គ្រី</v>
          </cell>
          <cell r="E161" t="str">
            <v>ណៃវី</v>
          </cell>
          <cell r="F161" t="str">
            <v>គ្រីណៃវី</v>
          </cell>
          <cell r="G161" t="str">
            <v>KRY</v>
          </cell>
          <cell r="H161" t="str">
            <v>NAI VY</v>
          </cell>
          <cell r="I161" t="str">
            <v>KRYNAI VY</v>
          </cell>
          <cell r="J161" t="str">
            <v>ស្រី</v>
          </cell>
          <cell r="K161">
            <v>34588</v>
          </cell>
          <cell r="L161">
            <v>42656</v>
          </cell>
        </row>
        <row r="162">
          <cell r="C162">
            <v>1666</v>
          </cell>
          <cell r="D162" t="str">
            <v>រ៉េត</v>
          </cell>
          <cell r="E162" t="str">
            <v>ស្រីទូច</v>
          </cell>
          <cell r="F162" t="str">
            <v>រ៉េតស្រីទូច</v>
          </cell>
          <cell r="G162" t="str">
            <v>RET</v>
          </cell>
          <cell r="H162" t="str">
            <v>SREYTOUCH</v>
          </cell>
          <cell r="I162" t="str">
            <v>RETSREYTOUCH</v>
          </cell>
          <cell r="J162" t="str">
            <v>ស្រី</v>
          </cell>
          <cell r="K162">
            <v>29900</v>
          </cell>
          <cell r="L162">
            <v>42656</v>
          </cell>
        </row>
        <row r="163">
          <cell r="C163">
            <v>1689</v>
          </cell>
          <cell r="D163" t="str">
            <v>យ៉ែម</v>
          </cell>
          <cell r="E163" t="str">
            <v>ចាន់វាសនា</v>
          </cell>
          <cell r="F163" t="str">
            <v>យ៉ែមចាន់វាសនា</v>
          </cell>
          <cell r="G163" t="str">
            <v>YEM</v>
          </cell>
          <cell r="H163" t="str">
            <v>CHAN VEASNA</v>
          </cell>
          <cell r="I163" t="str">
            <v>YEMCHAN VEASNA</v>
          </cell>
          <cell r="J163" t="str">
            <v>ស្រី</v>
          </cell>
          <cell r="K163">
            <v>31417</v>
          </cell>
          <cell r="L163">
            <v>42657</v>
          </cell>
        </row>
        <row r="164">
          <cell r="C164">
            <v>1659</v>
          </cell>
          <cell r="D164" t="str">
            <v>ឈុន</v>
          </cell>
          <cell r="E164" t="str">
            <v>អេង</v>
          </cell>
          <cell r="F164" t="str">
            <v>ឈុនអេង</v>
          </cell>
          <cell r="G164" t="str">
            <v>CHHUN</v>
          </cell>
          <cell r="H164" t="str">
            <v>ENG</v>
          </cell>
          <cell r="I164" t="str">
            <v>CHHUNENG</v>
          </cell>
          <cell r="J164" t="str">
            <v>ស្រី</v>
          </cell>
          <cell r="K164">
            <v>33027</v>
          </cell>
          <cell r="L164">
            <v>42656</v>
          </cell>
        </row>
        <row r="165">
          <cell r="C165">
            <v>1700</v>
          </cell>
          <cell r="D165" t="str">
            <v>សូយ</v>
          </cell>
          <cell r="E165" t="str">
            <v>វ៉ាន់ឌី</v>
          </cell>
          <cell r="F165" t="str">
            <v>សូយវ៉ាន់ឌី</v>
          </cell>
          <cell r="G165" t="str">
            <v>SOUY</v>
          </cell>
          <cell r="H165" t="str">
            <v>VANDY</v>
          </cell>
          <cell r="I165" t="str">
            <v>SOUYVANDY</v>
          </cell>
          <cell r="J165" t="str">
            <v>ប្រុស</v>
          </cell>
          <cell r="K165">
            <v>31093</v>
          </cell>
          <cell r="L165">
            <v>42661</v>
          </cell>
        </row>
        <row r="166">
          <cell r="C166">
            <v>1710</v>
          </cell>
          <cell r="D166" t="str">
            <v>ប៊ុន</v>
          </cell>
          <cell r="E166" t="str">
            <v>សុខុម</v>
          </cell>
          <cell r="F166" t="str">
            <v>ប៊ុនសុខុម</v>
          </cell>
          <cell r="G166" t="str">
            <v>BUN</v>
          </cell>
          <cell r="H166" t="str">
            <v>SOKHOM</v>
          </cell>
          <cell r="I166" t="str">
            <v>BUNSOKHOM</v>
          </cell>
          <cell r="J166" t="str">
            <v>ស្រី</v>
          </cell>
          <cell r="K166">
            <v>26342</v>
          </cell>
          <cell r="L166">
            <v>42669</v>
          </cell>
        </row>
        <row r="167">
          <cell r="C167">
            <v>1711</v>
          </cell>
          <cell r="D167" t="str">
            <v>អ៊ុង</v>
          </cell>
          <cell r="E167" t="str">
            <v>ភេទ</v>
          </cell>
          <cell r="F167" t="str">
            <v>អ៊ុងភេទ</v>
          </cell>
          <cell r="G167" t="str">
            <v>UNG</v>
          </cell>
          <cell r="H167" t="str">
            <v>PHET</v>
          </cell>
          <cell r="I167" t="str">
            <v>UNGPHET</v>
          </cell>
          <cell r="J167" t="str">
            <v>ស្រី</v>
          </cell>
          <cell r="K167">
            <v>31446</v>
          </cell>
          <cell r="L167">
            <v>42665</v>
          </cell>
        </row>
        <row r="168">
          <cell r="C168">
            <v>1719</v>
          </cell>
          <cell r="D168" t="str">
            <v>ហួន</v>
          </cell>
          <cell r="E168" t="str">
            <v>ចន្ធូ</v>
          </cell>
          <cell r="F168" t="str">
            <v>ហួនចន្ធូ</v>
          </cell>
          <cell r="G168" t="str">
            <v>HUON</v>
          </cell>
          <cell r="H168" t="str">
            <v>CHANTHOU</v>
          </cell>
          <cell r="I168" t="str">
            <v>HUONCHANTHOU</v>
          </cell>
          <cell r="J168" t="str">
            <v>ស្រី</v>
          </cell>
          <cell r="K168">
            <v>33394</v>
          </cell>
          <cell r="L168">
            <v>42670</v>
          </cell>
        </row>
        <row r="169">
          <cell r="C169">
            <v>1727</v>
          </cell>
          <cell r="D169" t="str">
            <v>សុន</v>
          </cell>
          <cell r="E169" t="str">
            <v>រដ្ឋា</v>
          </cell>
          <cell r="F169" t="str">
            <v>សុនរដ្ឋា</v>
          </cell>
          <cell r="G169" t="str">
            <v>SUN</v>
          </cell>
          <cell r="H169" t="str">
            <v>RATHA</v>
          </cell>
          <cell r="I169" t="str">
            <v>SUNRATHA</v>
          </cell>
          <cell r="J169" t="str">
            <v>ស្រី</v>
          </cell>
          <cell r="K169">
            <v>32694</v>
          </cell>
          <cell r="L169">
            <v>42676</v>
          </cell>
        </row>
        <row r="170">
          <cell r="C170">
            <v>1743</v>
          </cell>
          <cell r="D170" t="str">
            <v>អោម</v>
          </cell>
          <cell r="E170" t="str">
            <v>កុសល</v>
          </cell>
          <cell r="F170" t="str">
            <v>អោមកុសល</v>
          </cell>
          <cell r="G170" t="str">
            <v>ORM</v>
          </cell>
          <cell r="H170" t="str">
            <v>KOSAL</v>
          </cell>
          <cell r="I170" t="str">
            <v>ORMKOSAL</v>
          </cell>
          <cell r="J170" t="str">
            <v>ស្រី</v>
          </cell>
          <cell r="K170">
            <v>35827</v>
          </cell>
          <cell r="L170">
            <v>42682</v>
          </cell>
        </row>
        <row r="171">
          <cell r="C171">
            <v>1747</v>
          </cell>
          <cell r="D171" t="str">
            <v>អ៊ួង</v>
          </cell>
          <cell r="E171" t="str">
            <v>សារ៉ា</v>
          </cell>
          <cell r="F171" t="str">
            <v>អ៊ួងសារ៉ា</v>
          </cell>
          <cell r="G171" t="str">
            <v>OUNG</v>
          </cell>
          <cell r="H171" t="str">
            <v>SARA</v>
          </cell>
          <cell r="I171" t="str">
            <v>OUNGSARA</v>
          </cell>
          <cell r="J171" t="str">
            <v>ស្រី</v>
          </cell>
          <cell r="K171">
            <v>30688</v>
          </cell>
          <cell r="L171">
            <v>42685</v>
          </cell>
        </row>
        <row r="172">
          <cell r="C172">
            <v>1755</v>
          </cell>
          <cell r="D172" t="str">
            <v>ជា</v>
          </cell>
          <cell r="E172" t="str">
            <v>ស្រីរត្ន័</v>
          </cell>
          <cell r="F172" t="str">
            <v>ជាស្រីរត្ន័</v>
          </cell>
          <cell r="G172" t="str">
            <v>CHEA</v>
          </cell>
          <cell r="H172" t="str">
            <v>SREYRORTH</v>
          </cell>
          <cell r="I172" t="str">
            <v>CHEASREYRORTH</v>
          </cell>
          <cell r="J172" t="str">
            <v>ស្រី</v>
          </cell>
          <cell r="K172">
            <v>33655</v>
          </cell>
          <cell r="L172">
            <v>42692</v>
          </cell>
        </row>
        <row r="173">
          <cell r="C173">
            <v>1766</v>
          </cell>
          <cell r="D173" t="str">
            <v>ចិន</v>
          </cell>
          <cell r="E173" t="str">
            <v>ផេង</v>
          </cell>
          <cell r="F173" t="str">
            <v>ចិនផេង</v>
          </cell>
          <cell r="G173" t="str">
            <v>CHIN</v>
          </cell>
          <cell r="H173" t="str">
            <v xml:space="preserve">PHENG </v>
          </cell>
          <cell r="I173" t="str">
            <v xml:space="preserve">CHINPHENG </v>
          </cell>
          <cell r="J173" t="str">
            <v>ស្រី</v>
          </cell>
          <cell r="K173">
            <v>31264</v>
          </cell>
          <cell r="L173">
            <v>42697</v>
          </cell>
        </row>
        <row r="174">
          <cell r="C174">
            <v>1728</v>
          </cell>
          <cell r="D174" t="str">
            <v>ហួរ</v>
          </cell>
          <cell r="E174" t="str">
            <v>សាវុន</v>
          </cell>
          <cell r="F174" t="str">
            <v>ហួរសាវុន</v>
          </cell>
          <cell r="G174" t="str">
            <v>HOUR</v>
          </cell>
          <cell r="H174" t="str">
            <v>SAVUN</v>
          </cell>
          <cell r="I174" t="str">
            <v>HOURSAVUN</v>
          </cell>
          <cell r="J174" t="str">
            <v>ស្រី</v>
          </cell>
          <cell r="K174">
            <v>27436</v>
          </cell>
          <cell r="L174">
            <v>42677</v>
          </cell>
        </row>
        <row r="175">
          <cell r="C175">
            <v>1779</v>
          </cell>
          <cell r="D175" t="str">
            <v>វ៉ាន់</v>
          </cell>
          <cell r="E175" t="str">
            <v>ចន្ថា</v>
          </cell>
          <cell r="F175" t="str">
            <v>វ៉ាន់ចន្ថា</v>
          </cell>
          <cell r="G175" t="str">
            <v>VANN</v>
          </cell>
          <cell r="H175" t="str">
            <v>CHANTHA</v>
          </cell>
          <cell r="I175" t="str">
            <v>VANNCHANTHA</v>
          </cell>
          <cell r="J175" t="str">
            <v>ស្រី</v>
          </cell>
          <cell r="K175">
            <v>30650</v>
          </cell>
          <cell r="L175">
            <v>42712</v>
          </cell>
        </row>
        <row r="176">
          <cell r="C176">
            <v>1793</v>
          </cell>
          <cell r="D176" t="str">
            <v>អ៊ីង</v>
          </cell>
          <cell r="E176" t="str">
            <v>ណែត</v>
          </cell>
          <cell r="F176" t="str">
            <v>អ៊ីងណែត</v>
          </cell>
          <cell r="G176" t="str">
            <v>ING</v>
          </cell>
          <cell r="H176" t="str">
            <v>NET</v>
          </cell>
          <cell r="I176" t="str">
            <v>INGNET</v>
          </cell>
          <cell r="J176" t="str">
            <v>ស្រី</v>
          </cell>
          <cell r="K176">
            <v>32725</v>
          </cell>
          <cell r="L176">
            <v>42744</v>
          </cell>
        </row>
        <row r="177">
          <cell r="C177">
            <v>1795</v>
          </cell>
          <cell r="D177" t="str">
            <v>យ៉ុង</v>
          </cell>
          <cell r="E177" t="str">
            <v>ស៊ីថាន</v>
          </cell>
          <cell r="F177" t="str">
            <v>យ៉ុងស៊ីថាន</v>
          </cell>
          <cell r="G177" t="str">
            <v xml:space="preserve">YOUNG </v>
          </cell>
          <cell r="H177" t="str">
            <v>SITHAN</v>
          </cell>
          <cell r="I177" t="str">
            <v>YOUNG SITHAN</v>
          </cell>
          <cell r="J177" t="str">
            <v>ប្រុស</v>
          </cell>
          <cell r="K177">
            <v>29426</v>
          </cell>
          <cell r="L177">
            <v>42745</v>
          </cell>
        </row>
        <row r="178">
          <cell r="C178">
            <v>1800</v>
          </cell>
          <cell r="D178" t="str">
            <v>សុខ</v>
          </cell>
          <cell r="E178" t="str">
            <v>ឌី</v>
          </cell>
          <cell r="F178" t="str">
            <v>សុខឌី</v>
          </cell>
          <cell r="G178" t="str">
            <v>SOK</v>
          </cell>
          <cell r="H178" t="str">
            <v>DY</v>
          </cell>
          <cell r="I178" t="str">
            <v>SOKDY</v>
          </cell>
          <cell r="J178" t="str">
            <v>ស្រី</v>
          </cell>
          <cell r="K178">
            <v>35374</v>
          </cell>
          <cell r="L178">
            <v>42748</v>
          </cell>
        </row>
        <row r="179">
          <cell r="C179">
            <v>1811</v>
          </cell>
          <cell r="D179" t="str">
            <v>ឌុន</v>
          </cell>
          <cell r="E179" t="str">
            <v>ហួង</v>
          </cell>
          <cell r="F179" t="str">
            <v>ឌុនហួង</v>
          </cell>
          <cell r="G179" t="str">
            <v>DUN</v>
          </cell>
          <cell r="H179" t="str">
            <v>HOUNG</v>
          </cell>
          <cell r="I179" t="str">
            <v>DUNHOUNG</v>
          </cell>
          <cell r="J179" t="str">
            <v>ស្រី</v>
          </cell>
          <cell r="K179">
            <v>35683</v>
          </cell>
          <cell r="L179">
            <v>42753</v>
          </cell>
        </row>
        <row r="180">
          <cell r="C180">
            <v>1819</v>
          </cell>
          <cell r="D180" t="str">
            <v>ភុស</v>
          </cell>
          <cell r="E180" t="str">
            <v>ស្រីពៅ</v>
          </cell>
          <cell r="F180" t="str">
            <v>ភុសស្រីពៅ</v>
          </cell>
          <cell r="G180" t="str">
            <v>PHOS</v>
          </cell>
          <cell r="H180" t="str">
            <v>SREYPOV</v>
          </cell>
          <cell r="I180" t="str">
            <v>PHOSSREYPOV</v>
          </cell>
          <cell r="J180" t="str">
            <v>ស្រី</v>
          </cell>
          <cell r="K180">
            <v>31536</v>
          </cell>
          <cell r="L180">
            <v>42758</v>
          </cell>
        </row>
        <row r="181">
          <cell r="C181">
            <v>1831</v>
          </cell>
          <cell r="D181" t="str">
            <v>គឹម</v>
          </cell>
          <cell r="E181" t="str">
            <v>យឿង</v>
          </cell>
          <cell r="F181" t="str">
            <v>គឹមយឿង</v>
          </cell>
          <cell r="G181" t="str">
            <v>KIM</v>
          </cell>
          <cell r="H181" t="str">
            <v>YOEUNG</v>
          </cell>
          <cell r="I181" t="str">
            <v>KIMYOEUNG</v>
          </cell>
          <cell r="J181" t="str">
            <v>ស្រី</v>
          </cell>
          <cell r="K181">
            <v>29637</v>
          </cell>
          <cell r="L181">
            <v>42768</v>
          </cell>
        </row>
        <row r="182">
          <cell r="C182">
            <v>1827</v>
          </cell>
          <cell r="D182" t="str">
            <v>កៅ</v>
          </cell>
          <cell r="E182" t="str">
            <v>សុធារី</v>
          </cell>
          <cell r="F182" t="str">
            <v>កៅសុធារី</v>
          </cell>
          <cell r="G182" t="str">
            <v>KAO</v>
          </cell>
          <cell r="H182" t="str">
            <v>SOTHEARY</v>
          </cell>
          <cell r="I182" t="str">
            <v>KAOSOTHEARY</v>
          </cell>
          <cell r="J182" t="str">
            <v>ស្រី</v>
          </cell>
          <cell r="K182">
            <v>31452</v>
          </cell>
          <cell r="L182">
            <v>42768</v>
          </cell>
        </row>
        <row r="183">
          <cell r="C183">
            <v>1853</v>
          </cell>
          <cell r="D183" t="str">
            <v>សុខ</v>
          </cell>
          <cell r="E183" t="str">
            <v>សក្ខិណា</v>
          </cell>
          <cell r="F183" t="str">
            <v>សុខសក្ខិណា</v>
          </cell>
          <cell r="G183" t="str">
            <v>SOK</v>
          </cell>
          <cell r="H183" t="str">
            <v>SAKHENA</v>
          </cell>
          <cell r="I183" t="str">
            <v>SOKSAKHENA</v>
          </cell>
          <cell r="J183" t="str">
            <v>ស្រី</v>
          </cell>
          <cell r="K183">
            <v>34469</v>
          </cell>
          <cell r="L183">
            <v>42797</v>
          </cell>
        </row>
        <row r="184">
          <cell r="C184">
            <v>1857</v>
          </cell>
          <cell r="D184" t="str">
            <v>សុខ</v>
          </cell>
          <cell r="E184" t="str">
            <v>កេន</v>
          </cell>
          <cell r="F184" t="str">
            <v>សុខកេន</v>
          </cell>
          <cell r="G184" t="str">
            <v>SOK</v>
          </cell>
          <cell r="H184" t="str">
            <v>KEN</v>
          </cell>
          <cell r="I184" t="str">
            <v>SOKKEN</v>
          </cell>
          <cell r="J184" t="str">
            <v>ស្រី</v>
          </cell>
          <cell r="K184">
            <v>31478</v>
          </cell>
          <cell r="L184">
            <v>42796</v>
          </cell>
        </row>
        <row r="185">
          <cell r="C185">
            <v>1861</v>
          </cell>
          <cell r="D185" t="str">
            <v>ទី</v>
          </cell>
          <cell r="E185" t="str">
            <v>មុំ</v>
          </cell>
          <cell r="F185" t="str">
            <v>ទីមុំ</v>
          </cell>
          <cell r="G185" t="str">
            <v>TY</v>
          </cell>
          <cell r="H185" t="str">
            <v>MOM</v>
          </cell>
          <cell r="I185" t="str">
            <v>TYMOM</v>
          </cell>
          <cell r="J185" t="str">
            <v>ស្រី</v>
          </cell>
          <cell r="K185">
            <v>33254</v>
          </cell>
          <cell r="L185">
            <v>42797</v>
          </cell>
        </row>
        <row r="186">
          <cell r="C186">
            <v>1874</v>
          </cell>
          <cell r="D186" t="str">
            <v>គង់</v>
          </cell>
          <cell r="E186" t="str">
            <v>សុផល</v>
          </cell>
          <cell r="F186" t="str">
            <v>គង់សុផល</v>
          </cell>
          <cell r="G186" t="str">
            <v xml:space="preserve">KONG </v>
          </cell>
          <cell r="H186" t="str">
            <v>SOPHAL</v>
          </cell>
          <cell r="I186" t="str">
            <v>KONG SOPHAL</v>
          </cell>
          <cell r="J186" t="str">
            <v>ស្រី</v>
          </cell>
          <cell r="K186">
            <v>34982</v>
          </cell>
          <cell r="L186">
            <v>42804</v>
          </cell>
        </row>
        <row r="187">
          <cell r="C187">
            <v>1886</v>
          </cell>
          <cell r="D187" t="str">
            <v>នាង</v>
          </cell>
          <cell r="E187" t="str">
            <v>ពោច</v>
          </cell>
          <cell r="F187" t="str">
            <v>នាងពោច</v>
          </cell>
          <cell r="G187" t="str">
            <v>NEANG</v>
          </cell>
          <cell r="H187" t="str">
            <v>POCH</v>
          </cell>
          <cell r="I187" t="str">
            <v>NEANGPOCH</v>
          </cell>
          <cell r="J187" t="str">
            <v>ប្រុស</v>
          </cell>
          <cell r="K187">
            <v>32759</v>
          </cell>
          <cell r="L187">
            <v>42811</v>
          </cell>
        </row>
        <row r="188">
          <cell r="C188">
            <v>1870</v>
          </cell>
          <cell r="D188" t="str">
            <v>ផាត</v>
          </cell>
          <cell r="E188" t="str">
            <v>សុ</v>
          </cell>
          <cell r="F188" t="str">
            <v>ផាតសុ</v>
          </cell>
          <cell r="G188" t="str">
            <v>PHATH</v>
          </cell>
          <cell r="H188" t="str">
            <v>SO</v>
          </cell>
          <cell r="I188" t="str">
            <v>PHATHSO</v>
          </cell>
          <cell r="J188" t="str">
            <v>ស្រី</v>
          </cell>
          <cell r="K188">
            <v>31598</v>
          </cell>
          <cell r="L188">
            <v>42801</v>
          </cell>
        </row>
        <row r="189">
          <cell r="C189">
            <v>1910</v>
          </cell>
          <cell r="D189" t="str">
            <v>ប៉ែន</v>
          </cell>
          <cell r="E189" t="str">
            <v>ចានមុន្នីរ័ត្ន</v>
          </cell>
          <cell r="F189" t="str">
            <v>ប៉ែនចានមុន្នីរ័ត្ន</v>
          </cell>
          <cell r="G189" t="str">
            <v>PEN</v>
          </cell>
          <cell r="H189" t="str">
            <v>CHANMUNIROATH</v>
          </cell>
          <cell r="I189" t="str">
            <v>PENCHANMUNIROATH</v>
          </cell>
          <cell r="J189" t="str">
            <v>ស្រី</v>
          </cell>
          <cell r="K189">
            <v>35107</v>
          </cell>
          <cell r="L189">
            <v>42828</v>
          </cell>
        </row>
        <row r="190">
          <cell r="C190">
            <v>1917</v>
          </cell>
          <cell r="D190" t="str">
            <v>សំ</v>
          </cell>
          <cell r="E190" t="str">
            <v>ភាស់</v>
          </cell>
          <cell r="F190" t="str">
            <v>សំភាស់</v>
          </cell>
          <cell r="G190" t="str">
            <v>SAM</v>
          </cell>
          <cell r="H190" t="str">
            <v>PHORS</v>
          </cell>
          <cell r="I190" t="str">
            <v>SAMPHORS</v>
          </cell>
          <cell r="J190" t="str">
            <v>ស្រី</v>
          </cell>
          <cell r="K190">
            <v>33727</v>
          </cell>
          <cell r="L190">
            <v>42845</v>
          </cell>
        </row>
        <row r="191">
          <cell r="C191">
            <v>1920</v>
          </cell>
          <cell r="D191" t="str">
            <v>ជា</v>
          </cell>
          <cell r="E191" t="str">
            <v>ស្រីនិច</v>
          </cell>
          <cell r="F191" t="str">
            <v>ជាស្រីនិច</v>
          </cell>
          <cell r="G191" t="str">
            <v>CHEA</v>
          </cell>
          <cell r="H191" t="str">
            <v>SREYNICH</v>
          </cell>
          <cell r="I191" t="str">
            <v>CHEASREYNICH</v>
          </cell>
          <cell r="J191" t="str">
            <v>ស្រី</v>
          </cell>
          <cell r="K191">
            <v>35999</v>
          </cell>
          <cell r="L191">
            <v>42846</v>
          </cell>
        </row>
        <row r="192">
          <cell r="C192">
            <v>1925</v>
          </cell>
          <cell r="D192" t="str">
            <v>កែវ</v>
          </cell>
          <cell r="E192" t="str">
            <v>ស្រីស្រស់</v>
          </cell>
          <cell r="F192" t="str">
            <v>កែវស្រីស្រស់</v>
          </cell>
          <cell r="G192" t="str">
            <v>KEO</v>
          </cell>
          <cell r="H192" t="str">
            <v>SREYSRAS</v>
          </cell>
          <cell r="I192" t="str">
            <v>KEOSREYSRAS</v>
          </cell>
          <cell r="J192" t="str">
            <v>ស្រី</v>
          </cell>
          <cell r="K192">
            <v>32417</v>
          </cell>
          <cell r="L192">
            <v>42846</v>
          </cell>
        </row>
        <row r="193">
          <cell r="C193">
            <v>1931</v>
          </cell>
          <cell r="D193" t="str">
            <v>ចាន់</v>
          </cell>
          <cell r="E193" t="str">
            <v>សុខុន</v>
          </cell>
          <cell r="F193" t="str">
            <v>ចាន់សុខុន</v>
          </cell>
          <cell r="G193" t="str">
            <v>CHAN</v>
          </cell>
          <cell r="H193" t="str">
            <v>SOKHON</v>
          </cell>
          <cell r="I193" t="str">
            <v>CHANSOKHON</v>
          </cell>
          <cell r="J193" t="str">
            <v>ស្រី</v>
          </cell>
          <cell r="K193">
            <v>29465</v>
          </cell>
          <cell r="L193">
            <v>42846</v>
          </cell>
        </row>
        <row r="194">
          <cell r="C194">
            <v>1942</v>
          </cell>
          <cell r="D194" t="str">
            <v>ពៅ</v>
          </cell>
          <cell r="E194" t="str">
            <v>សុខឃៀម</v>
          </cell>
          <cell r="F194" t="str">
            <v>ពៅសុខឃៀម</v>
          </cell>
          <cell r="G194" t="str">
            <v>POV</v>
          </cell>
          <cell r="H194" t="str">
            <v>SOKKHIEM</v>
          </cell>
          <cell r="I194" t="str">
            <v>POVSOKKHIEM</v>
          </cell>
          <cell r="J194" t="str">
            <v>ស្រី</v>
          </cell>
          <cell r="K194">
            <v>33361</v>
          </cell>
          <cell r="L194">
            <v>42847</v>
          </cell>
        </row>
        <row r="195">
          <cell r="C195">
            <v>1945</v>
          </cell>
          <cell r="D195" t="str">
            <v>នាក់</v>
          </cell>
          <cell r="E195" t="str">
            <v>វណ្ណៈ</v>
          </cell>
          <cell r="F195" t="str">
            <v>នាក់វណ្ណៈ</v>
          </cell>
          <cell r="G195" t="str">
            <v>NEAK</v>
          </cell>
          <cell r="H195" t="str">
            <v>VANNAK</v>
          </cell>
          <cell r="I195" t="str">
            <v>NEAKVANNAK</v>
          </cell>
          <cell r="J195" t="str">
            <v>ស្រី</v>
          </cell>
          <cell r="K195">
            <v>35285</v>
          </cell>
          <cell r="L195">
            <v>42849</v>
          </cell>
        </row>
        <row r="196">
          <cell r="C196">
            <v>1993</v>
          </cell>
          <cell r="D196" t="str">
            <v>ផាង</v>
          </cell>
          <cell r="E196" t="str">
            <v>គឹមលីលី</v>
          </cell>
          <cell r="F196" t="str">
            <v>ផាងគឹមលីលី</v>
          </cell>
          <cell r="G196" t="str">
            <v>PHANG</v>
          </cell>
          <cell r="H196" t="str">
            <v>KOEMLYLY</v>
          </cell>
          <cell r="I196" t="str">
            <v>PHANGKOEMLYLY</v>
          </cell>
          <cell r="J196" t="str">
            <v>ស្រី</v>
          </cell>
          <cell r="K196">
            <v>31994</v>
          </cell>
          <cell r="L196">
            <v>43709</v>
          </cell>
        </row>
        <row r="197">
          <cell r="C197">
            <v>2022</v>
          </cell>
          <cell r="D197" t="str">
            <v>រស់</v>
          </cell>
          <cell r="E197" t="str">
            <v>ហែ</v>
          </cell>
          <cell r="F197" t="str">
            <v>រស់ហែ</v>
          </cell>
          <cell r="G197" t="str">
            <v>RUOS</v>
          </cell>
          <cell r="H197" t="str">
            <v>HE</v>
          </cell>
          <cell r="I197" t="str">
            <v>RUOSHE</v>
          </cell>
          <cell r="J197" t="str">
            <v>ស្រី</v>
          </cell>
          <cell r="K197">
            <v>29219</v>
          </cell>
          <cell r="L197">
            <v>43709</v>
          </cell>
        </row>
        <row r="198">
          <cell r="C198">
            <v>2037</v>
          </cell>
          <cell r="D198" t="str">
            <v>សៀង</v>
          </cell>
          <cell r="E198" t="str">
            <v>វាសនា</v>
          </cell>
          <cell r="F198" t="str">
            <v>សៀងវាសនា</v>
          </cell>
          <cell r="G198" t="str">
            <v>SEANG</v>
          </cell>
          <cell r="H198" t="str">
            <v>VEASNA</v>
          </cell>
          <cell r="I198" t="str">
            <v>SEANGVEASNA</v>
          </cell>
          <cell r="J198" t="str">
            <v>ប្រុស</v>
          </cell>
          <cell r="K198">
            <v>31810</v>
          </cell>
          <cell r="L198">
            <v>43709</v>
          </cell>
        </row>
        <row r="199">
          <cell r="C199">
            <v>2107</v>
          </cell>
          <cell r="D199" t="str">
            <v>សារ</v>
          </cell>
          <cell r="E199" t="str">
            <v>ស្រីនួន</v>
          </cell>
          <cell r="F199" t="str">
            <v>សារស្រីនួន</v>
          </cell>
          <cell r="G199" t="str">
            <v>SA</v>
          </cell>
          <cell r="H199" t="str">
            <v>SREYNUON</v>
          </cell>
          <cell r="I199" t="str">
            <v>SASREYNUON</v>
          </cell>
          <cell r="J199" t="str">
            <v>ស្រី</v>
          </cell>
          <cell r="K199">
            <v>35705</v>
          </cell>
          <cell r="L199">
            <v>43709</v>
          </cell>
        </row>
        <row r="200">
          <cell r="C200">
            <v>2103</v>
          </cell>
          <cell r="D200" t="str">
            <v>ខុន</v>
          </cell>
          <cell r="E200" t="str">
            <v>ចន្ធូ</v>
          </cell>
          <cell r="F200" t="str">
            <v>ខុនចន្ធូ</v>
          </cell>
          <cell r="G200" t="str">
            <v>KHON</v>
          </cell>
          <cell r="H200" t="str">
            <v>CHANTHOU</v>
          </cell>
          <cell r="I200" t="str">
            <v>KHONCHANTHOU</v>
          </cell>
          <cell r="J200" t="str">
            <v>ស្រី</v>
          </cell>
          <cell r="K200">
            <v>33270</v>
          </cell>
          <cell r="L200">
            <v>43709</v>
          </cell>
        </row>
        <row r="201">
          <cell r="C201">
            <v>2043</v>
          </cell>
          <cell r="D201" t="str">
            <v>ចុង</v>
          </cell>
          <cell r="E201" t="str">
            <v>សុខជា</v>
          </cell>
          <cell r="F201" t="str">
            <v>ចុងសុខជា</v>
          </cell>
          <cell r="G201" t="str">
            <v>CHONG</v>
          </cell>
          <cell r="H201" t="str">
            <v>SOCHEA</v>
          </cell>
          <cell r="I201" t="str">
            <v>CHONGSOCHEA</v>
          </cell>
          <cell r="J201" t="str">
            <v>ស្រី</v>
          </cell>
          <cell r="K201">
            <v>34037</v>
          </cell>
          <cell r="L201">
            <v>43709</v>
          </cell>
        </row>
        <row r="202">
          <cell r="C202">
            <v>2121</v>
          </cell>
          <cell r="D202" t="str">
            <v>សាន</v>
          </cell>
          <cell r="E202" t="str">
            <v>គន្ធា</v>
          </cell>
          <cell r="F202" t="str">
            <v>សានគន្ធា</v>
          </cell>
          <cell r="G202" t="str">
            <v>SAN</v>
          </cell>
          <cell r="H202" t="str">
            <v>KUNTHEA</v>
          </cell>
          <cell r="I202" t="str">
            <v>SANKUNTHEA</v>
          </cell>
          <cell r="J202" t="str">
            <v>ស្រី</v>
          </cell>
          <cell r="K202">
            <v>32523</v>
          </cell>
          <cell r="L202">
            <v>43709</v>
          </cell>
        </row>
        <row r="203">
          <cell r="C203">
            <v>2108</v>
          </cell>
          <cell r="D203" t="str">
            <v>អេង</v>
          </cell>
          <cell r="E203" t="str">
            <v>វ៉ាន់ដា</v>
          </cell>
          <cell r="F203" t="str">
            <v>អេងវ៉ាន់ដា</v>
          </cell>
          <cell r="G203" t="str">
            <v>ENG</v>
          </cell>
          <cell r="H203" t="str">
            <v>VANNDA</v>
          </cell>
          <cell r="I203" t="str">
            <v>ENGVANNDA</v>
          </cell>
          <cell r="J203" t="str">
            <v>ស្រី</v>
          </cell>
          <cell r="K203">
            <v>31869</v>
          </cell>
          <cell r="L203">
            <v>43709</v>
          </cell>
        </row>
        <row r="204">
          <cell r="C204">
            <v>2054</v>
          </cell>
          <cell r="D204" t="str">
            <v>ហ៊ួន</v>
          </cell>
          <cell r="E204" t="str">
            <v>ជី</v>
          </cell>
          <cell r="F204" t="str">
            <v>ហ៊ួនជី</v>
          </cell>
          <cell r="G204" t="str">
            <v>HUON</v>
          </cell>
          <cell r="H204" t="str">
            <v>CHY</v>
          </cell>
          <cell r="I204" t="str">
            <v>HUONCHY</v>
          </cell>
          <cell r="J204" t="str">
            <v>ស្រី</v>
          </cell>
          <cell r="K204">
            <v>32936</v>
          </cell>
          <cell r="L204">
            <v>43709</v>
          </cell>
        </row>
        <row r="205">
          <cell r="C205">
            <v>2066</v>
          </cell>
          <cell r="D205" t="str">
            <v>ខៀវ</v>
          </cell>
          <cell r="E205" t="str">
            <v>ស្រីសួរ</v>
          </cell>
          <cell r="F205" t="str">
            <v>ខៀវស្រីសួរ</v>
          </cell>
          <cell r="G205" t="str">
            <v>KHAV</v>
          </cell>
          <cell r="H205" t="str">
            <v>SREYSOUR</v>
          </cell>
          <cell r="I205" t="str">
            <v>KHAVSREYSOUR</v>
          </cell>
          <cell r="J205" t="str">
            <v>ស្រី</v>
          </cell>
          <cell r="K205">
            <v>36193</v>
          </cell>
          <cell r="L205">
            <v>43709</v>
          </cell>
        </row>
        <row r="206">
          <cell r="C206">
            <v>2044</v>
          </cell>
          <cell r="D206" t="str">
            <v>ហេង</v>
          </cell>
          <cell r="E206" t="str">
            <v>ស្រីអូន</v>
          </cell>
          <cell r="F206" t="str">
            <v>ហេងស្រីអូន</v>
          </cell>
          <cell r="G206" t="str">
            <v>HENG</v>
          </cell>
          <cell r="H206" t="str">
            <v>SREY OUN</v>
          </cell>
          <cell r="I206" t="str">
            <v>HENGSREY OUN</v>
          </cell>
          <cell r="J206" t="str">
            <v>ស្រី</v>
          </cell>
          <cell r="K206">
            <v>31200</v>
          </cell>
          <cell r="L206">
            <v>43709</v>
          </cell>
        </row>
        <row r="207">
          <cell r="C207">
            <v>2093</v>
          </cell>
          <cell r="D207" t="str">
            <v>គ្រី</v>
          </cell>
          <cell r="E207" t="str">
            <v>ធារី</v>
          </cell>
          <cell r="F207" t="str">
            <v>គ្រីធារី</v>
          </cell>
          <cell r="G207" t="str">
            <v>KRY</v>
          </cell>
          <cell r="H207" t="str">
            <v>THEAVY</v>
          </cell>
          <cell r="I207" t="str">
            <v>KRYTHEAVY</v>
          </cell>
          <cell r="J207" t="str">
            <v>ស្រី</v>
          </cell>
          <cell r="K207">
            <v>35449</v>
          </cell>
          <cell r="L207">
            <v>43709</v>
          </cell>
        </row>
        <row r="208">
          <cell r="C208">
            <v>2112</v>
          </cell>
          <cell r="D208" t="str">
            <v>ស៊ូ</v>
          </cell>
          <cell r="E208" t="str">
            <v>ចាន់នាង</v>
          </cell>
          <cell r="F208" t="str">
            <v>ស៊ូចាន់នាង</v>
          </cell>
          <cell r="G208" t="str">
            <v>SOU</v>
          </cell>
          <cell r="H208" t="str">
            <v>CHANNEANG</v>
          </cell>
          <cell r="I208" t="str">
            <v>SOUCHANNEANG</v>
          </cell>
          <cell r="J208" t="str">
            <v>ស្រី</v>
          </cell>
          <cell r="K208">
            <v>31518</v>
          </cell>
          <cell r="L208">
            <v>43709</v>
          </cell>
        </row>
        <row r="209">
          <cell r="C209">
            <v>2127</v>
          </cell>
          <cell r="D209" t="str">
            <v>សា</v>
          </cell>
          <cell r="E209" t="str">
            <v>ស្តើង</v>
          </cell>
          <cell r="F209" t="str">
            <v>សាស្តើង</v>
          </cell>
          <cell r="G209" t="str">
            <v>SA</v>
          </cell>
          <cell r="H209" t="str">
            <v>SDOENG</v>
          </cell>
          <cell r="I209" t="str">
            <v>SASDOENG</v>
          </cell>
          <cell r="J209" t="str">
            <v>ស្រី</v>
          </cell>
          <cell r="K209">
            <v>1978</v>
          </cell>
          <cell r="L209">
            <v>43709</v>
          </cell>
        </row>
        <row r="210">
          <cell r="C210">
            <v>2130</v>
          </cell>
          <cell r="D210" t="str">
            <v>ធី</v>
          </cell>
          <cell r="E210" t="str">
            <v>ស្រីនាង</v>
          </cell>
          <cell r="F210" t="str">
            <v>ធីស្រីនាង</v>
          </cell>
          <cell r="G210" t="str">
            <v>THY</v>
          </cell>
          <cell r="H210" t="str">
            <v>SREYNEANG</v>
          </cell>
          <cell r="I210" t="str">
            <v>THYSREYNEANG</v>
          </cell>
          <cell r="J210" t="str">
            <v>ស្រី</v>
          </cell>
          <cell r="K210">
            <v>35860</v>
          </cell>
          <cell r="L210">
            <v>43709</v>
          </cell>
        </row>
        <row r="211">
          <cell r="C211">
            <v>2242</v>
          </cell>
          <cell r="D211" t="str">
            <v>វ៉ន</v>
          </cell>
          <cell r="E211" t="str">
            <v>សុភក្តិ</v>
          </cell>
          <cell r="F211" t="str">
            <v>វ៉នសុភក្តិ</v>
          </cell>
          <cell r="G211" t="str">
            <v>VORN</v>
          </cell>
          <cell r="H211" t="str">
            <v>SOPHEAK</v>
          </cell>
          <cell r="I211" t="str">
            <v>VORNSOPHEAK</v>
          </cell>
          <cell r="J211" t="str">
            <v>ស្រី</v>
          </cell>
          <cell r="K211">
            <v>34837</v>
          </cell>
          <cell r="L211">
            <v>43709</v>
          </cell>
        </row>
        <row r="212">
          <cell r="C212">
            <v>2250</v>
          </cell>
          <cell r="D212" t="str">
            <v>ស៊ាន</v>
          </cell>
          <cell r="E212" t="str">
            <v>ស្រីម៉ុន</v>
          </cell>
          <cell r="F212" t="str">
            <v>ស៊ានស្រីម៉ុន</v>
          </cell>
          <cell r="G212" t="str">
            <v>SEAN</v>
          </cell>
          <cell r="H212" t="str">
            <v>SREYMON</v>
          </cell>
          <cell r="I212" t="str">
            <v>SEANSREYMON</v>
          </cell>
          <cell r="J212" t="str">
            <v>ស្រី</v>
          </cell>
          <cell r="K212">
            <v>33856</v>
          </cell>
          <cell r="L212">
            <v>43709</v>
          </cell>
        </row>
        <row r="213">
          <cell r="C213">
            <v>2311</v>
          </cell>
          <cell r="D213" t="str">
            <v>វី</v>
          </cell>
          <cell r="E213" t="str">
            <v>ហូល</v>
          </cell>
          <cell r="F213" t="str">
            <v>វីហូល</v>
          </cell>
          <cell r="G213" t="str">
            <v>VY</v>
          </cell>
          <cell r="H213" t="str">
            <v>HOL</v>
          </cell>
          <cell r="I213" t="str">
            <v>VYHOL</v>
          </cell>
          <cell r="J213" t="str">
            <v>ស្រី</v>
          </cell>
          <cell r="K213">
            <v>35345</v>
          </cell>
          <cell r="L213">
            <v>43739</v>
          </cell>
        </row>
        <row r="214">
          <cell r="C214">
            <v>2305</v>
          </cell>
          <cell r="D214" t="str">
            <v>លាម</v>
          </cell>
          <cell r="E214" t="str">
            <v>វី</v>
          </cell>
          <cell r="F214" t="str">
            <v>លាមវី</v>
          </cell>
          <cell r="G214" t="str">
            <v>LEAM</v>
          </cell>
          <cell r="H214" t="str">
            <v>VY</v>
          </cell>
          <cell r="I214" t="str">
            <v>LEAMVY</v>
          </cell>
          <cell r="J214" t="str">
            <v>ប្រុស</v>
          </cell>
          <cell r="K214">
            <v>25691</v>
          </cell>
          <cell r="L214">
            <v>43739</v>
          </cell>
        </row>
        <row r="215">
          <cell r="C215">
            <v>2304</v>
          </cell>
          <cell r="D215" t="str">
            <v>ទឹម</v>
          </cell>
          <cell r="E215" t="str">
            <v>សុនាង</v>
          </cell>
          <cell r="F215" t="str">
            <v>ទឹមសុនាង</v>
          </cell>
          <cell r="G215" t="str">
            <v>TOEM</v>
          </cell>
          <cell r="H215" t="str">
            <v>SOTEANG</v>
          </cell>
          <cell r="I215" t="str">
            <v>TOEMSOTEANG</v>
          </cell>
          <cell r="J215" t="str">
            <v>ស្រី</v>
          </cell>
          <cell r="K215">
            <v>27881</v>
          </cell>
          <cell r="L215">
            <v>43739</v>
          </cell>
        </row>
        <row r="216">
          <cell r="C216">
            <v>2286</v>
          </cell>
          <cell r="D216" t="str">
            <v>ហ៊ុយ</v>
          </cell>
          <cell r="E216" t="str">
            <v>ឡៃហ៊ាន</v>
          </cell>
          <cell r="F216" t="str">
            <v>ហ៊ុយឡៃហ៊ាន</v>
          </cell>
          <cell r="G216" t="str">
            <v>HUY</v>
          </cell>
          <cell r="H216" t="str">
            <v>LAI HEANG</v>
          </cell>
          <cell r="I216" t="str">
            <v>HUYLAI HEANG</v>
          </cell>
          <cell r="J216" t="str">
            <v>ស្រី</v>
          </cell>
          <cell r="K216">
            <v>31491</v>
          </cell>
          <cell r="L216">
            <v>43739</v>
          </cell>
        </row>
        <row r="217">
          <cell r="C217">
            <v>2257</v>
          </cell>
          <cell r="D217" t="str">
            <v>ស៊ឹម</v>
          </cell>
          <cell r="E217" t="str">
            <v>ចាន់ដារា</v>
          </cell>
          <cell r="F217" t="str">
            <v>ស៊ឹមចាន់ដារា</v>
          </cell>
          <cell r="G217" t="str">
            <v>SOEM</v>
          </cell>
          <cell r="H217" t="str">
            <v>CHANNDARA</v>
          </cell>
          <cell r="I217" t="str">
            <v>SOEMCHANNDARA</v>
          </cell>
          <cell r="J217" t="str">
            <v>ស្រី</v>
          </cell>
          <cell r="K217">
            <v>32663</v>
          </cell>
          <cell r="L217">
            <v>43739</v>
          </cell>
        </row>
        <row r="218">
          <cell r="C218">
            <v>2325</v>
          </cell>
          <cell r="D218" t="str">
            <v>ស្រី</v>
          </cell>
          <cell r="E218" t="str">
            <v>លាង</v>
          </cell>
          <cell r="F218" t="str">
            <v>ស្រីលាង</v>
          </cell>
          <cell r="G218" t="str">
            <v>SRY</v>
          </cell>
          <cell r="H218" t="str">
            <v>LEANG</v>
          </cell>
          <cell r="I218" t="str">
            <v>SRYLEANG</v>
          </cell>
          <cell r="J218" t="str">
            <v>ប្រុស</v>
          </cell>
          <cell r="K218">
            <v>33004</v>
          </cell>
          <cell r="L218">
            <v>43770</v>
          </cell>
        </row>
        <row r="219">
          <cell r="C219">
            <v>2338</v>
          </cell>
          <cell r="D219" t="str">
            <v>ជី</v>
          </cell>
          <cell r="E219" t="str">
            <v>ស៊ីនួន</v>
          </cell>
          <cell r="F219" t="str">
            <v>ជីស៊ីនួន</v>
          </cell>
          <cell r="G219" t="str">
            <v>CHY</v>
          </cell>
          <cell r="H219" t="str">
            <v>SINOUN</v>
          </cell>
          <cell r="I219" t="str">
            <v>CHYSINOUN</v>
          </cell>
          <cell r="J219" t="str">
            <v>ស្រី</v>
          </cell>
          <cell r="K219">
            <v>34309</v>
          </cell>
          <cell r="L219">
            <v>43770</v>
          </cell>
        </row>
        <row r="220">
          <cell r="C220">
            <v>2403</v>
          </cell>
          <cell r="D220" t="str">
            <v>ផាន</v>
          </cell>
          <cell r="E220" t="str">
            <v>សុខឡាយ</v>
          </cell>
          <cell r="F220" t="str">
            <v>ផានសុខឡាយ</v>
          </cell>
          <cell r="G220" t="str">
            <v>PHAN</v>
          </cell>
          <cell r="H220" t="str">
            <v>SOKLAIY</v>
          </cell>
          <cell r="I220" t="str">
            <v>PHANSOKLAIY</v>
          </cell>
          <cell r="J220" t="str">
            <v>ស្រី</v>
          </cell>
          <cell r="K220">
            <v>35098</v>
          </cell>
          <cell r="L220">
            <v>43891</v>
          </cell>
        </row>
        <row r="221">
          <cell r="C221">
            <v>2378</v>
          </cell>
          <cell r="D221" t="str">
            <v>ម៉ៃ</v>
          </cell>
          <cell r="E221" t="str">
            <v>នី</v>
          </cell>
          <cell r="F221" t="str">
            <v>ម៉ៃនី</v>
          </cell>
          <cell r="G221" t="str">
            <v>MAI</v>
          </cell>
          <cell r="H221" t="str">
            <v>NY</v>
          </cell>
          <cell r="I221" t="str">
            <v>MAINY</v>
          </cell>
          <cell r="J221" t="str">
            <v>ស្រី</v>
          </cell>
          <cell r="K221">
            <v>31631</v>
          </cell>
          <cell r="L221">
            <v>43800</v>
          </cell>
        </row>
        <row r="222">
          <cell r="C222">
            <v>2381</v>
          </cell>
          <cell r="D222" t="str">
            <v>ស</v>
          </cell>
          <cell r="E222" t="str">
            <v>ស្រីនួន</v>
          </cell>
          <cell r="F222" t="str">
            <v>សស្រីនួន</v>
          </cell>
          <cell r="G222" t="str">
            <v>SOR</v>
          </cell>
          <cell r="H222" t="str">
            <v>SREYNUON</v>
          </cell>
          <cell r="I222" t="str">
            <v>SORSREYNUON</v>
          </cell>
          <cell r="J222" t="str">
            <v>ស្រី</v>
          </cell>
          <cell r="K222">
            <v>32615</v>
          </cell>
          <cell r="L222">
            <v>43800</v>
          </cell>
        </row>
        <row r="223">
          <cell r="C223">
            <v>2426</v>
          </cell>
          <cell r="D223" t="str">
            <v>ផុន</v>
          </cell>
          <cell r="E223" t="str">
            <v>ភារ៉ា</v>
          </cell>
          <cell r="F223" t="str">
            <v>ផុនភារ៉ា</v>
          </cell>
          <cell r="G223" t="str">
            <v>PHON</v>
          </cell>
          <cell r="H223" t="str">
            <v>PHEARA</v>
          </cell>
          <cell r="I223" t="str">
            <v>PHONPHEARA</v>
          </cell>
          <cell r="J223" t="str">
            <v>ប្រុស</v>
          </cell>
          <cell r="K223">
            <v>32516</v>
          </cell>
          <cell r="L223">
            <v>43952</v>
          </cell>
        </row>
        <row r="224">
          <cell r="C224">
            <v>2432</v>
          </cell>
          <cell r="D224" t="str">
            <v>សូត្រ</v>
          </cell>
          <cell r="E224" t="str">
            <v>ស្រីឡា</v>
          </cell>
          <cell r="F224" t="str">
            <v>សូត្រស្រីឡា</v>
          </cell>
          <cell r="G224" t="str">
            <v>Sout</v>
          </cell>
          <cell r="H224" t="str">
            <v>Sreyla</v>
          </cell>
          <cell r="I224" t="str">
            <v>SoutSreyla</v>
          </cell>
          <cell r="J224" t="str">
            <v>ស្រី</v>
          </cell>
          <cell r="K224">
            <v>30749</v>
          </cell>
          <cell r="L224">
            <v>43952</v>
          </cell>
        </row>
        <row r="225">
          <cell r="C225">
            <v>2431</v>
          </cell>
          <cell r="D225" t="str">
            <v>គ្រី</v>
          </cell>
          <cell r="E225" t="str">
            <v>ធីតា</v>
          </cell>
          <cell r="F225" t="str">
            <v>គ្រីធីតា</v>
          </cell>
          <cell r="G225" t="str">
            <v>Kry</v>
          </cell>
          <cell r="H225" t="str">
            <v>Thida</v>
          </cell>
          <cell r="I225" t="str">
            <v>KryThida</v>
          </cell>
          <cell r="J225" t="str">
            <v>ស្រី</v>
          </cell>
          <cell r="K225">
            <v>36671</v>
          </cell>
          <cell r="L225">
            <v>43952</v>
          </cell>
        </row>
        <row r="226">
          <cell r="C226">
            <v>2437</v>
          </cell>
          <cell r="D226" t="str">
            <v>ភា</v>
          </cell>
          <cell r="E226" t="str">
            <v>ភាព</v>
          </cell>
          <cell r="F226" t="str">
            <v>ភាភាព</v>
          </cell>
          <cell r="G226" t="str">
            <v>Phea</v>
          </cell>
          <cell r="H226" t="str">
            <v>Pheap</v>
          </cell>
          <cell r="I226" t="str">
            <v>PheaPheap</v>
          </cell>
          <cell r="J226" t="str">
            <v>ស្រី</v>
          </cell>
          <cell r="K226">
            <v>30483</v>
          </cell>
          <cell r="L226">
            <v>43983</v>
          </cell>
        </row>
        <row r="227">
          <cell r="C227">
            <v>2435</v>
          </cell>
          <cell r="D227" t="str">
            <v>ប៉ែន</v>
          </cell>
          <cell r="E227" t="str">
            <v>ចន្ធូ</v>
          </cell>
          <cell r="F227" t="str">
            <v>ប៉ែនចន្ធូ</v>
          </cell>
          <cell r="G227" t="str">
            <v>Pen</v>
          </cell>
          <cell r="H227" t="str">
            <v>Chanthou</v>
          </cell>
          <cell r="I227" t="str">
            <v>PenChanthou</v>
          </cell>
          <cell r="J227" t="str">
            <v>ស្រី</v>
          </cell>
          <cell r="K227">
            <v>32785</v>
          </cell>
          <cell r="L227">
            <v>43983</v>
          </cell>
        </row>
        <row r="228">
          <cell r="C228">
            <v>2444</v>
          </cell>
          <cell r="D228" t="str">
            <v>ងី</v>
          </cell>
          <cell r="E228" t="str">
            <v>ឡាឌី</v>
          </cell>
          <cell r="F228" t="str">
            <v>ងីឡាឌី</v>
          </cell>
          <cell r="G228" t="str">
            <v>Ngy</v>
          </cell>
          <cell r="H228" t="str">
            <v>Lady</v>
          </cell>
          <cell r="I228" t="str">
            <v>NgyLady</v>
          </cell>
          <cell r="J228" t="str">
            <v>ស្រី</v>
          </cell>
          <cell r="K228">
            <v>26613</v>
          </cell>
          <cell r="L228">
            <v>44013</v>
          </cell>
        </row>
        <row r="229">
          <cell r="C229">
            <v>2451</v>
          </cell>
          <cell r="D229" t="str">
            <v>លន</v>
          </cell>
          <cell r="E229" t="str">
            <v>ចន្នី</v>
          </cell>
          <cell r="F229" t="str">
            <v>លនចន្នី</v>
          </cell>
          <cell r="G229" t="str">
            <v>Lorn</v>
          </cell>
          <cell r="H229" t="str">
            <v>Channy</v>
          </cell>
          <cell r="I229" t="str">
            <v>LornChanny</v>
          </cell>
          <cell r="J229" t="str">
            <v>ស្រី</v>
          </cell>
          <cell r="K229">
            <v>32725</v>
          </cell>
          <cell r="L229">
            <v>43831</v>
          </cell>
        </row>
        <row r="230">
          <cell r="C230">
            <v>2469</v>
          </cell>
          <cell r="D230" t="str">
            <v>នាល</v>
          </cell>
          <cell r="E230" t="str">
            <v>ផល្លី</v>
          </cell>
          <cell r="F230" t="str">
            <v>នាលផល្លី</v>
          </cell>
          <cell r="G230" t="str">
            <v>Neal</v>
          </cell>
          <cell r="H230" t="str">
            <v>Phally</v>
          </cell>
          <cell r="I230" t="str">
            <v>NealPhally</v>
          </cell>
          <cell r="J230" t="str">
            <v>ស្រី</v>
          </cell>
          <cell r="K230">
            <v>30170</v>
          </cell>
          <cell r="L230">
            <v>44013</v>
          </cell>
        </row>
        <row r="231">
          <cell r="C231">
            <v>2478</v>
          </cell>
          <cell r="D231" t="str">
            <v>ទី</v>
          </cell>
          <cell r="E231" t="str">
            <v>សុភាព</v>
          </cell>
          <cell r="F231" t="str">
            <v>ទីសុភាព</v>
          </cell>
          <cell r="G231" t="str">
            <v>Teu</v>
          </cell>
          <cell r="H231" t="str">
            <v>Sopheap</v>
          </cell>
          <cell r="I231" t="str">
            <v>TeuSopheap</v>
          </cell>
          <cell r="J231" t="str">
            <v>ស្រី</v>
          </cell>
          <cell r="K231">
            <v>29373</v>
          </cell>
          <cell r="L231">
            <v>44044</v>
          </cell>
        </row>
        <row r="232">
          <cell r="C232">
            <v>2480</v>
          </cell>
          <cell r="D232" t="str">
            <v>ហ៊ឹម</v>
          </cell>
          <cell r="E232" t="str">
            <v>ស្រីវួច</v>
          </cell>
          <cell r="F232" t="str">
            <v>ហ៊ឹមស្រីវួច</v>
          </cell>
          <cell r="G232" t="str">
            <v>Hoem</v>
          </cell>
          <cell r="H232" t="str">
            <v>SreyVouch</v>
          </cell>
          <cell r="I232" t="str">
            <v>HoemSreyVouch</v>
          </cell>
          <cell r="J232" t="str">
            <v>ស្រី</v>
          </cell>
          <cell r="K232">
            <v>35888</v>
          </cell>
          <cell r="L232">
            <v>44044</v>
          </cell>
        </row>
        <row r="233">
          <cell r="C233">
            <v>2481</v>
          </cell>
          <cell r="D233" t="str">
            <v>លឹម</v>
          </cell>
          <cell r="E233" t="str">
            <v>ផល្លី</v>
          </cell>
          <cell r="F233" t="str">
            <v>លឹមផល្លី</v>
          </cell>
          <cell r="G233" t="str">
            <v>Lim</v>
          </cell>
          <cell r="H233" t="str">
            <v>Phally</v>
          </cell>
          <cell r="I233" t="str">
            <v>LimPhally</v>
          </cell>
          <cell r="J233" t="str">
            <v>ស្រី</v>
          </cell>
          <cell r="K233">
            <v>32154</v>
          </cell>
          <cell r="L233">
            <v>44044</v>
          </cell>
        </row>
        <row r="234">
          <cell r="C234">
            <v>2524</v>
          </cell>
          <cell r="D234" t="str">
            <v>ឆន</v>
          </cell>
          <cell r="E234" t="str">
            <v>ភា</v>
          </cell>
          <cell r="F234" t="str">
            <v>ឆនភា</v>
          </cell>
          <cell r="G234" t="str">
            <v>Chhan</v>
          </cell>
          <cell r="H234" t="str">
            <v>Phea</v>
          </cell>
          <cell r="I234" t="str">
            <v>ChhanPhea</v>
          </cell>
          <cell r="J234" t="str">
            <v>ស្រី</v>
          </cell>
          <cell r="K234">
            <v>29803</v>
          </cell>
          <cell r="L234">
            <v>44075</v>
          </cell>
        </row>
        <row r="235">
          <cell r="C235">
            <v>2546</v>
          </cell>
          <cell r="D235" t="str">
            <v>ផាន</v>
          </cell>
          <cell r="E235" t="str">
            <v>ង៉ា</v>
          </cell>
          <cell r="F235" t="str">
            <v>ផានង៉ា</v>
          </cell>
          <cell r="G235" t="str">
            <v>Phan</v>
          </cell>
          <cell r="H235" t="str">
            <v>Nga</v>
          </cell>
          <cell r="I235" t="str">
            <v>PhanNga</v>
          </cell>
          <cell r="J235" t="str">
            <v>ស្រី</v>
          </cell>
          <cell r="K235">
            <v>30906</v>
          </cell>
          <cell r="L235">
            <v>43952</v>
          </cell>
        </row>
        <row r="236">
          <cell r="C236">
            <v>2548</v>
          </cell>
          <cell r="D236" t="str">
            <v>លន</v>
          </cell>
          <cell r="E236" t="str">
            <v>ង៉ែត</v>
          </cell>
          <cell r="F236" t="str">
            <v>លនង៉ែត</v>
          </cell>
          <cell r="G236" t="str">
            <v>Lorn</v>
          </cell>
          <cell r="H236" t="str">
            <v>Nget</v>
          </cell>
          <cell r="I236" t="str">
            <v>LornNget</v>
          </cell>
          <cell r="J236" t="str">
            <v>ស្រី</v>
          </cell>
          <cell r="K236">
            <v>30169</v>
          </cell>
          <cell r="L236">
            <v>43952</v>
          </cell>
        </row>
        <row r="237">
          <cell r="C237">
            <v>2551</v>
          </cell>
          <cell r="D237" t="str">
            <v>សុំ</v>
          </cell>
          <cell r="E237" t="str">
            <v>ស្រីលៀ</v>
          </cell>
          <cell r="F237" t="str">
            <v>សុំស្រីលៀ</v>
          </cell>
          <cell r="G237" t="str">
            <v>Sam</v>
          </cell>
          <cell r="H237" t="str">
            <v>Sreylie</v>
          </cell>
          <cell r="I237" t="str">
            <v>SamSreylie</v>
          </cell>
          <cell r="J237" t="str">
            <v>ស្រី</v>
          </cell>
          <cell r="K237">
            <v>36770</v>
          </cell>
          <cell r="L237">
            <v>43952</v>
          </cell>
        </row>
        <row r="238">
          <cell r="C238">
            <v>2554</v>
          </cell>
          <cell r="D238" t="str">
            <v>ប៉ាត</v>
          </cell>
          <cell r="E238" t="str">
            <v>ថារ៉ាត់</v>
          </cell>
          <cell r="F238" t="str">
            <v>ប៉ាតថារ៉ាត់</v>
          </cell>
          <cell r="G238" t="str">
            <v>Pat</v>
          </cell>
          <cell r="H238" t="str">
            <v>Tharat</v>
          </cell>
          <cell r="I238" t="str">
            <v>PatTharat</v>
          </cell>
          <cell r="J238" t="str">
            <v>ប្រុស</v>
          </cell>
          <cell r="K238">
            <v>34011</v>
          </cell>
          <cell r="L238">
            <v>43952</v>
          </cell>
        </row>
        <row r="239">
          <cell r="C239">
            <v>2553</v>
          </cell>
          <cell r="D239" t="str">
            <v>វុន</v>
          </cell>
          <cell r="E239" t="str">
            <v>ស៊ីរ៉ាត់</v>
          </cell>
          <cell r="F239" t="str">
            <v>វុនស៊ីរ៉ាត់</v>
          </cell>
          <cell r="G239" t="str">
            <v>Von</v>
          </cell>
          <cell r="H239" t="str">
            <v>Sirath</v>
          </cell>
          <cell r="I239" t="str">
            <v>VonSirath</v>
          </cell>
          <cell r="J239" t="str">
            <v>ស្រី</v>
          </cell>
          <cell r="K239">
            <v>32518</v>
          </cell>
          <cell r="L239">
            <v>43952</v>
          </cell>
        </row>
        <row r="240">
          <cell r="C240">
            <v>2555</v>
          </cell>
          <cell r="D240" t="str">
            <v>ប៊ូ</v>
          </cell>
          <cell r="E240" t="str">
            <v>វ៉ាន់ណារី</v>
          </cell>
          <cell r="F240" t="str">
            <v>ប៊ូវ៉ាន់ណារី</v>
          </cell>
          <cell r="G240" t="str">
            <v>Bou</v>
          </cell>
          <cell r="H240" t="str">
            <v>Vannary</v>
          </cell>
          <cell r="I240" t="str">
            <v>BouVannary</v>
          </cell>
          <cell r="J240" t="str">
            <v>ស្រី</v>
          </cell>
          <cell r="K240">
            <v>35104</v>
          </cell>
          <cell r="L240">
            <v>43952</v>
          </cell>
        </row>
        <row r="241">
          <cell r="C241">
            <v>2566</v>
          </cell>
          <cell r="D241" t="str">
            <v>ឡេង</v>
          </cell>
          <cell r="E241" t="str">
            <v>ចិន្តា</v>
          </cell>
          <cell r="F241" t="str">
            <v>ឡេងចិន្តា</v>
          </cell>
          <cell r="G241" t="str">
            <v>LENG</v>
          </cell>
          <cell r="H241" t="str">
            <v>CHINDA</v>
          </cell>
          <cell r="I241" t="str">
            <v>LENGCHINDA</v>
          </cell>
          <cell r="J241" t="str">
            <v>ស្រី</v>
          </cell>
          <cell r="K241">
            <v>31869</v>
          </cell>
          <cell r="L241">
            <v>43983</v>
          </cell>
        </row>
        <row r="242">
          <cell r="C242">
            <v>2572</v>
          </cell>
          <cell r="D242" t="str">
            <v xml:space="preserve">ផាត </v>
          </cell>
          <cell r="E242" t="str">
            <v>ស្រីមុំ</v>
          </cell>
          <cell r="F242" t="str">
            <v>ផាត ស្រីមុំ</v>
          </cell>
          <cell r="G242" t="str">
            <v>PHATH</v>
          </cell>
          <cell r="H242" t="str">
            <v>SREYMOM</v>
          </cell>
          <cell r="I242" t="str">
            <v>PHATHSREYMOM</v>
          </cell>
          <cell r="J242" t="str">
            <v>ស្រី</v>
          </cell>
          <cell r="K242">
            <v>34397</v>
          </cell>
          <cell r="L242">
            <v>43983</v>
          </cell>
        </row>
        <row r="243">
          <cell r="C243">
            <v>2573</v>
          </cell>
          <cell r="D243" t="str">
            <v>ជី</v>
          </cell>
          <cell r="E243" t="str">
            <v>សុភ័ក្ត</v>
          </cell>
          <cell r="F243" t="str">
            <v>ជីសុភ័ក្ត</v>
          </cell>
          <cell r="G243" t="str">
            <v>Chi</v>
          </cell>
          <cell r="H243" t="str">
            <v>Sopheak</v>
          </cell>
          <cell r="I243" t="str">
            <v>ChiSopheak</v>
          </cell>
          <cell r="J243" t="str">
            <v>ប្រុស</v>
          </cell>
          <cell r="K243">
            <v>30560</v>
          </cell>
          <cell r="L243">
            <v>43983</v>
          </cell>
        </row>
        <row r="244">
          <cell r="C244">
            <v>2570</v>
          </cell>
          <cell r="D244" t="str">
            <v>សុខ</v>
          </cell>
          <cell r="E244" t="str">
            <v>សំណាង</v>
          </cell>
          <cell r="F244" t="str">
            <v>សុខសំណាង</v>
          </cell>
          <cell r="G244" t="str">
            <v>Sok</v>
          </cell>
          <cell r="H244" t="str">
            <v>Samnang</v>
          </cell>
          <cell r="I244" t="str">
            <v>SokSamnang</v>
          </cell>
          <cell r="J244" t="str">
            <v>ស្រី</v>
          </cell>
          <cell r="K244">
            <v>31603</v>
          </cell>
          <cell r="L244">
            <v>43983</v>
          </cell>
        </row>
        <row r="245">
          <cell r="C245">
            <v>2590</v>
          </cell>
          <cell r="D245" t="str">
            <v>ដូត</v>
          </cell>
          <cell r="E245" t="str">
            <v>ម៉ៅ</v>
          </cell>
          <cell r="F245" t="str">
            <v>ដូតម៉ៅ</v>
          </cell>
          <cell r="G245" t="str">
            <v>Dot</v>
          </cell>
          <cell r="H245" t="str">
            <v>Mao</v>
          </cell>
          <cell r="I245" t="str">
            <v>DotMao</v>
          </cell>
          <cell r="J245" t="str">
            <v>ស្រី</v>
          </cell>
          <cell r="K245">
            <v>32942</v>
          </cell>
          <cell r="L245">
            <v>43983</v>
          </cell>
        </row>
        <row r="246">
          <cell r="C246">
            <v>2589</v>
          </cell>
          <cell r="D246" t="str">
            <v>ទួន</v>
          </cell>
          <cell r="E246" t="str">
            <v>សាម៉ុត</v>
          </cell>
          <cell r="F246" t="str">
            <v>ទួនសាម៉ុត</v>
          </cell>
          <cell r="G246" t="str">
            <v>Tuon</v>
          </cell>
          <cell r="H246" t="str">
            <v>Samut</v>
          </cell>
          <cell r="I246" t="str">
            <v>TuonSamut</v>
          </cell>
          <cell r="J246" t="str">
            <v>ស្រី</v>
          </cell>
          <cell r="K246">
            <v>31961</v>
          </cell>
          <cell r="L246">
            <v>43983</v>
          </cell>
        </row>
        <row r="247">
          <cell r="C247">
            <v>2606</v>
          </cell>
          <cell r="D247" t="str">
            <v>ឆឹង</v>
          </cell>
          <cell r="E247" t="str">
            <v>រ៉ាយូ</v>
          </cell>
          <cell r="F247" t="str">
            <v>ឆឹងរ៉ាយូ</v>
          </cell>
          <cell r="G247" t="str">
            <v>CHHOENG</v>
          </cell>
          <cell r="H247" t="str">
            <v>RAYOU</v>
          </cell>
          <cell r="I247" t="str">
            <v>CHHOENGRAYOU</v>
          </cell>
          <cell r="J247" t="str">
            <v>ស្រី</v>
          </cell>
          <cell r="K247">
            <v>33299</v>
          </cell>
          <cell r="L247">
            <v>44013</v>
          </cell>
        </row>
        <row r="248">
          <cell r="C248">
            <v>2612</v>
          </cell>
          <cell r="D248" t="str">
            <v>អ៊ុត</v>
          </cell>
          <cell r="E248" t="str">
            <v>សូរិយា</v>
          </cell>
          <cell r="F248" t="str">
            <v>អ៊ុតសូរិយា</v>
          </cell>
          <cell r="G248" t="str">
            <v>UT</v>
          </cell>
          <cell r="H248" t="str">
            <v>SORIYA</v>
          </cell>
          <cell r="I248" t="str">
            <v>UTSORIYA</v>
          </cell>
          <cell r="J248" t="str">
            <v>ស្រី</v>
          </cell>
          <cell r="K248">
            <v>36742</v>
          </cell>
          <cell r="L248">
            <v>44013</v>
          </cell>
        </row>
        <row r="249">
          <cell r="C249">
            <v>2620</v>
          </cell>
          <cell r="D249" t="str">
            <v>យាន</v>
          </cell>
          <cell r="E249" t="str">
            <v>ឡាយ</v>
          </cell>
          <cell r="F249" t="str">
            <v>យានឡាយ</v>
          </cell>
          <cell r="G249" t="str">
            <v>Yean</v>
          </cell>
          <cell r="H249" t="str">
            <v>Lay</v>
          </cell>
          <cell r="I249" t="str">
            <v>YeanLay</v>
          </cell>
          <cell r="J249" t="str">
            <v>ស្រី</v>
          </cell>
          <cell r="K249">
            <v>31623</v>
          </cell>
          <cell r="L249">
            <v>44013</v>
          </cell>
        </row>
        <row r="250">
          <cell r="C250">
            <v>2637</v>
          </cell>
          <cell r="D250" t="str">
            <v>ឆាង</v>
          </cell>
          <cell r="E250" t="str">
            <v>សារិទ្ធ</v>
          </cell>
          <cell r="F250" t="str">
            <v>ឆាងសារិទ្ធ</v>
          </cell>
          <cell r="G250" t="str">
            <v>Chhang</v>
          </cell>
          <cell r="H250" t="str">
            <v>Sarith</v>
          </cell>
          <cell r="I250" t="str">
            <v>ChhangSarith</v>
          </cell>
          <cell r="J250" t="str">
            <v>ស្រី</v>
          </cell>
          <cell r="K250">
            <v>31696</v>
          </cell>
          <cell r="L250">
            <v>44044</v>
          </cell>
        </row>
        <row r="251">
          <cell r="C251">
            <v>2642</v>
          </cell>
          <cell r="D251" t="str">
            <v>គង់</v>
          </cell>
          <cell r="E251" t="str">
            <v>ធាវី</v>
          </cell>
          <cell r="F251" t="str">
            <v>គង់ធាវី</v>
          </cell>
          <cell r="G251" t="str">
            <v>Kong</v>
          </cell>
          <cell r="H251" t="str">
            <v>Thavy</v>
          </cell>
          <cell r="I251" t="str">
            <v>KongThavy</v>
          </cell>
          <cell r="J251" t="str">
            <v>ស្រី</v>
          </cell>
          <cell r="K251">
            <v>29838</v>
          </cell>
          <cell r="L251">
            <v>44044</v>
          </cell>
        </row>
        <row r="252">
          <cell r="C252">
            <v>2638</v>
          </cell>
          <cell r="D252" t="str">
            <v>ចន</v>
          </cell>
          <cell r="E252" t="str">
            <v>ស្រីទូច</v>
          </cell>
          <cell r="F252" t="str">
            <v>ចនស្រីទូច</v>
          </cell>
          <cell r="G252" t="str">
            <v>Chorn</v>
          </cell>
          <cell r="H252" t="str">
            <v>SreyTuch</v>
          </cell>
          <cell r="I252" t="str">
            <v>ChornSreyTuch</v>
          </cell>
          <cell r="J252" t="str">
            <v>ស្រី</v>
          </cell>
          <cell r="K252">
            <v>33407</v>
          </cell>
          <cell r="L252">
            <v>44044</v>
          </cell>
        </row>
        <row r="253">
          <cell r="C253">
            <v>2654</v>
          </cell>
          <cell r="D253" t="str">
            <v>ឃឹម</v>
          </cell>
          <cell r="E253" t="str">
            <v>នី</v>
          </cell>
          <cell r="F253" t="str">
            <v>ឃឹមនី</v>
          </cell>
          <cell r="G253" t="str">
            <v>KHIM</v>
          </cell>
          <cell r="H253" t="str">
            <v>NY</v>
          </cell>
          <cell r="I253" t="str">
            <v>KHIMNY</v>
          </cell>
          <cell r="J253" t="str">
            <v>ស្រី</v>
          </cell>
          <cell r="K253">
            <v>34061</v>
          </cell>
          <cell r="L253">
            <v>44044</v>
          </cell>
        </row>
        <row r="254">
          <cell r="C254">
            <v>2678</v>
          </cell>
          <cell r="D254" t="str">
            <v>ហេង</v>
          </cell>
          <cell r="E254" t="str">
            <v>លេង</v>
          </cell>
          <cell r="F254" t="str">
            <v>ហេងលេង</v>
          </cell>
          <cell r="G254" t="str">
            <v>HENG</v>
          </cell>
          <cell r="H254" t="str">
            <v>LENG</v>
          </cell>
          <cell r="I254" t="str">
            <v>HENGLENG</v>
          </cell>
          <cell r="J254" t="str">
            <v>ស្រី</v>
          </cell>
          <cell r="K254">
            <v>33645</v>
          </cell>
          <cell r="L254">
            <v>44044</v>
          </cell>
        </row>
        <row r="255">
          <cell r="C255">
            <v>2706</v>
          </cell>
          <cell r="D255" t="str">
            <v>ញ៉េប</v>
          </cell>
          <cell r="E255" t="str">
            <v>សំណាង</v>
          </cell>
          <cell r="F255" t="str">
            <v>ញ៉េបសំណាង</v>
          </cell>
          <cell r="G255" t="str">
            <v>Nhep</v>
          </cell>
          <cell r="H255" t="str">
            <v>Samnang</v>
          </cell>
          <cell r="I255" t="str">
            <v>NhepSamnang</v>
          </cell>
          <cell r="J255" t="str">
            <v>ស្រី</v>
          </cell>
          <cell r="K255">
            <v>35801</v>
          </cell>
          <cell r="L255">
            <v>44044</v>
          </cell>
        </row>
        <row r="256">
          <cell r="C256">
            <v>2715</v>
          </cell>
          <cell r="D256" t="str">
            <v>ប្រឹក</v>
          </cell>
          <cell r="E256" t="str">
            <v>ស្រីលាក់</v>
          </cell>
          <cell r="F256" t="str">
            <v>ប្រឹកស្រីលាក់</v>
          </cell>
          <cell r="G256" t="str">
            <v>Chroek</v>
          </cell>
          <cell r="H256" t="str">
            <v>SreyLeak</v>
          </cell>
          <cell r="I256" t="str">
            <v>ChroekSreyLeak</v>
          </cell>
          <cell r="J256" t="str">
            <v>ស្រី</v>
          </cell>
          <cell r="K256">
            <v>33727</v>
          </cell>
          <cell r="L256">
            <v>44044</v>
          </cell>
        </row>
        <row r="257">
          <cell r="C257">
            <v>2702</v>
          </cell>
          <cell r="D257" t="str">
            <v>សាន</v>
          </cell>
          <cell r="E257" t="str">
            <v>គ្រឿន</v>
          </cell>
          <cell r="F257" t="str">
            <v>សានគ្រឿន</v>
          </cell>
          <cell r="G257" t="str">
            <v>San</v>
          </cell>
          <cell r="H257" t="str">
            <v>Kroeurn</v>
          </cell>
          <cell r="I257" t="str">
            <v>SanKroeurn</v>
          </cell>
          <cell r="J257" t="str">
            <v>ស្រី</v>
          </cell>
          <cell r="K257">
            <v>30012</v>
          </cell>
          <cell r="L257">
            <v>44044</v>
          </cell>
        </row>
        <row r="258">
          <cell r="C258">
            <v>2716</v>
          </cell>
          <cell r="D258" t="str">
            <v>ទន់</v>
          </cell>
          <cell r="E258" t="str">
            <v>ចន្ដន</v>
          </cell>
          <cell r="F258" t="str">
            <v>ទន់ចន្ដន</v>
          </cell>
          <cell r="G258" t="str">
            <v>Torn</v>
          </cell>
          <cell r="H258" t="str">
            <v>ChanTorn</v>
          </cell>
          <cell r="I258" t="str">
            <v>TornChanTorn</v>
          </cell>
          <cell r="J258" t="str">
            <v>ស្រី</v>
          </cell>
          <cell r="K258">
            <v>32265</v>
          </cell>
          <cell r="L258">
            <v>44044</v>
          </cell>
        </row>
        <row r="259">
          <cell r="C259">
            <v>2695</v>
          </cell>
          <cell r="D259" t="str">
            <v>វ៉ាន់</v>
          </cell>
          <cell r="E259" t="str">
            <v>សេងហុង</v>
          </cell>
          <cell r="F259" t="str">
            <v>វ៉ាន់សេងហុង</v>
          </cell>
          <cell r="G259" t="str">
            <v>Van</v>
          </cell>
          <cell r="H259" t="str">
            <v>SengHong</v>
          </cell>
          <cell r="I259" t="str">
            <v>VanSengHong</v>
          </cell>
          <cell r="J259" t="str">
            <v>ស្រី</v>
          </cell>
          <cell r="K259">
            <v>32307</v>
          </cell>
          <cell r="L259">
            <v>44044</v>
          </cell>
        </row>
        <row r="260">
          <cell r="C260">
            <v>2697</v>
          </cell>
          <cell r="D260" t="str">
            <v>ជីវ</v>
          </cell>
          <cell r="E260" t="str">
            <v>សុខុម</v>
          </cell>
          <cell r="F260" t="str">
            <v>ជីវសុខុម</v>
          </cell>
          <cell r="G260" t="str">
            <v>Chiv</v>
          </cell>
          <cell r="H260" t="str">
            <v>SokHom</v>
          </cell>
          <cell r="I260" t="str">
            <v>ChivSokHom</v>
          </cell>
          <cell r="J260" t="str">
            <v>ស្រី</v>
          </cell>
          <cell r="K260">
            <v>32418</v>
          </cell>
          <cell r="L260">
            <v>44044</v>
          </cell>
        </row>
        <row r="261">
          <cell r="C261">
            <v>2701</v>
          </cell>
          <cell r="D261" t="str">
            <v>អ៊ាង</v>
          </cell>
          <cell r="E261" t="str">
            <v>ស្ដើង</v>
          </cell>
          <cell r="F261" t="str">
            <v>អ៊ាងស្ដើង</v>
          </cell>
          <cell r="G261" t="str">
            <v>Eang</v>
          </cell>
          <cell r="H261" t="str">
            <v>Sdoeung</v>
          </cell>
          <cell r="I261" t="str">
            <v>EangSdoeung</v>
          </cell>
          <cell r="J261" t="str">
            <v>ស្រី</v>
          </cell>
          <cell r="K261">
            <v>30532</v>
          </cell>
          <cell r="L261">
            <v>44044</v>
          </cell>
        </row>
        <row r="262">
          <cell r="C262">
            <v>2694</v>
          </cell>
          <cell r="D262" t="str">
            <v>ញាន</v>
          </cell>
          <cell r="E262" t="str">
            <v>ធារី</v>
          </cell>
          <cell r="F262" t="str">
            <v>ញានធារី</v>
          </cell>
          <cell r="G262" t="str">
            <v>Nhean</v>
          </cell>
          <cell r="H262" t="str">
            <v>TheaRy</v>
          </cell>
          <cell r="I262" t="str">
            <v>NheanTheaRy</v>
          </cell>
          <cell r="J262" t="str">
            <v>ស្រី</v>
          </cell>
          <cell r="K262">
            <v>29489</v>
          </cell>
          <cell r="L262">
            <v>44044</v>
          </cell>
        </row>
        <row r="263">
          <cell r="C263">
            <v>2679</v>
          </cell>
          <cell r="D263" t="str">
            <v>ប៉ោ</v>
          </cell>
          <cell r="E263" t="str">
            <v>ចន្ទ័តារ៉ា</v>
          </cell>
          <cell r="F263" t="str">
            <v>ប៉ោចន្ទ័តារ៉ា</v>
          </cell>
          <cell r="G263" t="str">
            <v>Por</v>
          </cell>
          <cell r="H263" t="str">
            <v>ChanDara</v>
          </cell>
          <cell r="I263" t="str">
            <v>PorChanDara</v>
          </cell>
          <cell r="J263" t="str">
            <v>ប្រុស</v>
          </cell>
          <cell r="K263">
            <v>26419</v>
          </cell>
          <cell r="L263">
            <v>44044</v>
          </cell>
        </row>
        <row r="264">
          <cell r="C264">
            <v>2649</v>
          </cell>
          <cell r="D264" t="str">
            <v>ឈាន</v>
          </cell>
          <cell r="E264" t="str">
            <v>សៅទី</v>
          </cell>
          <cell r="F264" t="str">
            <v>ឈានសៅទី</v>
          </cell>
          <cell r="G264" t="str">
            <v>Chhean</v>
          </cell>
          <cell r="H264" t="str">
            <v>SaoTy</v>
          </cell>
          <cell r="I264" t="str">
            <v>ChheanSaoTy</v>
          </cell>
          <cell r="J264" t="str">
            <v>ស្រី</v>
          </cell>
          <cell r="K264">
            <v>36558</v>
          </cell>
          <cell r="L264">
            <v>44044</v>
          </cell>
        </row>
        <row r="265">
          <cell r="C265">
            <v>2741</v>
          </cell>
          <cell r="D265" t="str">
            <v>មេន</v>
          </cell>
          <cell r="E265" t="str">
            <v>រ៉ា</v>
          </cell>
          <cell r="F265" t="str">
            <v>មេនរ៉ា</v>
          </cell>
          <cell r="G265" t="str">
            <v>MEN</v>
          </cell>
          <cell r="H265" t="str">
            <v>Ra</v>
          </cell>
          <cell r="I265" t="str">
            <v>MENRa</v>
          </cell>
          <cell r="J265" t="str">
            <v>ប្រុស</v>
          </cell>
          <cell r="K265">
            <v>34662</v>
          </cell>
          <cell r="L265">
            <v>44075</v>
          </cell>
        </row>
        <row r="266">
          <cell r="C266">
            <v>2710</v>
          </cell>
          <cell r="D266" t="str">
            <v>គង់</v>
          </cell>
          <cell r="E266" t="str">
            <v>ភឿន</v>
          </cell>
          <cell r="F266" t="str">
            <v>គង់ភឿន</v>
          </cell>
          <cell r="G266" t="str">
            <v>Kong</v>
          </cell>
          <cell r="H266" t="str">
            <v>Phoeun</v>
          </cell>
          <cell r="I266" t="str">
            <v>KongPhoeun</v>
          </cell>
          <cell r="J266" t="str">
            <v>ប្រុស</v>
          </cell>
          <cell r="K266">
            <v>29314</v>
          </cell>
          <cell r="L266">
            <v>44044</v>
          </cell>
        </row>
        <row r="267">
          <cell r="C267">
            <v>2738</v>
          </cell>
          <cell r="D267" t="str">
            <v>គីម</v>
          </cell>
          <cell r="E267" t="str">
            <v>ចន្នី</v>
          </cell>
          <cell r="F267" t="str">
            <v>គីមចន្នី</v>
          </cell>
          <cell r="G267" t="str">
            <v>Kim</v>
          </cell>
          <cell r="H267" t="str">
            <v>ChanNy</v>
          </cell>
          <cell r="I267" t="str">
            <v>KimChanNy</v>
          </cell>
          <cell r="J267" t="str">
            <v>ស្រី</v>
          </cell>
          <cell r="K267">
            <v>32987</v>
          </cell>
          <cell r="L267">
            <v>44044</v>
          </cell>
        </row>
        <row r="268">
          <cell r="C268">
            <v>2732</v>
          </cell>
          <cell r="D268" t="str">
            <v>សេង</v>
          </cell>
          <cell r="E268" t="str">
            <v>ឌី</v>
          </cell>
          <cell r="F268" t="str">
            <v>សេងឌី</v>
          </cell>
          <cell r="G268" t="str">
            <v>Seng</v>
          </cell>
          <cell r="H268" t="str">
            <v>Dy</v>
          </cell>
          <cell r="I268" t="str">
            <v>SengDy</v>
          </cell>
          <cell r="J268" t="str">
            <v>ស្រី</v>
          </cell>
          <cell r="K268">
            <v>34532</v>
          </cell>
          <cell r="L268">
            <v>44044</v>
          </cell>
        </row>
        <row r="269">
          <cell r="C269">
            <v>2731</v>
          </cell>
          <cell r="D269" t="str">
            <v>សេង</v>
          </cell>
          <cell r="E269" t="str">
            <v>សុខទី</v>
          </cell>
          <cell r="F269" t="str">
            <v>សេងសុខទី</v>
          </cell>
          <cell r="G269" t="str">
            <v>Seng</v>
          </cell>
          <cell r="H269" t="str">
            <v>SokNy</v>
          </cell>
          <cell r="I269" t="str">
            <v>SengSokNy</v>
          </cell>
          <cell r="J269" t="str">
            <v>ស្រី</v>
          </cell>
          <cell r="K269">
            <v>34700</v>
          </cell>
          <cell r="L269">
            <v>44044</v>
          </cell>
        </row>
        <row r="270">
          <cell r="C270">
            <v>2756</v>
          </cell>
          <cell r="D270" t="str">
            <v>សុខ</v>
          </cell>
          <cell r="E270" t="str">
            <v>អ៊ូខុង</v>
          </cell>
          <cell r="F270" t="str">
            <v>សុខអ៊ូខុង</v>
          </cell>
          <cell r="G270" t="str">
            <v>Sok</v>
          </cell>
          <cell r="H270" t="str">
            <v>OunKhong</v>
          </cell>
          <cell r="I270" t="str">
            <v>SokOunKhong</v>
          </cell>
          <cell r="J270" t="str">
            <v>ប្រុស</v>
          </cell>
          <cell r="K270">
            <v>36780</v>
          </cell>
          <cell r="L270">
            <v>44075</v>
          </cell>
        </row>
        <row r="271">
          <cell r="C271">
            <v>2780</v>
          </cell>
          <cell r="D271" t="str">
            <v>ប៉ោង</v>
          </cell>
          <cell r="E271" t="str">
            <v>មករា</v>
          </cell>
          <cell r="F271" t="str">
            <v>ប៉ោងមករា</v>
          </cell>
          <cell r="G271" t="str">
            <v>PHON</v>
          </cell>
          <cell r="H271" t="str">
            <v>CHHON LY</v>
          </cell>
          <cell r="I271" t="str">
            <v>PHONCHHON LY</v>
          </cell>
          <cell r="J271" t="str">
            <v>ស្រី</v>
          </cell>
          <cell r="K271">
            <v>32911</v>
          </cell>
          <cell r="L271">
            <v>44075</v>
          </cell>
        </row>
        <row r="272">
          <cell r="C272">
            <v>2767</v>
          </cell>
          <cell r="D272" t="str">
            <v>សី</v>
          </cell>
          <cell r="E272" t="str">
            <v>សារុន</v>
          </cell>
          <cell r="F272" t="str">
            <v>សីសារុន</v>
          </cell>
          <cell r="G272" t="str">
            <v>Sey</v>
          </cell>
          <cell r="H272" t="str">
            <v>Sarun</v>
          </cell>
          <cell r="I272" t="str">
            <v>SeySarun</v>
          </cell>
          <cell r="J272" t="str">
            <v>ប្រុស</v>
          </cell>
          <cell r="K272">
            <v>32278</v>
          </cell>
          <cell r="L272">
            <v>44075</v>
          </cell>
        </row>
        <row r="273">
          <cell r="C273">
            <v>2703</v>
          </cell>
          <cell r="D273" t="str">
            <v>ម៉ា</v>
          </cell>
          <cell r="E273" t="str">
            <v>គន្ធា</v>
          </cell>
          <cell r="F273" t="str">
            <v>ម៉ាគន្ធា</v>
          </cell>
          <cell r="G273" t="str">
            <v>Mao</v>
          </cell>
          <cell r="H273" t="str">
            <v>KunThea</v>
          </cell>
          <cell r="I273" t="str">
            <v>MaoKunThea</v>
          </cell>
          <cell r="J273" t="str">
            <v>ស្រី</v>
          </cell>
          <cell r="K273">
            <v>33364</v>
          </cell>
          <cell r="L273">
            <v>44044</v>
          </cell>
        </row>
        <row r="274">
          <cell r="C274">
            <v>2808</v>
          </cell>
          <cell r="D274" t="str">
            <v>ស៊ា</v>
          </cell>
          <cell r="E274" t="str">
            <v>សៀកឡាយ</v>
          </cell>
          <cell r="F274" t="str">
            <v>ស៊ាសៀកឡាយ</v>
          </cell>
          <cell r="G274" t="str">
            <v>Sean</v>
          </cell>
          <cell r="H274" t="str">
            <v>SiekLay</v>
          </cell>
          <cell r="I274" t="str">
            <v>SeanSiekLay</v>
          </cell>
          <cell r="J274" t="str">
            <v>ស្រី</v>
          </cell>
          <cell r="K274">
            <v>32731</v>
          </cell>
          <cell r="L274">
            <v>43922</v>
          </cell>
        </row>
        <row r="275">
          <cell r="C275">
            <v>2838</v>
          </cell>
          <cell r="D275" t="str">
            <v>អ៉ីង</v>
          </cell>
          <cell r="E275" t="str">
            <v>ង៉ន</v>
          </cell>
          <cell r="F275" t="str">
            <v>អ៉ីងង៉ន</v>
          </cell>
          <cell r="G275" t="str">
            <v>Ing</v>
          </cell>
          <cell r="H275" t="str">
            <v>Ngorn</v>
          </cell>
          <cell r="I275" t="str">
            <v>IngNgorn</v>
          </cell>
          <cell r="J275" t="str">
            <v>ស្រី</v>
          </cell>
          <cell r="K275">
            <v>28250</v>
          </cell>
          <cell r="L275">
            <v>43952</v>
          </cell>
        </row>
        <row r="276">
          <cell r="C276">
            <v>2866</v>
          </cell>
          <cell r="D276" t="str">
            <v>កែវ</v>
          </cell>
          <cell r="E276" t="str">
            <v>សាមី</v>
          </cell>
          <cell r="F276" t="str">
            <v>កែវសាមី</v>
          </cell>
          <cell r="G276" t="str">
            <v>Keo</v>
          </cell>
          <cell r="H276" t="str">
            <v>Sami</v>
          </cell>
          <cell r="I276" t="str">
            <v>KeoSami</v>
          </cell>
          <cell r="J276" t="str">
            <v>ស្រី</v>
          </cell>
          <cell r="K276">
            <v>31111</v>
          </cell>
          <cell r="L276">
            <v>43952</v>
          </cell>
        </row>
        <row r="277">
          <cell r="C277">
            <v>2850</v>
          </cell>
          <cell r="D277" t="str">
            <v>ស៊ាន</v>
          </cell>
          <cell r="E277" t="str">
            <v>សុខម៉ៃ</v>
          </cell>
          <cell r="F277" t="str">
            <v>ស៊ានសុខម៉ៃ</v>
          </cell>
          <cell r="G277" t="str">
            <v>Sean</v>
          </cell>
          <cell r="H277" t="str">
            <v>SokMai</v>
          </cell>
          <cell r="I277" t="str">
            <v>SeanSokMai</v>
          </cell>
          <cell r="J277" t="str">
            <v>ស្រី</v>
          </cell>
          <cell r="K277">
            <v>33669</v>
          </cell>
          <cell r="L277">
            <v>43952</v>
          </cell>
        </row>
        <row r="278">
          <cell r="C278">
            <v>2852</v>
          </cell>
          <cell r="D278" t="str">
            <v>ឃាង</v>
          </cell>
          <cell r="E278" t="str">
            <v>ធារិត</v>
          </cell>
          <cell r="F278" t="str">
            <v>ឃាងធារិត</v>
          </cell>
          <cell r="G278" t="str">
            <v>Kheang</v>
          </cell>
          <cell r="H278" t="str">
            <v>Thearit</v>
          </cell>
          <cell r="I278" t="str">
            <v>KheangThearit</v>
          </cell>
          <cell r="J278" t="str">
            <v>ស្រី</v>
          </cell>
          <cell r="K278">
            <v>31582</v>
          </cell>
          <cell r="L278">
            <v>43952</v>
          </cell>
        </row>
        <row r="279">
          <cell r="C279">
            <v>2827</v>
          </cell>
          <cell r="D279" t="str">
            <v>គុយ</v>
          </cell>
          <cell r="E279" t="str">
            <v>ខ្លី</v>
          </cell>
          <cell r="F279" t="str">
            <v>គុយខ្លី</v>
          </cell>
          <cell r="G279" t="str">
            <v>Kuy</v>
          </cell>
          <cell r="H279" t="str">
            <v>Khley</v>
          </cell>
          <cell r="I279" t="str">
            <v>KuyKhley</v>
          </cell>
          <cell r="J279" t="str">
            <v>ស្រី</v>
          </cell>
          <cell r="K279">
            <v>31328</v>
          </cell>
          <cell r="L279">
            <v>43952</v>
          </cell>
        </row>
        <row r="280">
          <cell r="C280">
            <v>2844</v>
          </cell>
          <cell r="D280" t="str">
            <v>គឹម</v>
          </cell>
          <cell r="E280" t="str">
            <v>ចាន់នាង</v>
          </cell>
          <cell r="F280" t="str">
            <v>គឹមចាន់នាង</v>
          </cell>
          <cell r="G280" t="str">
            <v>Koem</v>
          </cell>
          <cell r="H280" t="str">
            <v>Channeang</v>
          </cell>
          <cell r="I280" t="str">
            <v>KoemChanneang</v>
          </cell>
          <cell r="J280" t="str">
            <v>ស្រី</v>
          </cell>
          <cell r="K280">
            <v>31933</v>
          </cell>
          <cell r="L280">
            <v>43952</v>
          </cell>
        </row>
        <row r="281">
          <cell r="C281">
            <v>2843</v>
          </cell>
          <cell r="D281" t="str">
            <v>ភូ</v>
          </cell>
          <cell r="E281" t="str">
            <v>សោភា</v>
          </cell>
          <cell r="F281" t="str">
            <v>ភូសោភា</v>
          </cell>
          <cell r="G281" t="str">
            <v>Pho</v>
          </cell>
          <cell r="H281" t="str">
            <v>SorPhea</v>
          </cell>
          <cell r="I281" t="str">
            <v>PhoSorPhea</v>
          </cell>
          <cell r="J281" t="str">
            <v>ស្រី</v>
          </cell>
          <cell r="K281">
            <v>31923</v>
          </cell>
          <cell r="L281">
            <v>43952</v>
          </cell>
        </row>
        <row r="282">
          <cell r="C282">
            <v>2853</v>
          </cell>
          <cell r="D282" t="str">
            <v>ទឺ</v>
          </cell>
          <cell r="E282" t="str">
            <v>ធារ៉ា</v>
          </cell>
          <cell r="F282" t="str">
            <v>ទឺធារ៉ា</v>
          </cell>
          <cell r="G282" t="str">
            <v>Teu</v>
          </cell>
          <cell r="H282" t="str">
            <v>Theara</v>
          </cell>
          <cell r="I282" t="str">
            <v>TeuTheara</v>
          </cell>
          <cell r="J282" t="str">
            <v>ប្រុស</v>
          </cell>
          <cell r="K282">
            <v>30225</v>
          </cell>
          <cell r="L282">
            <v>43952</v>
          </cell>
        </row>
        <row r="283">
          <cell r="C283">
            <v>2840</v>
          </cell>
          <cell r="D283" t="str">
            <v>ឈន់</v>
          </cell>
          <cell r="E283" t="str">
            <v>ស៊ាងអូន</v>
          </cell>
          <cell r="F283" t="str">
            <v>ឈន់ស៊ាងអូន</v>
          </cell>
          <cell r="G283" t="str">
            <v>Chhorn</v>
          </cell>
          <cell r="H283" t="str">
            <v>SeangOun</v>
          </cell>
          <cell r="I283" t="str">
            <v>ChhornSeangOun</v>
          </cell>
          <cell r="J283" t="str">
            <v>ប្រុស</v>
          </cell>
          <cell r="K283">
            <v>35349</v>
          </cell>
          <cell r="L283">
            <v>43952</v>
          </cell>
        </row>
        <row r="284">
          <cell r="C284">
            <v>2847</v>
          </cell>
          <cell r="D284" t="str">
            <v>សុន</v>
          </cell>
          <cell r="E284" t="str">
            <v>សាវី</v>
          </cell>
          <cell r="F284" t="str">
            <v>សុនសាវី</v>
          </cell>
          <cell r="G284" t="str">
            <v>Sun</v>
          </cell>
          <cell r="H284" t="str">
            <v>Savy</v>
          </cell>
          <cell r="I284" t="str">
            <v>SunSavy</v>
          </cell>
          <cell r="J284" t="str">
            <v>ស្រី</v>
          </cell>
          <cell r="K284">
            <v>35747</v>
          </cell>
          <cell r="L284">
            <v>43952</v>
          </cell>
        </row>
        <row r="285">
          <cell r="C285">
            <v>2851</v>
          </cell>
          <cell r="D285" t="str">
            <v>ផាង</v>
          </cell>
          <cell r="E285" t="str">
            <v>ហ៊ុយ</v>
          </cell>
          <cell r="F285" t="str">
            <v>ផាងហ៊ុយ</v>
          </cell>
          <cell r="G285" t="str">
            <v>Phang</v>
          </cell>
          <cell r="H285" t="str">
            <v>Huy</v>
          </cell>
          <cell r="I285" t="str">
            <v>PhangHuy</v>
          </cell>
          <cell r="J285" t="str">
            <v>ប្រុស</v>
          </cell>
          <cell r="K285">
            <v>35160</v>
          </cell>
          <cell r="L285">
            <v>43952</v>
          </cell>
        </row>
        <row r="286">
          <cell r="C286">
            <v>2857</v>
          </cell>
          <cell r="D286" t="str">
            <v>ដាន់</v>
          </cell>
          <cell r="E286" t="str">
            <v>ហៃ</v>
          </cell>
          <cell r="F286" t="str">
            <v>ដាន់ហៃ</v>
          </cell>
          <cell r="G286" t="str">
            <v>Dan</v>
          </cell>
          <cell r="H286" t="str">
            <v>Hay</v>
          </cell>
          <cell r="I286" t="str">
            <v>DanHay</v>
          </cell>
          <cell r="J286" t="str">
            <v>ស្រី</v>
          </cell>
          <cell r="K286">
            <v>23961</v>
          </cell>
          <cell r="L286">
            <v>43952</v>
          </cell>
        </row>
        <row r="287">
          <cell r="C287">
            <v>2833</v>
          </cell>
          <cell r="D287" t="str">
            <v>ឈូក</v>
          </cell>
          <cell r="E287" t="str">
            <v>វន្ធី</v>
          </cell>
          <cell r="F287" t="str">
            <v>ឈូកវន្ធី</v>
          </cell>
          <cell r="G287" t="str">
            <v>Chhouk</v>
          </cell>
          <cell r="H287" t="str">
            <v>Vanthy</v>
          </cell>
          <cell r="I287" t="str">
            <v>ChhoukVanthy</v>
          </cell>
          <cell r="J287" t="str">
            <v>ស្រី</v>
          </cell>
          <cell r="K287">
            <v>32253</v>
          </cell>
          <cell r="L287">
            <v>43952</v>
          </cell>
        </row>
        <row r="288">
          <cell r="C288">
            <v>2890</v>
          </cell>
          <cell r="D288" t="str">
            <v>សៅ</v>
          </cell>
          <cell r="E288" t="str">
            <v>តាប់</v>
          </cell>
          <cell r="F288" t="str">
            <v>សៅតាប់</v>
          </cell>
          <cell r="G288" t="str">
            <v>Sao</v>
          </cell>
          <cell r="H288" t="str">
            <v>Tap</v>
          </cell>
          <cell r="I288" t="str">
            <v>SaoTap</v>
          </cell>
          <cell r="J288" t="str">
            <v>ប្រុស</v>
          </cell>
          <cell r="K288">
            <v>34920</v>
          </cell>
          <cell r="L288">
            <v>43952</v>
          </cell>
        </row>
        <row r="289">
          <cell r="C289">
            <v>2885</v>
          </cell>
          <cell r="D289" t="str">
            <v>ឆេរ</v>
          </cell>
          <cell r="E289" t="str">
            <v>ភ័ស្ដ</v>
          </cell>
          <cell r="F289" t="str">
            <v>ឆេរភ័ស្ដ</v>
          </cell>
          <cell r="G289" t="str">
            <v>Chheor</v>
          </cell>
          <cell r="H289" t="str">
            <v>Phors</v>
          </cell>
          <cell r="I289" t="str">
            <v>ChheorPhors</v>
          </cell>
          <cell r="J289" t="str">
            <v>ស្រី</v>
          </cell>
          <cell r="K289">
            <v>36861</v>
          </cell>
          <cell r="L289">
            <v>43952</v>
          </cell>
        </row>
        <row r="290">
          <cell r="C290">
            <v>2906</v>
          </cell>
          <cell r="D290" t="str">
            <v>ង៉ែត</v>
          </cell>
          <cell r="E290" t="str">
            <v>ច្រិប</v>
          </cell>
          <cell r="F290" t="str">
            <v>ង៉ែតច្រិប</v>
          </cell>
          <cell r="G290" t="str">
            <v>Nget</v>
          </cell>
          <cell r="H290" t="str">
            <v>Chep</v>
          </cell>
          <cell r="I290" t="str">
            <v>NgetChep</v>
          </cell>
          <cell r="J290" t="str">
            <v>ស្រី</v>
          </cell>
          <cell r="K290">
            <v>25684</v>
          </cell>
          <cell r="L290">
            <v>43952</v>
          </cell>
        </row>
        <row r="291">
          <cell r="C291">
            <v>2909</v>
          </cell>
          <cell r="D291" t="str">
            <v>សែម</v>
          </cell>
          <cell r="E291" t="str">
            <v>សាវេត</v>
          </cell>
          <cell r="F291" t="str">
            <v>សែមសាវេត</v>
          </cell>
          <cell r="G291" t="str">
            <v>Sem</v>
          </cell>
          <cell r="H291" t="str">
            <v>Savet</v>
          </cell>
          <cell r="I291" t="str">
            <v>SemSavet</v>
          </cell>
          <cell r="J291" t="str">
            <v>ស្រី</v>
          </cell>
          <cell r="K291">
            <v>30323</v>
          </cell>
          <cell r="L291">
            <v>43983</v>
          </cell>
        </row>
        <row r="292">
          <cell r="C292">
            <v>2887</v>
          </cell>
          <cell r="D292" t="str">
            <v xml:space="preserve">តឹម </v>
          </cell>
          <cell r="E292" t="str">
            <v>ភាង</v>
          </cell>
          <cell r="F292" t="str">
            <v>តឹម ភាង</v>
          </cell>
          <cell r="G292" t="str">
            <v>Toeb</v>
          </cell>
          <cell r="H292" t="str">
            <v>Pheang</v>
          </cell>
          <cell r="I292" t="str">
            <v>ToebPheang</v>
          </cell>
          <cell r="J292" t="str">
            <v>ស្រី</v>
          </cell>
          <cell r="K292">
            <v>31140</v>
          </cell>
          <cell r="L292">
            <v>43952</v>
          </cell>
        </row>
        <row r="293">
          <cell r="C293">
            <v>2897</v>
          </cell>
          <cell r="D293" t="str">
            <v>ឌឿ</v>
          </cell>
          <cell r="E293" t="str">
            <v>សុខន</v>
          </cell>
          <cell r="F293" t="str">
            <v>ឌឿសុខន</v>
          </cell>
          <cell r="G293" t="str">
            <v>Doeur</v>
          </cell>
          <cell r="H293" t="str">
            <v>Sokhan</v>
          </cell>
          <cell r="I293" t="str">
            <v>DoeurSokhan</v>
          </cell>
          <cell r="J293" t="str">
            <v>ស្រី</v>
          </cell>
          <cell r="K293">
            <v>31505</v>
          </cell>
          <cell r="L293">
            <v>43952</v>
          </cell>
        </row>
        <row r="294">
          <cell r="C294">
            <v>2898</v>
          </cell>
          <cell r="D294" t="str">
            <v>ប៉ែន</v>
          </cell>
          <cell r="E294" t="str">
            <v>ស្រីនូ</v>
          </cell>
          <cell r="F294" t="str">
            <v>ប៉ែនស្រីនូ</v>
          </cell>
          <cell r="G294" t="str">
            <v>Pen</v>
          </cell>
          <cell r="H294" t="str">
            <v>SreyNo</v>
          </cell>
          <cell r="I294" t="str">
            <v>PenSreyNo</v>
          </cell>
          <cell r="J294" t="str">
            <v>ស្រី</v>
          </cell>
          <cell r="K294">
            <v>36267</v>
          </cell>
          <cell r="L294">
            <v>43952</v>
          </cell>
        </row>
        <row r="295">
          <cell r="C295">
            <v>2920</v>
          </cell>
          <cell r="D295" t="str">
            <v>ញិល</v>
          </cell>
          <cell r="E295" t="str">
            <v>សុនា</v>
          </cell>
          <cell r="F295" t="str">
            <v>ញិលសុនា</v>
          </cell>
          <cell r="G295" t="str">
            <v>Nhil</v>
          </cell>
          <cell r="H295" t="str">
            <v>Sonea</v>
          </cell>
          <cell r="I295" t="str">
            <v>NhilSonea</v>
          </cell>
          <cell r="J295" t="str">
            <v>ប្រុស</v>
          </cell>
          <cell r="K295">
            <v>30898</v>
          </cell>
          <cell r="L295">
            <v>43983</v>
          </cell>
        </row>
        <row r="296">
          <cell r="C296">
            <v>2883</v>
          </cell>
          <cell r="D296" t="str">
            <v>ឡាយ</v>
          </cell>
          <cell r="E296" t="str">
            <v>ពៅ</v>
          </cell>
          <cell r="F296" t="str">
            <v>ឡាយពៅ</v>
          </cell>
          <cell r="G296" t="str">
            <v>Lay</v>
          </cell>
          <cell r="H296" t="str">
            <v>Pov</v>
          </cell>
          <cell r="I296" t="str">
            <v>LayPov</v>
          </cell>
          <cell r="J296" t="str">
            <v>ស្រី</v>
          </cell>
          <cell r="K296">
            <v>31140</v>
          </cell>
          <cell r="L296">
            <v>43952</v>
          </cell>
        </row>
        <row r="297">
          <cell r="C297">
            <v>2882</v>
          </cell>
          <cell r="D297" t="str">
            <v>យ៉ែម</v>
          </cell>
          <cell r="E297" t="str">
            <v>សុខ</v>
          </cell>
          <cell r="F297" t="str">
            <v>យ៉ែមសុខ</v>
          </cell>
          <cell r="G297" t="str">
            <v>Yem</v>
          </cell>
          <cell r="H297" t="str">
            <v>Sok</v>
          </cell>
          <cell r="I297" t="str">
            <v>YemSok</v>
          </cell>
          <cell r="J297" t="str">
            <v>ប្រុស</v>
          </cell>
          <cell r="K297">
            <v>30392</v>
          </cell>
          <cell r="L297">
            <v>43952</v>
          </cell>
        </row>
        <row r="298">
          <cell r="C298">
            <v>2834</v>
          </cell>
          <cell r="D298" t="str">
            <v>ទិត</v>
          </cell>
          <cell r="E298" t="str">
            <v>សាវឿន</v>
          </cell>
          <cell r="F298" t="str">
            <v>ទិតសាវឿន</v>
          </cell>
          <cell r="G298" t="str">
            <v>Tet</v>
          </cell>
          <cell r="H298" t="str">
            <v>Savoeun</v>
          </cell>
          <cell r="I298" t="str">
            <v>TetSavoeun</v>
          </cell>
          <cell r="J298" t="str">
            <v>ស្រី</v>
          </cell>
          <cell r="K298">
            <v>33793</v>
          </cell>
          <cell r="L298">
            <v>43952</v>
          </cell>
        </row>
        <row r="299">
          <cell r="C299">
            <v>2943</v>
          </cell>
          <cell r="D299" t="str">
            <v>ផ្លេក</v>
          </cell>
          <cell r="E299" t="str">
            <v>ច្រឹប</v>
          </cell>
          <cell r="F299" t="str">
            <v>ផ្លេកច្រឹប</v>
          </cell>
          <cell r="G299" t="str">
            <v xml:space="preserve">Phlek </v>
          </cell>
          <cell r="H299" t="str">
            <v>Chreob</v>
          </cell>
          <cell r="I299" t="str">
            <v>Phlek Chreob</v>
          </cell>
          <cell r="J299" t="str">
            <v>ស្រី</v>
          </cell>
          <cell r="K299">
            <v>29405</v>
          </cell>
          <cell r="L299">
            <v>43983</v>
          </cell>
        </row>
        <row r="300">
          <cell r="C300">
            <v>2933</v>
          </cell>
          <cell r="D300" t="str">
            <v>ឈន</v>
          </cell>
          <cell r="E300" t="str">
            <v>វ៉ៃ</v>
          </cell>
          <cell r="F300" t="str">
            <v>ឈនវ៉ៃ</v>
          </cell>
          <cell r="G300" t="str">
            <v>chhorn</v>
          </cell>
          <cell r="H300" t="str">
            <v>Vay</v>
          </cell>
          <cell r="I300" t="str">
            <v>chhornVay</v>
          </cell>
          <cell r="J300" t="str">
            <v>ស្រី</v>
          </cell>
          <cell r="K300">
            <v>35891</v>
          </cell>
          <cell r="L300">
            <v>43983</v>
          </cell>
        </row>
        <row r="301">
          <cell r="C301">
            <v>2974</v>
          </cell>
          <cell r="D301" t="str">
            <v>ស៊ុំ</v>
          </cell>
          <cell r="E301" t="str">
            <v>ហ៊ីង</v>
          </cell>
          <cell r="F301" t="str">
            <v>ស៊ុំហ៊ីង</v>
          </cell>
          <cell r="G301" t="str">
            <v>Sum</v>
          </cell>
          <cell r="H301" t="str">
            <v>Hing</v>
          </cell>
          <cell r="I301" t="str">
            <v>SumHing</v>
          </cell>
          <cell r="J301" t="str">
            <v>ស្រី</v>
          </cell>
          <cell r="K301">
            <v>28470</v>
          </cell>
          <cell r="L301">
            <v>44013</v>
          </cell>
        </row>
        <row r="302">
          <cell r="C302">
            <v>2929</v>
          </cell>
          <cell r="D302" t="str">
            <v>ម៉ូវ</v>
          </cell>
          <cell r="E302" t="str">
            <v>ប៉ោស៊ាង</v>
          </cell>
          <cell r="F302" t="str">
            <v>ម៉ូវប៉ោស៊ាង</v>
          </cell>
          <cell r="G302" t="str">
            <v>Mov</v>
          </cell>
          <cell r="H302" t="str">
            <v>Porseang</v>
          </cell>
          <cell r="I302" t="str">
            <v>MovPorseang</v>
          </cell>
          <cell r="J302" t="str">
            <v>ស្រី</v>
          </cell>
          <cell r="K302">
            <v>29869</v>
          </cell>
          <cell r="L302">
            <v>43983</v>
          </cell>
        </row>
        <row r="303">
          <cell r="C303">
            <v>2931</v>
          </cell>
          <cell r="D303" t="str">
            <v>គឹម</v>
          </cell>
          <cell r="E303" t="str">
            <v>សុម៉ាលី</v>
          </cell>
          <cell r="F303" t="str">
            <v>គឹមសុម៉ាលី</v>
          </cell>
          <cell r="G303" t="str">
            <v>Kim</v>
          </cell>
          <cell r="H303" t="str">
            <v>Somaly</v>
          </cell>
          <cell r="I303" t="str">
            <v>KimSomaly</v>
          </cell>
          <cell r="J303" t="str">
            <v>ស្រី</v>
          </cell>
          <cell r="K303">
            <v>29317</v>
          </cell>
          <cell r="L303">
            <v>43983</v>
          </cell>
        </row>
        <row r="304">
          <cell r="C304">
            <v>2938</v>
          </cell>
          <cell r="D304" t="str">
            <v>សន</v>
          </cell>
          <cell r="E304" t="str">
            <v>ផារី</v>
          </cell>
          <cell r="F304" t="str">
            <v>សនផារី</v>
          </cell>
          <cell r="G304" t="str">
            <v>Sorn</v>
          </cell>
          <cell r="H304" t="str">
            <v>Phary</v>
          </cell>
          <cell r="I304" t="str">
            <v>SornPhary</v>
          </cell>
          <cell r="J304" t="str">
            <v>ស្រី</v>
          </cell>
          <cell r="K304">
            <v>33975</v>
          </cell>
          <cell r="L304">
            <v>43983</v>
          </cell>
        </row>
        <row r="305">
          <cell r="C305">
            <v>2981</v>
          </cell>
          <cell r="D305" t="str">
            <v>អ៊ុក</v>
          </cell>
          <cell r="E305" t="str">
            <v>ស្រីណៃ</v>
          </cell>
          <cell r="F305" t="str">
            <v>អ៊ុកស្រីណៃ</v>
          </cell>
          <cell r="G305" t="str">
            <v>Oun</v>
          </cell>
          <cell r="H305" t="str">
            <v>Sreynay</v>
          </cell>
          <cell r="I305" t="str">
            <v>OunSreynay</v>
          </cell>
          <cell r="J305" t="str">
            <v>ស្រី</v>
          </cell>
          <cell r="K305">
            <v>35500</v>
          </cell>
          <cell r="L305">
            <v>44013</v>
          </cell>
        </row>
        <row r="306">
          <cell r="C306">
            <v>2963</v>
          </cell>
          <cell r="D306" t="str">
            <v>មួន</v>
          </cell>
          <cell r="E306" t="str">
            <v>សុវណ្ណេត</v>
          </cell>
          <cell r="F306" t="str">
            <v>មួនសុវណ្ណេត</v>
          </cell>
          <cell r="G306" t="str">
            <v>Moun</v>
          </cell>
          <cell r="H306" t="str">
            <v>Sovannet</v>
          </cell>
          <cell r="I306" t="str">
            <v>MounSovannet</v>
          </cell>
          <cell r="J306" t="str">
            <v>ស្រី</v>
          </cell>
          <cell r="K306">
            <v>35534</v>
          </cell>
          <cell r="L306">
            <v>44013</v>
          </cell>
        </row>
        <row r="307">
          <cell r="C307">
            <v>2971</v>
          </cell>
          <cell r="D307" t="str">
            <v>ឡុង</v>
          </cell>
          <cell r="E307" t="str">
            <v>សុគុន្ធ</v>
          </cell>
          <cell r="F307" t="str">
            <v>ឡុងសុគុន្ធ</v>
          </cell>
          <cell r="G307" t="str">
            <v>Long</v>
          </cell>
          <cell r="H307" t="str">
            <v>Sokun</v>
          </cell>
          <cell r="I307" t="str">
            <v>LongSokun</v>
          </cell>
          <cell r="J307" t="str">
            <v>ប្រុស</v>
          </cell>
          <cell r="K307">
            <v>30547</v>
          </cell>
          <cell r="L307">
            <v>44013</v>
          </cell>
        </row>
        <row r="308">
          <cell r="C308">
            <v>2978</v>
          </cell>
          <cell r="D308" t="str">
            <v>ឈន់</v>
          </cell>
          <cell r="E308" t="str">
            <v>ឡៃសេង</v>
          </cell>
          <cell r="F308" t="str">
            <v>ឈន់ឡៃសេង</v>
          </cell>
          <cell r="G308" t="str">
            <v>Chhon</v>
          </cell>
          <cell r="H308" t="str">
            <v>Layseng</v>
          </cell>
          <cell r="I308" t="str">
            <v>ChhonLayseng</v>
          </cell>
          <cell r="J308" t="str">
            <v>ស្រី</v>
          </cell>
          <cell r="K308">
            <v>31425</v>
          </cell>
          <cell r="L308">
            <v>44013</v>
          </cell>
        </row>
        <row r="309">
          <cell r="C309">
            <v>2966</v>
          </cell>
          <cell r="D309" t="str">
            <v>ស្រី</v>
          </cell>
          <cell r="E309" t="str">
            <v>ភារុណ</v>
          </cell>
          <cell r="F309" t="str">
            <v>ស្រីភារុណ</v>
          </cell>
          <cell r="G309" t="str">
            <v>Srey</v>
          </cell>
          <cell r="H309" t="str">
            <v>Phearun</v>
          </cell>
          <cell r="I309" t="str">
            <v>SreyPhearun</v>
          </cell>
          <cell r="J309" t="str">
            <v>ប្រុស</v>
          </cell>
          <cell r="K309">
            <v>28194</v>
          </cell>
          <cell r="L309">
            <v>44013</v>
          </cell>
        </row>
        <row r="310">
          <cell r="C310">
            <v>2940</v>
          </cell>
          <cell r="D310" t="str">
            <v>ទ្រី</v>
          </cell>
          <cell r="E310" t="str">
            <v>ស៊ាកម៉េង</v>
          </cell>
          <cell r="F310" t="str">
            <v>ទ្រីស៊ាកម៉េង</v>
          </cell>
          <cell r="G310" t="str">
            <v>Try</v>
          </cell>
          <cell r="H310" t="str">
            <v>SeakMeng</v>
          </cell>
          <cell r="I310" t="str">
            <v>TrySeakMeng</v>
          </cell>
          <cell r="J310" t="str">
            <v>ស្រី</v>
          </cell>
          <cell r="K310">
            <v>35251</v>
          </cell>
          <cell r="L310">
            <v>43983</v>
          </cell>
        </row>
        <row r="311">
          <cell r="C311">
            <v>3004</v>
          </cell>
          <cell r="D311" t="str">
            <v>ហុង</v>
          </cell>
          <cell r="E311" t="str">
            <v>សេងគីម</v>
          </cell>
          <cell r="F311" t="str">
            <v>ហុងសេងគីម</v>
          </cell>
          <cell r="G311" t="str">
            <v>Hung</v>
          </cell>
          <cell r="H311" t="str">
            <v>Sengkim</v>
          </cell>
          <cell r="I311" t="str">
            <v>HungSengkim</v>
          </cell>
          <cell r="J311" t="str">
            <v>ស្រី</v>
          </cell>
          <cell r="K311">
            <v>24537</v>
          </cell>
          <cell r="L311">
            <v>44013</v>
          </cell>
        </row>
        <row r="312">
          <cell r="C312">
            <v>2992</v>
          </cell>
          <cell r="D312" t="str">
            <v>ប៊ន</v>
          </cell>
          <cell r="E312" t="str">
            <v>រីករាយ</v>
          </cell>
          <cell r="F312" t="str">
            <v>ប៊នរីករាយ</v>
          </cell>
          <cell r="G312" t="str">
            <v>Born</v>
          </cell>
          <cell r="H312" t="str">
            <v>Rikreay</v>
          </cell>
          <cell r="I312" t="str">
            <v>BornRikreay</v>
          </cell>
          <cell r="J312" t="str">
            <v>ប្រុស</v>
          </cell>
          <cell r="K312">
            <v>36285</v>
          </cell>
          <cell r="L312">
            <v>44013</v>
          </cell>
        </row>
        <row r="313">
          <cell r="C313">
            <v>2995</v>
          </cell>
          <cell r="D313" t="str">
            <v>លី</v>
          </cell>
          <cell r="E313" t="str">
            <v>បូរិន</v>
          </cell>
          <cell r="F313" t="str">
            <v>លីបូរិន</v>
          </cell>
          <cell r="G313" t="str">
            <v>Ly</v>
          </cell>
          <cell r="H313" t="str">
            <v>Borin</v>
          </cell>
          <cell r="I313" t="str">
            <v>LyBorin</v>
          </cell>
          <cell r="J313" t="str">
            <v>ប្រុស</v>
          </cell>
          <cell r="K313">
            <v>34050</v>
          </cell>
          <cell r="L313">
            <v>44013</v>
          </cell>
        </row>
        <row r="314">
          <cell r="C314">
            <v>3013</v>
          </cell>
          <cell r="D314" t="str">
            <v>អ៊ីង</v>
          </cell>
          <cell r="E314" t="str">
            <v>រ៉ា</v>
          </cell>
          <cell r="F314" t="str">
            <v>អ៊ីងរ៉ា</v>
          </cell>
          <cell r="G314" t="str">
            <v>Ing</v>
          </cell>
          <cell r="H314" t="str">
            <v>Ra</v>
          </cell>
          <cell r="I314" t="str">
            <v>IngRa</v>
          </cell>
          <cell r="J314" t="str">
            <v>ស្រី</v>
          </cell>
          <cell r="K314">
            <v>26817</v>
          </cell>
          <cell r="L314">
            <v>44013</v>
          </cell>
        </row>
        <row r="315">
          <cell r="C315">
            <v>3003</v>
          </cell>
          <cell r="D315" t="str">
            <v>ធា</v>
          </cell>
          <cell r="E315" t="str">
            <v>ស្រីវេត</v>
          </cell>
          <cell r="F315" t="str">
            <v>ធាស្រីវេត</v>
          </cell>
          <cell r="G315" t="str">
            <v>Thea</v>
          </cell>
          <cell r="H315" t="str">
            <v>Sreyvet</v>
          </cell>
          <cell r="I315" t="str">
            <v>TheaSreyvet</v>
          </cell>
          <cell r="J315" t="str">
            <v>ស្រី</v>
          </cell>
          <cell r="K315">
            <v>35266</v>
          </cell>
          <cell r="L315">
            <v>44013</v>
          </cell>
        </row>
        <row r="316">
          <cell r="C316">
            <v>3017</v>
          </cell>
          <cell r="D316" t="str">
            <v>តែម</v>
          </cell>
          <cell r="E316" t="str">
            <v>វ៉ុន</v>
          </cell>
          <cell r="F316" t="str">
            <v>តែមវ៉ុន</v>
          </cell>
          <cell r="G316" t="str">
            <v>Tem</v>
          </cell>
          <cell r="H316" t="str">
            <v>Von</v>
          </cell>
          <cell r="I316" t="str">
            <v>TemVon</v>
          </cell>
          <cell r="J316" t="str">
            <v>ស្រី</v>
          </cell>
          <cell r="K316">
            <v>34314</v>
          </cell>
          <cell r="L316">
            <v>44044</v>
          </cell>
        </row>
        <row r="317">
          <cell r="C317">
            <v>3001</v>
          </cell>
          <cell r="D317" t="str">
            <v>លឹម</v>
          </cell>
          <cell r="E317" t="str">
            <v>ផល្លា</v>
          </cell>
          <cell r="F317" t="str">
            <v>លឹមផល្លា</v>
          </cell>
          <cell r="G317" t="str">
            <v>Lim</v>
          </cell>
          <cell r="H317" t="str">
            <v>Phalla</v>
          </cell>
          <cell r="I317" t="str">
            <v>LimPhalla</v>
          </cell>
          <cell r="J317" t="str">
            <v>ស្រី</v>
          </cell>
          <cell r="K317">
            <v>31537</v>
          </cell>
          <cell r="L317">
            <v>44044</v>
          </cell>
        </row>
        <row r="318">
          <cell r="C318">
            <v>3022</v>
          </cell>
          <cell r="D318" t="str">
            <v>អិន</v>
          </cell>
          <cell r="E318" t="str">
            <v>សុភា</v>
          </cell>
          <cell r="F318" t="str">
            <v>អិនសុភា</v>
          </cell>
          <cell r="G318" t="str">
            <v>In</v>
          </cell>
          <cell r="H318" t="str">
            <v>Sophea</v>
          </cell>
          <cell r="I318" t="str">
            <v>InSophea</v>
          </cell>
          <cell r="J318" t="str">
            <v>ស្រី</v>
          </cell>
          <cell r="K318">
            <v>32569</v>
          </cell>
          <cell r="L318">
            <v>44044</v>
          </cell>
        </row>
        <row r="319">
          <cell r="C319">
            <v>3014</v>
          </cell>
          <cell r="D319" t="str">
            <v>អឿន</v>
          </cell>
          <cell r="E319" t="str">
            <v>ឡន</v>
          </cell>
          <cell r="F319" t="str">
            <v>អឿនឡន</v>
          </cell>
          <cell r="G319" t="str">
            <v>Oeurn</v>
          </cell>
          <cell r="H319" t="str">
            <v>Lan</v>
          </cell>
          <cell r="I319" t="str">
            <v>OeurnLan</v>
          </cell>
          <cell r="J319" t="str">
            <v>ស្រី</v>
          </cell>
          <cell r="K319">
            <v>31170</v>
          </cell>
          <cell r="L319">
            <v>44013</v>
          </cell>
        </row>
        <row r="320">
          <cell r="C320">
            <v>3038</v>
          </cell>
          <cell r="D320" t="str">
            <v>ហាន</v>
          </cell>
          <cell r="E320" t="str">
            <v>ណាក់</v>
          </cell>
          <cell r="F320" t="str">
            <v>ហានណាក់</v>
          </cell>
          <cell r="G320" t="str">
            <v>Han</v>
          </cell>
          <cell r="H320" t="str">
            <v>Nak</v>
          </cell>
          <cell r="I320" t="str">
            <v>HanNak</v>
          </cell>
          <cell r="J320" t="str">
            <v>ប្រុស</v>
          </cell>
          <cell r="K320">
            <v>33281</v>
          </cell>
          <cell r="L320">
            <v>44044</v>
          </cell>
        </row>
        <row r="321">
          <cell r="C321">
            <v>3030</v>
          </cell>
          <cell r="D321" t="str">
            <v>គឹម</v>
          </cell>
          <cell r="E321" t="str">
            <v>លី</v>
          </cell>
          <cell r="F321" t="str">
            <v>គឹមលី</v>
          </cell>
          <cell r="G321" t="str">
            <v>Kim</v>
          </cell>
          <cell r="H321" t="str">
            <v>Ly</v>
          </cell>
          <cell r="I321" t="str">
            <v>KimLy</v>
          </cell>
          <cell r="J321" t="str">
            <v>ស្រី</v>
          </cell>
          <cell r="K321">
            <v>30753</v>
          </cell>
          <cell r="L321">
            <v>44044</v>
          </cell>
        </row>
        <row r="322">
          <cell r="C322">
            <v>3029</v>
          </cell>
          <cell r="D322" t="str">
            <v>ពុធ</v>
          </cell>
          <cell r="E322" t="str">
            <v>ស្រីពៅ</v>
          </cell>
          <cell r="F322" t="str">
            <v>ពុធស្រីពៅ</v>
          </cell>
          <cell r="G322" t="str">
            <v>Put</v>
          </cell>
          <cell r="H322" t="str">
            <v>SreyPov</v>
          </cell>
          <cell r="I322" t="str">
            <v>PutSreyPov</v>
          </cell>
          <cell r="J322" t="str">
            <v>ស្រី</v>
          </cell>
          <cell r="K322">
            <v>31876</v>
          </cell>
          <cell r="L322">
            <v>43862</v>
          </cell>
        </row>
        <row r="323">
          <cell r="C323">
            <v>3036</v>
          </cell>
          <cell r="D323" t="str">
            <v>ភី</v>
          </cell>
          <cell r="E323" t="str">
            <v>រី</v>
          </cell>
          <cell r="F323" t="str">
            <v>ភីរី</v>
          </cell>
          <cell r="G323" t="str">
            <v xml:space="preserve">PHY </v>
          </cell>
          <cell r="H323" t="str">
            <v>REY</v>
          </cell>
          <cell r="I323" t="str">
            <v>PHY REY</v>
          </cell>
          <cell r="J323" t="str">
            <v>ប្រុស</v>
          </cell>
          <cell r="K323">
            <v>32145</v>
          </cell>
          <cell r="L323">
            <v>44044</v>
          </cell>
        </row>
        <row r="324">
          <cell r="C324">
            <v>3042</v>
          </cell>
          <cell r="D324" t="str">
            <v>ហូន</v>
          </cell>
          <cell r="E324" t="str">
            <v>និសិទិ</v>
          </cell>
          <cell r="F324" t="str">
            <v>ហូននិសិទិ</v>
          </cell>
          <cell r="G324" t="str">
            <v>HUONG</v>
          </cell>
          <cell r="H324" t="str">
            <v>NISITH</v>
          </cell>
          <cell r="I324" t="str">
            <v>HUONGNISITH</v>
          </cell>
          <cell r="J324" t="str">
            <v>ប្រុស</v>
          </cell>
          <cell r="K324">
            <v>37033</v>
          </cell>
          <cell r="L324">
            <v>44044</v>
          </cell>
        </row>
        <row r="325">
          <cell r="C325">
            <v>2989</v>
          </cell>
          <cell r="D325" t="str">
            <v>ហ៊ាន</v>
          </cell>
          <cell r="E325" t="str">
            <v>ចិន្តា</v>
          </cell>
          <cell r="F325" t="str">
            <v>ហ៊ានចិន្តា</v>
          </cell>
          <cell r="G325" t="str">
            <v>Hean</v>
          </cell>
          <cell r="H325" t="str">
            <v>Chenda</v>
          </cell>
          <cell r="I325" t="str">
            <v>HeanChenda</v>
          </cell>
          <cell r="J325" t="str">
            <v>ស្រី</v>
          </cell>
          <cell r="K325">
            <v>31260</v>
          </cell>
          <cell r="L325">
            <v>44013</v>
          </cell>
        </row>
        <row r="326">
          <cell r="C326">
            <v>3055</v>
          </cell>
          <cell r="D326" t="str">
            <v>វណ្ណះ</v>
          </cell>
          <cell r="E326" t="str">
            <v>វណ្ណា</v>
          </cell>
          <cell r="F326" t="str">
            <v>វណ្ណះវណ្ណា</v>
          </cell>
          <cell r="G326" t="str">
            <v>Vannak</v>
          </cell>
          <cell r="H326" t="str">
            <v>Vanna</v>
          </cell>
          <cell r="I326" t="str">
            <v>VannakVanna</v>
          </cell>
          <cell r="J326" t="str">
            <v>ប្រុស</v>
          </cell>
          <cell r="K326">
            <v>37043</v>
          </cell>
          <cell r="L326">
            <v>44044</v>
          </cell>
        </row>
        <row r="327">
          <cell r="C327">
            <v>3056</v>
          </cell>
          <cell r="D327" t="str">
            <v>ខន</v>
          </cell>
          <cell r="E327" t="str">
            <v>ចាន់ធឿន</v>
          </cell>
          <cell r="F327" t="str">
            <v>ខនចាន់ធឿន</v>
          </cell>
          <cell r="G327" t="str">
            <v>khorn</v>
          </cell>
          <cell r="H327" t="str">
            <v>Chan Thoeurn</v>
          </cell>
          <cell r="I327" t="str">
            <v>khornChan Thoeurn</v>
          </cell>
          <cell r="J327" t="str">
            <v>ស្រី</v>
          </cell>
          <cell r="K327">
            <v>29138</v>
          </cell>
          <cell r="L327">
            <v>44044</v>
          </cell>
        </row>
        <row r="328">
          <cell r="C328">
            <v>3053</v>
          </cell>
          <cell r="D328" t="str">
            <v>សន់</v>
          </cell>
          <cell r="E328" t="str">
            <v>សុឧត្តម</v>
          </cell>
          <cell r="F328" t="str">
            <v>សន់សុឧត្តម</v>
          </cell>
          <cell r="G328" t="str">
            <v>Sann</v>
          </cell>
          <cell r="H328" t="str">
            <v>Sodom</v>
          </cell>
          <cell r="I328" t="str">
            <v>SannSodom</v>
          </cell>
          <cell r="J328" t="str">
            <v>ប្រុស</v>
          </cell>
          <cell r="K328">
            <v>36524</v>
          </cell>
          <cell r="L328">
            <v>44044</v>
          </cell>
        </row>
        <row r="329">
          <cell r="C329">
            <v>3049</v>
          </cell>
          <cell r="D329" t="str">
            <v>ភន</v>
          </cell>
          <cell r="E329" t="str">
            <v>សុក</v>
          </cell>
          <cell r="F329" t="str">
            <v>ភនសុក</v>
          </cell>
          <cell r="G329" t="str">
            <v>Phorn</v>
          </cell>
          <cell r="H329" t="str">
            <v>Sok</v>
          </cell>
          <cell r="I329" t="str">
            <v>PhornSok</v>
          </cell>
          <cell r="J329" t="str">
            <v>ស្រី</v>
          </cell>
          <cell r="K329">
            <v>28136</v>
          </cell>
          <cell r="L329">
            <v>44044</v>
          </cell>
        </row>
        <row r="330">
          <cell r="C330">
            <v>3047</v>
          </cell>
          <cell r="D330" t="str">
            <v>ឯម</v>
          </cell>
          <cell r="E330" t="str">
            <v>ម៉ាច</v>
          </cell>
          <cell r="F330" t="str">
            <v>ឯមម៉ាច</v>
          </cell>
          <cell r="G330" t="str">
            <v>Em</v>
          </cell>
          <cell r="H330" t="str">
            <v>Mach</v>
          </cell>
          <cell r="I330" t="str">
            <v>EmMach</v>
          </cell>
          <cell r="J330" t="str">
            <v>ស្រី</v>
          </cell>
          <cell r="K330">
            <v>33765</v>
          </cell>
          <cell r="L330">
            <v>44044</v>
          </cell>
        </row>
        <row r="331">
          <cell r="C331">
            <v>3046</v>
          </cell>
          <cell r="D331" t="str">
            <v>សេង</v>
          </cell>
          <cell r="E331" t="str">
            <v>ប៊ុនហ៊ៅ</v>
          </cell>
          <cell r="F331" t="str">
            <v>សេងប៊ុនហ៊ៅ</v>
          </cell>
          <cell r="G331" t="str">
            <v>Seng</v>
          </cell>
          <cell r="H331" t="str">
            <v>Bunhov</v>
          </cell>
          <cell r="I331" t="str">
            <v>SengBunhov</v>
          </cell>
          <cell r="J331" t="str">
            <v>ប្រុស</v>
          </cell>
          <cell r="K331">
            <v>36981</v>
          </cell>
          <cell r="L331">
            <v>44044</v>
          </cell>
        </row>
        <row r="332">
          <cell r="C332">
            <v>3071</v>
          </cell>
          <cell r="D332" t="str">
            <v>ឌុល</v>
          </cell>
          <cell r="E332" t="str">
            <v>ម៉ាន់</v>
          </cell>
          <cell r="F332" t="str">
            <v>ឌុលម៉ាន់</v>
          </cell>
          <cell r="G332" t="str">
            <v>Dol</v>
          </cell>
          <cell r="H332" t="str">
            <v>Mann</v>
          </cell>
          <cell r="I332" t="str">
            <v>DolMann</v>
          </cell>
          <cell r="J332" t="str">
            <v>ស្រី</v>
          </cell>
          <cell r="K332">
            <v>34700</v>
          </cell>
          <cell r="L332">
            <v>44075</v>
          </cell>
        </row>
        <row r="333">
          <cell r="C333">
            <v>3051</v>
          </cell>
          <cell r="D333" t="str">
            <v>ហ៊ា</v>
          </cell>
          <cell r="E333" t="str">
            <v>តុងហ៊ាង</v>
          </cell>
          <cell r="F333" t="str">
            <v>ហ៊ាតុងហ៊ាង</v>
          </cell>
          <cell r="G333" t="str">
            <v>Hea</v>
          </cell>
          <cell r="H333" t="str">
            <v>TongHeang</v>
          </cell>
          <cell r="I333" t="str">
            <v>HeaTongHeang</v>
          </cell>
          <cell r="J333" t="str">
            <v>ប្រុស</v>
          </cell>
          <cell r="K333">
            <v>33666</v>
          </cell>
          <cell r="L333">
            <v>44044</v>
          </cell>
        </row>
        <row r="334">
          <cell r="C334">
            <v>3070</v>
          </cell>
          <cell r="D334" t="str">
            <v>ឡាយ</v>
          </cell>
          <cell r="E334" t="str">
            <v>កូវីន</v>
          </cell>
          <cell r="F334" t="str">
            <v>ឡាយកូវីន</v>
          </cell>
          <cell r="G334" t="str">
            <v>Lay</v>
          </cell>
          <cell r="H334" t="str">
            <v>KoVin</v>
          </cell>
          <cell r="I334" t="str">
            <v>LayKoVin</v>
          </cell>
          <cell r="J334" t="str">
            <v>ប្រុស</v>
          </cell>
          <cell r="K334">
            <v>34131</v>
          </cell>
          <cell r="L334">
            <v>43891</v>
          </cell>
        </row>
        <row r="335">
          <cell r="C335">
            <v>3060</v>
          </cell>
          <cell r="D335" t="str">
            <v>ឈឿន</v>
          </cell>
          <cell r="E335" t="str">
            <v>ស្រីម៉ៅ</v>
          </cell>
          <cell r="F335" t="str">
            <v>ឈឿនស្រីម៉ៅ</v>
          </cell>
          <cell r="G335" t="str">
            <v>Chhoeurn</v>
          </cell>
          <cell r="H335" t="str">
            <v>SreyMao</v>
          </cell>
          <cell r="I335" t="str">
            <v>ChhoeurnSreyMao</v>
          </cell>
          <cell r="J335" t="str">
            <v>ស្រី</v>
          </cell>
          <cell r="K335">
            <v>36023</v>
          </cell>
          <cell r="L335">
            <v>44075</v>
          </cell>
        </row>
        <row r="336">
          <cell r="C336">
            <v>3061</v>
          </cell>
          <cell r="D336" t="str">
            <v>សែស</v>
          </cell>
          <cell r="E336" t="str">
            <v>ពេជ្រ</v>
          </cell>
          <cell r="F336" t="str">
            <v>សែសពេជ្រ</v>
          </cell>
          <cell r="G336" t="str">
            <v>Ses</v>
          </cell>
          <cell r="H336" t="str">
            <v>Pech</v>
          </cell>
          <cell r="I336" t="str">
            <v>SesPech</v>
          </cell>
          <cell r="J336" t="str">
            <v>ស្រី</v>
          </cell>
          <cell r="K336">
            <v>32939</v>
          </cell>
          <cell r="L336">
            <v>44075</v>
          </cell>
        </row>
        <row r="337">
          <cell r="C337">
            <v>3062</v>
          </cell>
          <cell r="D337" t="str">
            <v>សៅ</v>
          </cell>
          <cell r="E337" t="str">
            <v>វ៉ាន</v>
          </cell>
          <cell r="F337" t="str">
            <v>សៅវ៉ាន</v>
          </cell>
          <cell r="G337" t="str">
            <v>Sov</v>
          </cell>
          <cell r="H337" t="str">
            <v>Van</v>
          </cell>
          <cell r="I337" t="str">
            <v>SovVan</v>
          </cell>
          <cell r="J337" t="str">
            <v>ប្រុស</v>
          </cell>
          <cell r="K337">
            <v>32569</v>
          </cell>
          <cell r="L337">
            <v>44075</v>
          </cell>
        </row>
        <row r="338">
          <cell r="C338">
            <v>3067</v>
          </cell>
          <cell r="D338" t="str">
            <v>ជា</v>
          </cell>
          <cell r="E338" t="str">
            <v>ថន</v>
          </cell>
          <cell r="F338" t="str">
            <v>ជាថន</v>
          </cell>
          <cell r="G338" t="str">
            <v>Chea</v>
          </cell>
          <cell r="H338" t="str">
            <v>Thorn</v>
          </cell>
          <cell r="I338" t="str">
            <v>CheaThorn</v>
          </cell>
          <cell r="J338" t="str">
            <v>ស្រី</v>
          </cell>
          <cell r="K338">
            <v>26436</v>
          </cell>
          <cell r="L338">
            <v>44075</v>
          </cell>
        </row>
        <row r="339">
          <cell r="C339">
            <v>3045</v>
          </cell>
          <cell r="D339" t="str">
            <v>សោម</v>
          </cell>
          <cell r="E339" t="str">
            <v>វិឌិត</v>
          </cell>
          <cell r="F339" t="str">
            <v>សោមវិឌិត</v>
          </cell>
          <cell r="G339" t="str">
            <v>Sorm</v>
          </cell>
          <cell r="H339" t="str">
            <v>ViDet</v>
          </cell>
          <cell r="I339" t="str">
            <v>SormViDet</v>
          </cell>
          <cell r="J339" t="str">
            <v>ប្រុស</v>
          </cell>
          <cell r="K339">
            <v>36616</v>
          </cell>
          <cell r="L339">
            <v>44044</v>
          </cell>
        </row>
        <row r="340">
          <cell r="C340">
            <v>3048</v>
          </cell>
          <cell r="D340" t="str">
            <v>វង់</v>
          </cell>
          <cell r="E340" t="str">
            <v>សាវេត</v>
          </cell>
          <cell r="F340" t="str">
            <v>វង់សាវេត</v>
          </cell>
          <cell r="G340" t="str">
            <v>Vong</v>
          </cell>
          <cell r="H340" t="str">
            <v>Savet</v>
          </cell>
          <cell r="I340" t="str">
            <v>VongSavet</v>
          </cell>
          <cell r="J340" t="str">
            <v>ស្រី</v>
          </cell>
          <cell r="K340">
            <v>29877</v>
          </cell>
          <cell r="L340">
            <v>44044</v>
          </cell>
        </row>
        <row r="341">
          <cell r="C341">
            <v>3076</v>
          </cell>
          <cell r="D341" t="str">
            <v>យឹម</v>
          </cell>
          <cell r="E341" t="str">
            <v>សារ៉ាត់</v>
          </cell>
          <cell r="F341" t="str">
            <v>យឹមសារ៉ាត់</v>
          </cell>
          <cell r="G341" t="str">
            <v>Yoem</v>
          </cell>
          <cell r="H341" t="str">
            <v>Sarath</v>
          </cell>
          <cell r="I341" t="str">
            <v>YoemSarath</v>
          </cell>
          <cell r="J341" t="str">
            <v>ប្រុស</v>
          </cell>
          <cell r="K341">
            <v>31856</v>
          </cell>
          <cell r="L341">
            <v>43711</v>
          </cell>
        </row>
        <row r="342">
          <cell r="C342">
            <v>3083</v>
          </cell>
          <cell r="D342" t="str">
            <v>សន់</v>
          </cell>
          <cell r="E342" t="str">
            <v>សុរ៉ាន់ដា</v>
          </cell>
          <cell r="F342" t="str">
            <v>សន់សុរ៉ាន់ដា</v>
          </cell>
          <cell r="G342" t="str">
            <v xml:space="preserve">Son </v>
          </cell>
          <cell r="H342" t="str">
            <v>Sorannda</v>
          </cell>
          <cell r="I342" t="str">
            <v>Son Sorannda</v>
          </cell>
          <cell r="J342" t="str">
            <v>ប្រុស</v>
          </cell>
          <cell r="K342">
            <v>34992</v>
          </cell>
          <cell r="L342">
            <v>43712</v>
          </cell>
        </row>
        <row r="343">
          <cell r="C343">
            <v>3081</v>
          </cell>
          <cell r="D343" t="str">
            <v>អ៊ុក</v>
          </cell>
          <cell r="E343" t="str">
            <v>ស្រីនីន</v>
          </cell>
          <cell r="F343" t="str">
            <v>អ៊ុកស្រីនីន</v>
          </cell>
          <cell r="G343" t="str">
            <v>Ouk</v>
          </cell>
          <cell r="H343" t="str">
            <v>Sreynin</v>
          </cell>
          <cell r="I343" t="str">
            <v>OukSreynin</v>
          </cell>
          <cell r="J343" t="str">
            <v>ស្រី</v>
          </cell>
          <cell r="K343">
            <v>36809</v>
          </cell>
          <cell r="L343">
            <v>43711</v>
          </cell>
        </row>
        <row r="344">
          <cell r="C344">
            <v>3090</v>
          </cell>
          <cell r="D344" t="str">
            <v>ភួង</v>
          </cell>
          <cell r="E344" t="str">
            <v>ភារី</v>
          </cell>
          <cell r="F344" t="str">
            <v>ភួងភារី</v>
          </cell>
          <cell r="G344" t="str">
            <v>Phoung</v>
          </cell>
          <cell r="H344" t="str">
            <v>PheaRy</v>
          </cell>
          <cell r="I344" t="str">
            <v>PhoungPheaRy</v>
          </cell>
          <cell r="J344" t="str">
            <v>ស្រី</v>
          </cell>
          <cell r="K344">
            <v>34375</v>
          </cell>
          <cell r="L344">
            <v>43718</v>
          </cell>
        </row>
        <row r="345">
          <cell r="C345">
            <v>3075</v>
          </cell>
          <cell r="D345" t="str">
            <v>ណាំ</v>
          </cell>
          <cell r="E345" t="str">
            <v>យ៉ា</v>
          </cell>
          <cell r="F345" t="str">
            <v>ណាំយ៉ា</v>
          </cell>
          <cell r="G345" t="str">
            <v>Nam</v>
          </cell>
          <cell r="H345" t="str">
            <v>Ya</v>
          </cell>
          <cell r="I345" t="str">
            <v>NamYa</v>
          </cell>
          <cell r="J345" t="str">
            <v>ស្រី</v>
          </cell>
          <cell r="K345">
            <v>31202</v>
          </cell>
          <cell r="L345">
            <v>43710</v>
          </cell>
        </row>
        <row r="346">
          <cell r="C346">
            <v>3094</v>
          </cell>
          <cell r="D346" t="str">
            <v>គឹម</v>
          </cell>
          <cell r="E346" t="str">
            <v>ផាន់នី</v>
          </cell>
          <cell r="F346" t="str">
            <v>គឹមផាន់នី</v>
          </cell>
          <cell r="G346" t="str">
            <v>Kim</v>
          </cell>
          <cell r="H346" t="str">
            <v>PhanNy</v>
          </cell>
          <cell r="I346" t="str">
            <v>KimPhanNy</v>
          </cell>
          <cell r="J346" t="str">
            <v>ស្រី</v>
          </cell>
          <cell r="K346">
            <v>31079</v>
          </cell>
          <cell r="L346">
            <v>43725</v>
          </cell>
        </row>
        <row r="347">
          <cell r="C347">
            <v>3082</v>
          </cell>
          <cell r="D347" t="str">
            <v>សុង</v>
          </cell>
          <cell r="E347" t="str">
            <v>សុធា</v>
          </cell>
          <cell r="F347" t="str">
            <v>សុងសុធា</v>
          </cell>
          <cell r="G347" t="str">
            <v>Song</v>
          </cell>
          <cell r="H347" t="str">
            <v>SoThea</v>
          </cell>
          <cell r="I347" t="str">
            <v>SongSoThea</v>
          </cell>
          <cell r="J347" t="str">
            <v>ស្រី</v>
          </cell>
          <cell r="K347">
            <v>29596</v>
          </cell>
          <cell r="L347">
            <v>43713</v>
          </cell>
        </row>
        <row r="348">
          <cell r="C348">
            <v>3113</v>
          </cell>
          <cell r="D348" t="str">
            <v>ឃឹម</v>
          </cell>
          <cell r="E348" t="str">
            <v>សំណាង</v>
          </cell>
          <cell r="F348" t="str">
            <v>ឃឹមសំណាង</v>
          </cell>
          <cell r="G348" t="str">
            <v xml:space="preserve">Khoem </v>
          </cell>
          <cell r="H348" t="str">
            <v>Samang</v>
          </cell>
          <cell r="I348" t="str">
            <v>Khoem Samang</v>
          </cell>
          <cell r="J348" t="str">
            <v>ស្រី</v>
          </cell>
          <cell r="K348">
            <v>32174</v>
          </cell>
          <cell r="L348">
            <v>43741</v>
          </cell>
        </row>
        <row r="349">
          <cell r="C349">
            <v>3103</v>
          </cell>
          <cell r="D349" t="str">
            <v>ជា</v>
          </cell>
          <cell r="E349" t="str">
            <v>សំណាង</v>
          </cell>
          <cell r="F349" t="str">
            <v>ជាសំណាង</v>
          </cell>
          <cell r="G349" t="str">
            <v>Chea</v>
          </cell>
          <cell r="H349" t="str">
            <v>Samnage</v>
          </cell>
          <cell r="I349" t="str">
            <v>CheaSamnage</v>
          </cell>
          <cell r="J349" t="str">
            <v>ប្រុស</v>
          </cell>
          <cell r="K349">
            <v>34011</v>
          </cell>
          <cell r="L349">
            <v>43740</v>
          </cell>
        </row>
        <row r="350">
          <cell r="C350">
            <v>3124</v>
          </cell>
          <cell r="D350" t="str">
            <v>សូត</v>
          </cell>
          <cell r="E350" t="str">
            <v>មុំ</v>
          </cell>
          <cell r="F350" t="str">
            <v>សូតមុំ</v>
          </cell>
          <cell r="G350" t="str">
            <v>Sout</v>
          </cell>
          <cell r="H350" t="str">
            <v>Mom</v>
          </cell>
          <cell r="I350" t="str">
            <v>SoutMom</v>
          </cell>
          <cell r="J350" t="str">
            <v>ស្រី</v>
          </cell>
          <cell r="K350">
            <v>36320</v>
          </cell>
          <cell r="L350">
            <v>43743</v>
          </cell>
        </row>
        <row r="351">
          <cell r="C351">
            <v>3119</v>
          </cell>
          <cell r="D351" t="str">
            <v>កូវ</v>
          </cell>
          <cell r="E351" t="str">
            <v>ផារ់់ា់ត</v>
          </cell>
          <cell r="F351" t="str">
            <v>កូវផារ់់ា់ត</v>
          </cell>
          <cell r="G351" t="str">
            <v>Kov</v>
          </cell>
          <cell r="H351" t="str">
            <v>Pharat</v>
          </cell>
          <cell r="I351" t="str">
            <v>KovPharat</v>
          </cell>
          <cell r="J351" t="str">
            <v>ស្រី</v>
          </cell>
          <cell r="K351">
            <v>25275</v>
          </cell>
          <cell r="L351">
            <v>43742</v>
          </cell>
        </row>
        <row r="352">
          <cell r="C352">
            <v>3109</v>
          </cell>
          <cell r="D352" t="str">
            <v xml:space="preserve">គីត </v>
          </cell>
          <cell r="E352" t="str">
            <v>ដាឡែន</v>
          </cell>
          <cell r="F352" t="str">
            <v>គីត ដាឡែន</v>
          </cell>
          <cell r="G352" t="str">
            <v>KIT</v>
          </cell>
          <cell r="H352" t="str">
            <v>NHET</v>
          </cell>
          <cell r="I352" t="str">
            <v>KITNHET</v>
          </cell>
          <cell r="J352" t="str">
            <v>ស្រី</v>
          </cell>
          <cell r="K352">
            <v>31149</v>
          </cell>
          <cell r="L352">
            <v>43741</v>
          </cell>
        </row>
        <row r="353">
          <cell r="C353">
            <v>3130</v>
          </cell>
          <cell r="D353" t="str">
            <v>អ៊ួង</v>
          </cell>
          <cell r="E353" t="str">
            <v>សារី</v>
          </cell>
          <cell r="F353" t="str">
            <v>អ៊ួងសារី</v>
          </cell>
          <cell r="G353" t="str">
            <v xml:space="preserve">Oung </v>
          </cell>
          <cell r="H353" t="str">
            <v>SaRe</v>
          </cell>
          <cell r="I353" t="str">
            <v>Oung SaRe</v>
          </cell>
          <cell r="J353" t="str">
            <v>ស្រី</v>
          </cell>
          <cell r="K353">
            <v>29345</v>
          </cell>
          <cell r="L353">
            <v>43745</v>
          </cell>
        </row>
        <row r="354">
          <cell r="C354">
            <v>3323</v>
          </cell>
          <cell r="D354" t="str">
            <v>យ៉ុង</v>
          </cell>
          <cell r="E354" t="str">
            <v>ស្រីទូច</v>
          </cell>
          <cell r="F354" t="str">
            <v>យ៉ុងស្រីទូច</v>
          </cell>
          <cell r="G354" t="str">
            <v>Yong</v>
          </cell>
          <cell r="H354" t="str">
            <v>Sreytoch</v>
          </cell>
          <cell r="I354" t="str">
            <v>YongSreytoch</v>
          </cell>
          <cell r="J354" t="str">
            <v>ស្រី</v>
          </cell>
          <cell r="K354">
            <v>36924</v>
          </cell>
          <cell r="L354">
            <v>43746</v>
          </cell>
        </row>
        <row r="355">
          <cell r="C355">
            <v>3107</v>
          </cell>
          <cell r="D355" t="str">
            <v>ឡុង</v>
          </cell>
          <cell r="E355" t="str">
            <v>មុនីរត្ន័</v>
          </cell>
          <cell r="F355" t="str">
            <v>ឡុងមុនីរត្ន័</v>
          </cell>
          <cell r="G355" t="str">
            <v xml:space="preserve">Long </v>
          </cell>
          <cell r="H355" t="str">
            <v>Moniroth</v>
          </cell>
          <cell r="I355" t="str">
            <v>Long Moniroth</v>
          </cell>
          <cell r="J355" t="str">
            <v>ស្រី</v>
          </cell>
          <cell r="K355" t="str">
            <v>2/Juy/84</v>
          </cell>
          <cell r="L355">
            <v>43741</v>
          </cell>
        </row>
        <row r="356">
          <cell r="C356">
            <v>3134</v>
          </cell>
          <cell r="D356" t="str">
            <v>ខុន</v>
          </cell>
          <cell r="E356" t="str">
            <v>គន្ធា</v>
          </cell>
          <cell r="F356" t="str">
            <v>ខុនគន្ធា</v>
          </cell>
          <cell r="G356" t="str">
            <v>Khon</v>
          </cell>
          <cell r="H356" t="str">
            <v>KunThea</v>
          </cell>
          <cell r="I356" t="str">
            <v>KhonKunThea</v>
          </cell>
          <cell r="J356" t="str">
            <v>ស្រី</v>
          </cell>
          <cell r="K356">
            <v>31413</v>
          </cell>
          <cell r="L356">
            <v>43745</v>
          </cell>
        </row>
        <row r="357">
          <cell r="C357">
            <v>3345</v>
          </cell>
          <cell r="D357" t="str">
            <v>សុខន</v>
          </cell>
          <cell r="E357" t="str">
            <v>សុខចាន់</v>
          </cell>
          <cell r="F357" t="str">
            <v>សុខនសុខចាន់</v>
          </cell>
          <cell r="G357" t="str">
            <v>sokkorn</v>
          </cell>
          <cell r="H357" t="str">
            <v>Sokchan</v>
          </cell>
          <cell r="I357" t="str">
            <v>sokkornSokchan</v>
          </cell>
          <cell r="J357" t="str">
            <v>ស្រី</v>
          </cell>
          <cell r="K357">
            <v>35860</v>
          </cell>
          <cell r="L357">
            <v>43750</v>
          </cell>
        </row>
        <row r="358">
          <cell r="C358">
            <v>3379</v>
          </cell>
          <cell r="D358" t="str">
            <v>គា</v>
          </cell>
          <cell r="E358" t="str">
            <v>សុភាព</v>
          </cell>
          <cell r="F358" t="str">
            <v>គាសុភាព</v>
          </cell>
          <cell r="G358" t="str">
            <v>Kea</v>
          </cell>
          <cell r="H358" t="str">
            <v>Sopheap</v>
          </cell>
          <cell r="I358" t="str">
            <v>KeaSopheap</v>
          </cell>
          <cell r="J358" t="str">
            <v>ស្រី</v>
          </cell>
          <cell r="K358">
            <v>28895</v>
          </cell>
          <cell r="L358">
            <v>43747</v>
          </cell>
        </row>
        <row r="359">
          <cell r="C359">
            <v>3375</v>
          </cell>
          <cell r="D359" t="str">
            <v>ង៉ែត</v>
          </cell>
          <cell r="E359" t="str">
            <v>សុខុម</v>
          </cell>
          <cell r="F359" t="str">
            <v>ង៉ែតសុខុម</v>
          </cell>
          <cell r="G359" t="str">
            <v>Nget</v>
          </cell>
          <cell r="H359" t="str">
            <v>Sokhom</v>
          </cell>
          <cell r="I359" t="str">
            <v>NgetSokhom</v>
          </cell>
          <cell r="J359" t="str">
            <v>ស្រី</v>
          </cell>
          <cell r="K359">
            <v>23477</v>
          </cell>
          <cell r="L359">
            <v>43755</v>
          </cell>
        </row>
        <row r="360">
          <cell r="C360">
            <v>3371</v>
          </cell>
          <cell r="D360" t="str">
            <v>ផេង</v>
          </cell>
          <cell r="E360" t="str">
            <v>សាធន់</v>
          </cell>
          <cell r="F360" t="str">
            <v>ផេងសាធន់</v>
          </cell>
          <cell r="G360" t="str">
            <v>Pheng</v>
          </cell>
          <cell r="H360" t="str">
            <v>Sathun</v>
          </cell>
          <cell r="I360" t="str">
            <v>PhengSathun</v>
          </cell>
          <cell r="J360" t="str">
            <v>ស្រី</v>
          </cell>
          <cell r="K360">
            <v>33843</v>
          </cell>
          <cell r="L360">
            <v>43755</v>
          </cell>
        </row>
        <row r="361">
          <cell r="C361">
            <v>3370</v>
          </cell>
          <cell r="D361" t="str">
            <v>ផេង</v>
          </cell>
          <cell r="E361" t="str">
            <v>សុភាន់</v>
          </cell>
          <cell r="F361" t="str">
            <v>ផេងសុភាន់</v>
          </cell>
          <cell r="G361" t="str">
            <v>Pheng</v>
          </cell>
          <cell r="H361" t="str">
            <v>Sophon</v>
          </cell>
          <cell r="I361" t="str">
            <v>PhengSophon</v>
          </cell>
          <cell r="J361" t="str">
            <v>ស្រី</v>
          </cell>
          <cell r="K361">
            <v>30480</v>
          </cell>
          <cell r="L361">
            <v>43755</v>
          </cell>
        </row>
        <row r="362">
          <cell r="C362">
            <v>3319</v>
          </cell>
          <cell r="D362" t="str">
            <v>ទួន</v>
          </cell>
          <cell r="E362" t="str">
            <v>ស៊ីនួន</v>
          </cell>
          <cell r="F362" t="str">
            <v>ទួនស៊ីនួន</v>
          </cell>
          <cell r="G362" t="str">
            <v>Tuon</v>
          </cell>
          <cell r="H362" t="str">
            <v>Sinuon</v>
          </cell>
          <cell r="I362" t="str">
            <v>TuonSinuon</v>
          </cell>
          <cell r="J362" t="str">
            <v>ស្រី</v>
          </cell>
          <cell r="K362">
            <v>36541</v>
          </cell>
          <cell r="L362">
            <v>43745</v>
          </cell>
        </row>
        <row r="363">
          <cell r="C363">
            <v>3384</v>
          </cell>
          <cell r="D363" t="str">
            <v>ហេង</v>
          </cell>
          <cell r="E363" t="str">
            <v>ណា</v>
          </cell>
          <cell r="F363" t="str">
            <v>ហេងណា</v>
          </cell>
          <cell r="G363" t="str">
            <v>Heng</v>
          </cell>
          <cell r="H363" t="str">
            <v>Na</v>
          </cell>
          <cell r="I363" t="str">
            <v>HengNa</v>
          </cell>
          <cell r="J363" t="str">
            <v>ស្រី</v>
          </cell>
          <cell r="K363">
            <v>28401</v>
          </cell>
          <cell r="L363">
            <v>43756</v>
          </cell>
        </row>
        <row r="364">
          <cell r="C364">
            <v>3390</v>
          </cell>
          <cell r="D364" t="str">
            <v>សាយ</v>
          </cell>
          <cell r="E364" t="str">
            <v>ដារី</v>
          </cell>
          <cell r="F364" t="str">
            <v>សាយដារី</v>
          </cell>
          <cell r="G364" t="str">
            <v>Say</v>
          </cell>
          <cell r="H364" t="str">
            <v>DaRi</v>
          </cell>
          <cell r="I364" t="str">
            <v>SayDaRi</v>
          </cell>
          <cell r="J364" t="str">
            <v>ស្រី</v>
          </cell>
          <cell r="K364">
            <v>33374</v>
          </cell>
          <cell r="L364">
            <v>43760</v>
          </cell>
        </row>
        <row r="365">
          <cell r="C365">
            <v>3369</v>
          </cell>
          <cell r="D365" t="str">
            <v>សំ</v>
          </cell>
          <cell r="E365" t="str">
            <v>សុគង់</v>
          </cell>
          <cell r="F365" t="str">
            <v>សំសុគង់</v>
          </cell>
          <cell r="G365" t="str">
            <v>Sam</v>
          </cell>
          <cell r="H365" t="str">
            <v>SOKONG</v>
          </cell>
          <cell r="I365" t="str">
            <v>SamSOKONG</v>
          </cell>
          <cell r="J365" t="str">
            <v>ស្រី</v>
          </cell>
          <cell r="K365">
            <v>29643</v>
          </cell>
          <cell r="L365">
            <v>43755</v>
          </cell>
        </row>
        <row r="366">
          <cell r="C366">
            <v>3388</v>
          </cell>
          <cell r="D366" t="str">
            <v>សុខ</v>
          </cell>
          <cell r="E366" t="str">
            <v>ចាន់នី</v>
          </cell>
          <cell r="F366" t="str">
            <v>សុខចាន់នី</v>
          </cell>
          <cell r="G366" t="str">
            <v xml:space="preserve">Sok </v>
          </cell>
          <cell r="H366" t="str">
            <v>Channy</v>
          </cell>
          <cell r="I366" t="str">
            <v>Sok Channy</v>
          </cell>
          <cell r="J366" t="str">
            <v>ស្រី</v>
          </cell>
          <cell r="K366">
            <v>30142</v>
          </cell>
          <cell r="L366">
            <v>43760</v>
          </cell>
        </row>
        <row r="367">
          <cell r="C367">
            <v>3385</v>
          </cell>
          <cell r="D367" t="str">
            <v>ឌឿ</v>
          </cell>
          <cell r="E367" t="str">
            <v>ស្រីស</v>
          </cell>
          <cell r="F367" t="str">
            <v>ឌឿស្រីស</v>
          </cell>
          <cell r="G367" t="str">
            <v>DEU</v>
          </cell>
          <cell r="H367" t="str">
            <v>SREYSAR</v>
          </cell>
          <cell r="I367" t="str">
            <v>DEUSREYSAR</v>
          </cell>
          <cell r="J367" t="str">
            <v>ស្រី</v>
          </cell>
          <cell r="K367">
            <v>33729</v>
          </cell>
          <cell r="L367">
            <v>44122</v>
          </cell>
        </row>
        <row r="368">
          <cell r="C368">
            <v>3399</v>
          </cell>
          <cell r="D368" t="str">
            <v>ទូច</v>
          </cell>
          <cell r="E368" t="str">
            <v>ប៌ុនលី</v>
          </cell>
          <cell r="F368" t="str">
            <v>ទូចប៌ុនលី</v>
          </cell>
          <cell r="G368" t="str">
            <v>Touch</v>
          </cell>
          <cell r="H368" t="str">
            <v>Bunly</v>
          </cell>
          <cell r="I368" t="str">
            <v>TouchBunly</v>
          </cell>
          <cell r="J368" t="str">
            <v>ស្រី</v>
          </cell>
          <cell r="K368">
            <v>27834</v>
          </cell>
          <cell r="L368">
            <v>43760</v>
          </cell>
        </row>
        <row r="369">
          <cell r="C369">
            <v>3393</v>
          </cell>
          <cell r="D369" t="str">
            <v>អ៊ុក</v>
          </cell>
          <cell r="E369" t="str">
            <v>ភេទ</v>
          </cell>
          <cell r="F369" t="str">
            <v>អ៊ុកភេទ</v>
          </cell>
          <cell r="G369" t="str">
            <v>Uk</v>
          </cell>
          <cell r="H369" t="str">
            <v>Pan</v>
          </cell>
          <cell r="I369" t="str">
            <v>UkPan</v>
          </cell>
          <cell r="J369" t="str">
            <v>ស្រី</v>
          </cell>
          <cell r="K369">
            <v>29952</v>
          </cell>
          <cell r="L369">
            <v>43760</v>
          </cell>
        </row>
        <row r="370">
          <cell r="C370">
            <v>3386</v>
          </cell>
          <cell r="D370" t="str">
            <v>អិន</v>
          </cell>
          <cell r="E370" t="str">
            <v>ស៊ីនួន</v>
          </cell>
          <cell r="F370" t="str">
            <v>អិនស៊ីនួន</v>
          </cell>
          <cell r="G370" t="str">
            <v>In</v>
          </cell>
          <cell r="H370" t="str">
            <v>Sinuon</v>
          </cell>
          <cell r="I370" t="str">
            <v>InSinuon</v>
          </cell>
          <cell r="J370" t="str">
            <v>ស្រី</v>
          </cell>
          <cell r="K370">
            <v>30399</v>
          </cell>
          <cell r="L370">
            <v>43759</v>
          </cell>
        </row>
        <row r="371">
          <cell r="C371">
            <v>3396</v>
          </cell>
          <cell r="D371" t="str">
            <v>ស៊ឹម</v>
          </cell>
          <cell r="E371" t="str">
            <v>បុរី</v>
          </cell>
          <cell r="F371" t="str">
            <v>ស៊ឹមបុរី</v>
          </cell>
          <cell r="G371" t="str">
            <v>Some</v>
          </cell>
          <cell r="H371" t="str">
            <v>Bory</v>
          </cell>
          <cell r="I371" t="str">
            <v>SomeBory</v>
          </cell>
          <cell r="J371" t="str">
            <v>ស្រី</v>
          </cell>
          <cell r="K371">
            <v>25973</v>
          </cell>
          <cell r="L371">
            <v>43760</v>
          </cell>
        </row>
        <row r="372">
          <cell r="C372">
            <v>3402</v>
          </cell>
          <cell r="D372" t="str">
            <v>រត្ន័</v>
          </cell>
          <cell r="E372" t="str">
            <v>ឡៃ</v>
          </cell>
          <cell r="F372" t="str">
            <v>រត្ន័ឡៃ</v>
          </cell>
          <cell r="G372" t="str">
            <v>Rath</v>
          </cell>
          <cell r="H372" t="str">
            <v>Lai</v>
          </cell>
          <cell r="I372" t="str">
            <v>RathLai</v>
          </cell>
          <cell r="J372" t="str">
            <v>ស្រី</v>
          </cell>
          <cell r="K372">
            <v>29053</v>
          </cell>
          <cell r="L372">
            <v>43760</v>
          </cell>
        </row>
        <row r="373">
          <cell r="C373">
            <v>3100</v>
          </cell>
          <cell r="D373" t="str">
            <v>យ៉ាន</v>
          </cell>
          <cell r="E373" t="str">
            <v>បារាំង</v>
          </cell>
          <cell r="F373" t="str">
            <v>យ៉ានបារាំង</v>
          </cell>
          <cell r="G373" t="str">
            <v>Yan</v>
          </cell>
          <cell r="H373" t="str">
            <v>Baraing</v>
          </cell>
          <cell r="I373" t="str">
            <v>YanBaraing</v>
          </cell>
          <cell r="J373" t="str">
            <v>ប្រុស</v>
          </cell>
          <cell r="K373">
            <v>32364</v>
          </cell>
          <cell r="L373">
            <v>43740</v>
          </cell>
        </row>
        <row r="374">
          <cell r="C374">
            <v>3373</v>
          </cell>
          <cell r="D374" t="str">
            <v>អីងុ</v>
          </cell>
          <cell r="E374" t="str">
            <v>ចាន់ណា</v>
          </cell>
          <cell r="F374" t="str">
            <v>អីងុចាន់ណា</v>
          </cell>
          <cell r="G374" t="str">
            <v>Eung</v>
          </cell>
          <cell r="H374" t="str">
            <v>Channa</v>
          </cell>
          <cell r="I374" t="str">
            <v>EungChanna</v>
          </cell>
          <cell r="J374" t="str">
            <v>ប្រុស</v>
          </cell>
          <cell r="K374">
            <v>36331</v>
          </cell>
          <cell r="L374">
            <v>43755</v>
          </cell>
        </row>
        <row r="375">
          <cell r="C375">
            <v>3372</v>
          </cell>
          <cell r="D375" t="str">
            <v>ស៌ាន</v>
          </cell>
          <cell r="E375" t="str">
            <v>ឡន</v>
          </cell>
          <cell r="F375" t="str">
            <v>ស៌ានឡន</v>
          </cell>
          <cell r="G375" t="str">
            <v>Sean</v>
          </cell>
          <cell r="H375" t="str">
            <v>Lorn</v>
          </cell>
          <cell r="I375" t="str">
            <v>SeanLorn</v>
          </cell>
          <cell r="J375" t="str">
            <v>ប្រុស</v>
          </cell>
          <cell r="K375">
            <v>36576</v>
          </cell>
          <cell r="L375">
            <v>43754</v>
          </cell>
        </row>
        <row r="376">
          <cell r="C376">
            <v>3111</v>
          </cell>
          <cell r="D376" t="str">
            <v>ជិន</v>
          </cell>
          <cell r="E376" t="str">
            <v>ស្រីនិច</v>
          </cell>
          <cell r="F376" t="str">
            <v>ជិនស្រីនិច</v>
          </cell>
          <cell r="G376" t="str">
            <v>Chin</v>
          </cell>
          <cell r="H376" t="str">
            <v>Sreynich</v>
          </cell>
          <cell r="I376" t="str">
            <v>ChinSreynich</v>
          </cell>
          <cell r="J376" t="str">
            <v>ស្រី</v>
          </cell>
          <cell r="K376">
            <v>36417</v>
          </cell>
          <cell r="L376">
            <v>43740</v>
          </cell>
        </row>
        <row r="377">
          <cell r="C377">
            <v>3317</v>
          </cell>
          <cell r="D377" t="str">
            <v>បូច</v>
          </cell>
          <cell r="E377" t="str">
            <v>វិត</v>
          </cell>
          <cell r="F377" t="str">
            <v>បូចវិត</v>
          </cell>
          <cell r="G377" t="str">
            <v xml:space="preserve">Poch </v>
          </cell>
          <cell r="H377" t="str">
            <v>Vit</v>
          </cell>
          <cell r="I377" t="str">
            <v>Poch Vit</v>
          </cell>
          <cell r="J377" t="str">
            <v>ស្រី</v>
          </cell>
          <cell r="K377">
            <v>35261</v>
          </cell>
          <cell r="L377">
            <v>43743</v>
          </cell>
        </row>
        <row r="378">
          <cell r="C378">
            <v>3324</v>
          </cell>
          <cell r="D378" t="str">
            <v>ឡុង</v>
          </cell>
          <cell r="E378" t="str">
            <v>ពុធផាយ</v>
          </cell>
          <cell r="F378" t="str">
            <v>ឡុងពុធផាយ</v>
          </cell>
          <cell r="G378" t="str">
            <v>Long</v>
          </cell>
          <cell r="H378" t="str">
            <v>Putthay</v>
          </cell>
          <cell r="I378" t="str">
            <v>LongPutthay</v>
          </cell>
          <cell r="J378" t="str">
            <v>ស្រី</v>
          </cell>
          <cell r="K378">
            <v>34326</v>
          </cell>
          <cell r="L378">
            <v>43746</v>
          </cell>
        </row>
        <row r="379">
          <cell r="C379">
            <v>3321</v>
          </cell>
          <cell r="D379" t="str">
            <v>ជូប</v>
          </cell>
          <cell r="E379" t="str">
            <v>ឆេងឡែ</v>
          </cell>
          <cell r="F379" t="str">
            <v>ជូបឆេងឡែ</v>
          </cell>
          <cell r="G379" t="str">
            <v>Choub</v>
          </cell>
          <cell r="H379" t="str">
            <v>Chheenglal</v>
          </cell>
          <cell r="I379" t="str">
            <v>ChoubChheenglal</v>
          </cell>
          <cell r="J379" t="str">
            <v>ស្រី</v>
          </cell>
          <cell r="K379">
            <v>33764</v>
          </cell>
          <cell r="L379">
            <v>43746</v>
          </cell>
        </row>
        <row r="380">
          <cell r="C380">
            <v>3328</v>
          </cell>
          <cell r="D380" t="str">
            <v>យូ</v>
          </cell>
          <cell r="E380" t="str">
            <v>ស្រីលាក់</v>
          </cell>
          <cell r="F380" t="str">
            <v>យូស្រីលាក់</v>
          </cell>
          <cell r="G380" t="str">
            <v>You</v>
          </cell>
          <cell r="H380" t="str">
            <v>SreyLeak</v>
          </cell>
          <cell r="I380" t="str">
            <v>YouSreyLeak</v>
          </cell>
          <cell r="J380" t="str">
            <v>ស្រី</v>
          </cell>
          <cell r="K380">
            <v>34012</v>
          </cell>
          <cell r="L380">
            <v>43746</v>
          </cell>
        </row>
        <row r="381">
          <cell r="C381">
            <v>3336</v>
          </cell>
          <cell r="D381" t="str">
            <v>ប៉ូច</v>
          </cell>
          <cell r="E381" t="str">
            <v>ចាន់</v>
          </cell>
          <cell r="F381" t="str">
            <v>ប៉ូចចាន់</v>
          </cell>
          <cell r="G381" t="str">
            <v>Bon</v>
          </cell>
          <cell r="H381" t="str">
            <v>Chan</v>
          </cell>
          <cell r="I381" t="str">
            <v>BonChan</v>
          </cell>
          <cell r="J381" t="str">
            <v>ប្រុស</v>
          </cell>
          <cell r="K381">
            <v>35833</v>
          </cell>
          <cell r="L381">
            <v>43749</v>
          </cell>
        </row>
        <row r="382">
          <cell r="C382">
            <v>3361</v>
          </cell>
          <cell r="D382" t="str">
            <v>រៀល</v>
          </cell>
          <cell r="E382" t="str">
            <v>សុផល្លី</v>
          </cell>
          <cell r="F382" t="str">
            <v>រៀលសុផល្លី</v>
          </cell>
          <cell r="G382" t="str">
            <v>Riel</v>
          </cell>
          <cell r="H382" t="str">
            <v>Sophaly</v>
          </cell>
          <cell r="I382" t="str">
            <v>RielSophaly</v>
          </cell>
          <cell r="J382" t="str">
            <v>ស្រី</v>
          </cell>
          <cell r="K382">
            <v>27918</v>
          </cell>
          <cell r="L382">
            <v>43755</v>
          </cell>
        </row>
        <row r="383">
          <cell r="C383">
            <v>3126</v>
          </cell>
          <cell r="D383" t="str">
            <v>ជូន</v>
          </cell>
          <cell r="E383" t="str">
            <v>សំអុល</v>
          </cell>
          <cell r="F383" t="str">
            <v>ជូនសំអុល</v>
          </cell>
          <cell r="G383" t="str">
            <v>Chourn</v>
          </cell>
          <cell r="H383" t="str">
            <v>Somol</v>
          </cell>
          <cell r="I383" t="str">
            <v>ChournSomol</v>
          </cell>
          <cell r="J383" t="str">
            <v>ស្រី</v>
          </cell>
          <cell r="K383">
            <v>30929</v>
          </cell>
          <cell r="L383">
            <v>43742</v>
          </cell>
        </row>
        <row r="384">
          <cell r="C384">
            <v>3318</v>
          </cell>
          <cell r="D384" t="str">
            <v>ភឿន</v>
          </cell>
          <cell r="E384" t="str">
            <v>រាប</v>
          </cell>
          <cell r="F384" t="str">
            <v>ភឿនរាប</v>
          </cell>
          <cell r="G384" t="str">
            <v>Phoreun</v>
          </cell>
          <cell r="H384" t="str">
            <v>Reap</v>
          </cell>
          <cell r="I384" t="str">
            <v>PhoreunReap</v>
          </cell>
          <cell r="J384" t="str">
            <v>ស្រី</v>
          </cell>
          <cell r="K384">
            <v>36471</v>
          </cell>
          <cell r="L384">
            <v>43743</v>
          </cell>
        </row>
        <row r="385">
          <cell r="C385">
            <v>3335</v>
          </cell>
          <cell r="D385" t="str">
            <v>ស្រី</v>
          </cell>
          <cell r="E385" t="str">
            <v>សាត</v>
          </cell>
          <cell r="F385" t="str">
            <v>ស្រីសាត</v>
          </cell>
          <cell r="G385" t="str">
            <v>Srey</v>
          </cell>
          <cell r="H385" t="str">
            <v>Sat</v>
          </cell>
          <cell r="I385" t="str">
            <v>SreySat</v>
          </cell>
          <cell r="J385" t="str">
            <v>ប្រុស</v>
          </cell>
          <cell r="K385">
            <v>30651</v>
          </cell>
          <cell r="L385">
            <v>43749</v>
          </cell>
        </row>
        <row r="386">
          <cell r="C386">
            <v>3365</v>
          </cell>
          <cell r="D386" t="str">
            <v>សុ៍យ</v>
          </cell>
          <cell r="E386" t="str">
            <v>លាង</v>
          </cell>
          <cell r="F386" t="str">
            <v>សុ៍យលាង</v>
          </cell>
          <cell r="G386" t="str">
            <v>Suy</v>
          </cell>
          <cell r="H386" t="str">
            <v>Leang</v>
          </cell>
          <cell r="I386" t="str">
            <v>SuyLeang</v>
          </cell>
          <cell r="J386" t="str">
            <v>ស្រី</v>
          </cell>
          <cell r="K386">
            <v>33637</v>
          </cell>
          <cell r="L386">
            <v>43755</v>
          </cell>
        </row>
        <row r="387">
          <cell r="C387">
            <v>3380</v>
          </cell>
          <cell r="D387" t="str">
            <v>ណុច</v>
          </cell>
          <cell r="E387" t="str">
            <v>ណារី</v>
          </cell>
          <cell r="F387" t="str">
            <v>ណុចណារី</v>
          </cell>
          <cell r="G387" t="str">
            <v>Nuch</v>
          </cell>
          <cell r="H387" t="str">
            <v>Nary</v>
          </cell>
          <cell r="I387" t="str">
            <v>NuchNary</v>
          </cell>
          <cell r="J387" t="str">
            <v>ស្រី</v>
          </cell>
          <cell r="K387">
            <v>31145</v>
          </cell>
          <cell r="L387">
            <v>43755</v>
          </cell>
        </row>
        <row r="388">
          <cell r="C388">
            <v>3327</v>
          </cell>
          <cell r="D388" t="str">
            <v>ជា</v>
          </cell>
          <cell r="E388" t="str">
            <v>ឌីណា</v>
          </cell>
          <cell r="F388" t="str">
            <v>ជាឌីណា</v>
          </cell>
          <cell r="G388" t="str">
            <v>Chea</v>
          </cell>
          <cell r="H388" t="str">
            <v>Dina</v>
          </cell>
          <cell r="I388" t="str">
            <v>CheaDina</v>
          </cell>
          <cell r="J388" t="str">
            <v>ប្រុស</v>
          </cell>
          <cell r="K388">
            <v>33361</v>
          </cell>
          <cell r="L388">
            <v>43746</v>
          </cell>
        </row>
        <row r="389">
          <cell r="C389">
            <v>3377</v>
          </cell>
          <cell r="D389" t="str">
            <v>ផេង</v>
          </cell>
          <cell r="E389" t="str">
            <v>សាខន</v>
          </cell>
          <cell r="F389" t="str">
            <v>ផេងសាខន</v>
          </cell>
          <cell r="G389" t="str">
            <v>Pheng</v>
          </cell>
          <cell r="H389" t="str">
            <v>Sakhon</v>
          </cell>
          <cell r="I389" t="str">
            <v>PhengSakhon</v>
          </cell>
          <cell r="J389" t="str">
            <v>ស្រី</v>
          </cell>
          <cell r="K389">
            <v>31419</v>
          </cell>
          <cell r="L389">
            <v>43755</v>
          </cell>
        </row>
        <row r="390">
          <cell r="C390">
            <v>3400</v>
          </cell>
          <cell r="D390" t="str">
            <v>បែ់់់់ន</v>
          </cell>
          <cell r="E390" t="str">
            <v>សុតេង</v>
          </cell>
          <cell r="F390" t="str">
            <v>បែ់់់់នសុតេង</v>
          </cell>
          <cell r="G390" t="str">
            <v>Pen</v>
          </cell>
          <cell r="H390" t="str">
            <v>Soteng</v>
          </cell>
          <cell r="I390" t="str">
            <v>PenSoteng</v>
          </cell>
          <cell r="J390" t="str">
            <v>ស្រី</v>
          </cell>
          <cell r="K390">
            <v>31658</v>
          </cell>
          <cell r="L390">
            <v>43760</v>
          </cell>
        </row>
        <row r="391">
          <cell r="C391">
            <v>3110</v>
          </cell>
          <cell r="D391" t="str">
            <v>ជា</v>
          </cell>
          <cell r="E391" t="str">
            <v>ដាឡែន</v>
          </cell>
          <cell r="F391" t="str">
            <v>ជាដាឡែន</v>
          </cell>
          <cell r="G391" t="str">
            <v>CHEA</v>
          </cell>
          <cell r="H391" t="str">
            <v>DALEN</v>
          </cell>
          <cell r="I391" t="str">
            <v>CHEADALEN</v>
          </cell>
          <cell r="J391" t="str">
            <v>ស្រី</v>
          </cell>
          <cell r="K391">
            <v>36630</v>
          </cell>
          <cell r="L391">
            <v>43741</v>
          </cell>
        </row>
        <row r="392">
          <cell r="C392">
            <v>3415</v>
          </cell>
          <cell r="D392" t="str">
            <v>ម៉ៅ</v>
          </cell>
          <cell r="E392" t="str">
            <v>សុណៃ</v>
          </cell>
          <cell r="F392" t="str">
            <v>ម៉ៅសុណៃ</v>
          </cell>
          <cell r="G392" t="str">
            <v>MAO</v>
          </cell>
          <cell r="H392" t="str">
            <v>SONAI</v>
          </cell>
          <cell r="I392" t="str">
            <v>MAOSONAI</v>
          </cell>
          <cell r="J392" t="str">
            <v>ស្រី</v>
          </cell>
          <cell r="K392">
            <v>36990</v>
          </cell>
          <cell r="L392">
            <v>43765</v>
          </cell>
        </row>
        <row r="393">
          <cell r="C393">
            <v>3362</v>
          </cell>
          <cell r="D393" t="str">
            <v>ហឿង</v>
          </cell>
          <cell r="E393" t="str">
            <v>ង៉ុន</v>
          </cell>
          <cell r="F393" t="str">
            <v>ហឿងង៉ុន</v>
          </cell>
          <cell r="G393" t="str">
            <v>HOEUNG</v>
          </cell>
          <cell r="H393" t="str">
            <v>NGON</v>
          </cell>
          <cell r="I393" t="str">
            <v>HOEUNGNGON</v>
          </cell>
          <cell r="J393" t="str">
            <v>ស្រី</v>
          </cell>
          <cell r="K393">
            <v>29772</v>
          </cell>
          <cell r="L393">
            <v>43755</v>
          </cell>
        </row>
        <row r="394">
          <cell r="C394">
            <v>3412</v>
          </cell>
          <cell r="D394" t="str">
            <v>សុខ</v>
          </cell>
          <cell r="E394" t="str">
            <v>សាមី</v>
          </cell>
          <cell r="F394" t="str">
            <v>សុខសាមី</v>
          </cell>
          <cell r="G394" t="str">
            <v>SOK</v>
          </cell>
          <cell r="H394" t="str">
            <v>SAMEY</v>
          </cell>
          <cell r="I394" t="str">
            <v>SOKSAMEY</v>
          </cell>
          <cell r="J394" t="str">
            <v>ស្រី</v>
          </cell>
          <cell r="K394">
            <v>30198</v>
          </cell>
          <cell r="L394">
            <v>43763</v>
          </cell>
        </row>
        <row r="395">
          <cell r="C395">
            <v>3409</v>
          </cell>
          <cell r="D395" t="str">
            <v>មឹក</v>
          </cell>
          <cell r="E395" t="str">
            <v>ធារ៉ា</v>
          </cell>
          <cell r="F395" t="str">
            <v>មឹកធារ៉ា</v>
          </cell>
          <cell r="G395" t="str">
            <v>MOEK</v>
          </cell>
          <cell r="H395" t="str">
            <v>THEARA</v>
          </cell>
          <cell r="I395" t="str">
            <v>MOEKTHEARA</v>
          </cell>
          <cell r="J395" t="str">
            <v>ស្រី</v>
          </cell>
          <cell r="K395">
            <v>32092</v>
          </cell>
          <cell r="L395">
            <v>43763</v>
          </cell>
        </row>
        <row r="396">
          <cell r="C396">
            <v>3397</v>
          </cell>
          <cell r="D396" t="str">
            <v>សំ</v>
          </cell>
          <cell r="E396" t="str">
            <v>សុខុម</v>
          </cell>
          <cell r="F396" t="str">
            <v>សំសុខុម</v>
          </cell>
          <cell r="G396" t="str">
            <v>SAM</v>
          </cell>
          <cell r="H396" t="str">
            <v>SOKHOM</v>
          </cell>
          <cell r="I396" t="str">
            <v>SAMSOKHOM</v>
          </cell>
          <cell r="J396" t="str">
            <v>ស្រី</v>
          </cell>
          <cell r="K396">
            <v>30788</v>
          </cell>
          <cell r="L396">
            <v>43760</v>
          </cell>
        </row>
        <row r="397">
          <cell r="C397">
            <v>3398</v>
          </cell>
          <cell r="D397" t="str">
            <v>មុំ</v>
          </cell>
          <cell r="E397" t="str">
            <v>ណេត</v>
          </cell>
          <cell r="F397" t="str">
            <v>មុំណេត</v>
          </cell>
          <cell r="G397" t="str">
            <v>MOM</v>
          </cell>
          <cell r="H397" t="str">
            <v>NETH</v>
          </cell>
          <cell r="I397" t="str">
            <v>MOMNETH</v>
          </cell>
          <cell r="J397" t="str">
            <v>ស្រី</v>
          </cell>
          <cell r="K397">
            <v>31788</v>
          </cell>
          <cell r="L397">
            <v>43760</v>
          </cell>
        </row>
        <row r="398">
          <cell r="C398">
            <v>3359</v>
          </cell>
          <cell r="D398" t="str">
            <v>ឈឹម</v>
          </cell>
          <cell r="E398" t="str">
            <v>ដានី</v>
          </cell>
          <cell r="F398" t="str">
            <v>ឈឹមដានី</v>
          </cell>
          <cell r="G398" t="str">
            <v>CHHOEM</v>
          </cell>
          <cell r="H398" t="str">
            <v>DANY</v>
          </cell>
          <cell r="I398" t="str">
            <v>CHHOEMDANY</v>
          </cell>
          <cell r="J398" t="str">
            <v>ស្រី</v>
          </cell>
          <cell r="K398">
            <v>34182</v>
          </cell>
          <cell r="L398">
            <v>43755</v>
          </cell>
        </row>
        <row r="399">
          <cell r="C399">
            <v>3406</v>
          </cell>
          <cell r="D399" t="str">
            <v>ប៊ុន</v>
          </cell>
          <cell r="E399" t="str">
            <v>ចិន្តា</v>
          </cell>
          <cell r="F399" t="str">
            <v>ប៊ុនចិន្តា</v>
          </cell>
          <cell r="G399" t="str">
            <v>BUN</v>
          </cell>
          <cell r="H399" t="str">
            <v>CHENDA</v>
          </cell>
          <cell r="I399" t="str">
            <v>BUNCHENDA</v>
          </cell>
          <cell r="J399" t="str">
            <v>ស្រី</v>
          </cell>
          <cell r="K399">
            <v>30867</v>
          </cell>
          <cell r="L399">
            <v>43760</v>
          </cell>
        </row>
        <row r="400">
          <cell r="C400">
            <v>3394</v>
          </cell>
          <cell r="D400" t="str">
            <v>វន</v>
          </cell>
          <cell r="E400" t="str">
            <v>សារុត</v>
          </cell>
          <cell r="F400" t="str">
            <v>វនសារុត</v>
          </cell>
          <cell r="G400" t="str">
            <v>VORN</v>
          </cell>
          <cell r="H400" t="str">
            <v>SARUT</v>
          </cell>
          <cell r="I400" t="str">
            <v>VORNSARUT</v>
          </cell>
          <cell r="J400" t="str">
            <v>ស្រី</v>
          </cell>
          <cell r="K400">
            <v>27852</v>
          </cell>
          <cell r="L400">
            <v>43760</v>
          </cell>
        </row>
        <row r="401">
          <cell r="C401">
            <v>3395</v>
          </cell>
          <cell r="D401" t="str">
            <v>កែវ</v>
          </cell>
          <cell r="E401" t="str">
            <v>ណា</v>
          </cell>
          <cell r="F401" t="str">
            <v>កែវណា</v>
          </cell>
          <cell r="G401" t="str">
            <v xml:space="preserve">Keo </v>
          </cell>
          <cell r="H401" t="str">
            <v>NA</v>
          </cell>
          <cell r="I401" t="str">
            <v>Keo NA</v>
          </cell>
          <cell r="J401" t="str">
            <v>ស្រី</v>
          </cell>
          <cell r="K401">
            <v>33624</v>
          </cell>
          <cell r="L401">
            <v>43760</v>
          </cell>
        </row>
        <row r="402">
          <cell r="C402">
            <v>3105</v>
          </cell>
          <cell r="D402" t="str">
            <v>ម៉េ</v>
          </cell>
          <cell r="E402" t="str">
            <v>បុផ្ផា</v>
          </cell>
          <cell r="F402" t="str">
            <v>ម៉េបុផ្ផា</v>
          </cell>
          <cell r="G402" t="str">
            <v>ME</v>
          </cell>
          <cell r="H402" t="str">
            <v>BOPHA</v>
          </cell>
          <cell r="I402" t="str">
            <v>MEBOPHA</v>
          </cell>
          <cell r="J402" t="str">
            <v>ស្រី</v>
          </cell>
          <cell r="K402">
            <v>29983</v>
          </cell>
          <cell r="L402">
            <v>43740</v>
          </cell>
        </row>
        <row r="403">
          <cell r="C403">
            <v>3411</v>
          </cell>
          <cell r="D403" t="str">
            <v>សុខ</v>
          </cell>
          <cell r="E403" t="str">
            <v>គីមស្រីម</v>
          </cell>
          <cell r="F403" t="str">
            <v>សុខគីមស្រីម</v>
          </cell>
          <cell r="G403" t="str">
            <v>SOK</v>
          </cell>
          <cell r="H403" t="str">
            <v>KIMSRIM</v>
          </cell>
          <cell r="I403" t="str">
            <v>SOKKIMSRIM</v>
          </cell>
          <cell r="J403" t="str">
            <v>ស្រី</v>
          </cell>
          <cell r="K403">
            <v>32048</v>
          </cell>
          <cell r="L403">
            <v>43763</v>
          </cell>
        </row>
        <row r="404">
          <cell r="C404">
            <v>3352</v>
          </cell>
          <cell r="D404" t="str">
            <v>ធី</v>
          </cell>
          <cell r="E404" t="str">
            <v>ស្រីម៉ៅ</v>
          </cell>
          <cell r="F404" t="str">
            <v>ធីស្រីម៉ៅ</v>
          </cell>
          <cell r="G404" t="str">
            <v>THY</v>
          </cell>
          <cell r="H404" t="str">
            <v>SREYMAO</v>
          </cell>
          <cell r="I404" t="str">
            <v>THYSREYMAO</v>
          </cell>
          <cell r="J404" t="str">
            <v>ស្រី</v>
          </cell>
          <cell r="K404">
            <v>33119</v>
          </cell>
          <cell r="L404">
            <v>43755</v>
          </cell>
        </row>
        <row r="405">
          <cell r="C405">
            <v>3413</v>
          </cell>
          <cell r="D405" t="str">
            <v>អ៊ុន</v>
          </cell>
          <cell r="E405" t="str">
            <v>ស្រីនោ</v>
          </cell>
          <cell r="F405" t="str">
            <v>អ៊ុនស្រីនោ</v>
          </cell>
          <cell r="G405" t="str">
            <v>UON</v>
          </cell>
          <cell r="H405" t="str">
            <v>SREYNOU</v>
          </cell>
          <cell r="I405" t="str">
            <v>UONSREYNOU</v>
          </cell>
          <cell r="J405" t="str">
            <v>ស្រី</v>
          </cell>
          <cell r="K405">
            <v>34355</v>
          </cell>
          <cell r="L405">
            <v>43763</v>
          </cell>
        </row>
        <row r="406">
          <cell r="C406">
            <v>3381</v>
          </cell>
          <cell r="D406" t="str">
            <v>វង្ស</v>
          </cell>
          <cell r="E406" t="str">
            <v>សុវណ្ណា</v>
          </cell>
          <cell r="F406" t="str">
            <v>វង្សសុវណ្ណា</v>
          </cell>
          <cell r="G406" t="str">
            <v>VONG</v>
          </cell>
          <cell r="H406" t="str">
            <v>SOVANNA</v>
          </cell>
          <cell r="I406" t="str">
            <v>VONGSOVANNA</v>
          </cell>
          <cell r="J406" t="str">
            <v>ស្រី</v>
          </cell>
          <cell r="K406">
            <v>31579</v>
          </cell>
          <cell r="L406">
            <v>43755</v>
          </cell>
        </row>
        <row r="407">
          <cell r="C407">
            <v>3756</v>
          </cell>
          <cell r="D407" t="str">
            <v>ហ៊ុន</v>
          </cell>
          <cell r="E407" t="str">
            <v>ស្រីទូច</v>
          </cell>
          <cell r="F407" t="str">
            <v>ហ៊ុនស្រីទូច</v>
          </cell>
          <cell r="G407" t="str">
            <v>HUN</v>
          </cell>
          <cell r="H407" t="str">
            <v>SREYTOUCH</v>
          </cell>
          <cell r="I407" t="str">
            <v>HUNSREYTOUCH</v>
          </cell>
          <cell r="J407" t="str">
            <v>ស្រី</v>
          </cell>
          <cell r="K407">
            <v>35187</v>
          </cell>
          <cell r="L407">
            <v>43762</v>
          </cell>
        </row>
        <row r="408">
          <cell r="C408">
            <v>3170</v>
          </cell>
          <cell r="D408" t="str">
            <v>យឹម</v>
          </cell>
          <cell r="E408" t="str">
            <v>សុភាព</v>
          </cell>
          <cell r="F408" t="str">
            <v>យឹមសុភាព</v>
          </cell>
          <cell r="G408" t="str">
            <v>YOEM</v>
          </cell>
          <cell r="H408" t="str">
            <v>SOPHEAP</v>
          </cell>
          <cell r="I408" t="str">
            <v>YOEMSOPHEAP</v>
          </cell>
          <cell r="J408" t="str">
            <v>ប្រុស</v>
          </cell>
          <cell r="K408">
            <v>30694</v>
          </cell>
          <cell r="L408">
            <v>43741</v>
          </cell>
        </row>
        <row r="409">
          <cell r="C409">
            <v>3293</v>
          </cell>
          <cell r="D409" t="str">
            <v>យឹម</v>
          </cell>
          <cell r="E409" t="str">
            <v>សុខធាន</v>
          </cell>
          <cell r="F409" t="str">
            <v>យឹមសុខធាន</v>
          </cell>
          <cell r="G409" t="str">
            <v>YOEM</v>
          </cell>
          <cell r="H409" t="str">
            <v>SOKTHEAN</v>
          </cell>
          <cell r="I409" t="str">
            <v>YOEMSOKTHEAN</v>
          </cell>
          <cell r="J409" t="str">
            <v>ស្រី</v>
          </cell>
          <cell r="K409">
            <v>35868</v>
          </cell>
          <cell r="L409">
            <v>43746</v>
          </cell>
        </row>
        <row r="410">
          <cell r="C410">
            <v>3259</v>
          </cell>
          <cell r="D410" t="str">
            <v>រស់</v>
          </cell>
          <cell r="E410" t="str">
            <v>នៅ</v>
          </cell>
          <cell r="F410" t="str">
            <v>រស់នៅ</v>
          </cell>
          <cell r="G410" t="str">
            <v>ROS</v>
          </cell>
          <cell r="H410" t="str">
            <v>NAV</v>
          </cell>
          <cell r="I410" t="str">
            <v>ROSNAV</v>
          </cell>
          <cell r="J410" t="str">
            <v>ស្រី</v>
          </cell>
          <cell r="K410">
            <v>34596</v>
          </cell>
          <cell r="L410">
            <v>43746</v>
          </cell>
        </row>
        <row r="411">
          <cell r="C411">
            <v>3256</v>
          </cell>
          <cell r="D411" t="str">
            <v>តុប</v>
          </cell>
          <cell r="E411" t="str">
            <v>និមល</v>
          </cell>
          <cell r="F411" t="str">
            <v>តុបនិមល</v>
          </cell>
          <cell r="G411" t="str">
            <v>TOB</v>
          </cell>
          <cell r="H411" t="str">
            <v>NIMOL</v>
          </cell>
          <cell r="I411" t="str">
            <v>TOBNIMOL</v>
          </cell>
          <cell r="J411" t="str">
            <v>ស្រី</v>
          </cell>
          <cell r="K411">
            <v>34014</v>
          </cell>
          <cell r="L411">
            <v>43741</v>
          </cell>
        </row>
        <row r="412">
          <cell r="C412">
            <v>3660</v>
          </cell>
          <cell r="D412" t="str">
            <v>រឿន</v>
          </cell>
          <cell r="E412" t="str">
            <v>ចន្នី</v>
          </cell>
          <cell r="F412" t="str">
            <v>រឿនចន្នី</v>
          </cell>
          <cell r="G412" t="str">
            <v>Reoun</v>
          </cell>
          <cell r="H412" t="str">
            <v>Channy</v>
          </cell>
          <cell r="I412" t="str">
            <v>ReounChanny</v>
          </cell>
          <cell r="J412" t="str">
            <v>ស្រី</v>
          </cell>
          <cell r="K412">
            <v>33677</v>
          </cell>
          <cell r="L412">
            <v>43757</v>
          </cell>
        </row>
        <row r="413">
          <cell r="C413">
            <v>3677</v>
          </cell>
          <cell r="D413" t="str">
            <v>អ៊ុក</v>
          </cell>
          <cell r="E413" t="str">
            <v>យីម</v>
          </cell>
          <cell r="F413" t="str">
            <v>អ៊ុកយីម</v>
          </cell>
          <cell r="G413" t="str">
            <v>Uk</v>
          </cell>
          <cell r="H413" t="str">
            <v>Yim</v>
          </cell>
          <cell r="I413" t="str">
            <v>UkYim</v>
          </cell>
          <cell r="J413" t="str">
            <v>ស្រី</v>
          </cell>
          <cell r="K413">
            <v>29747</v>
          </cell>
          <cell r="L413">
            <v>43757</v>
          </cell>
        </row>
        <row r="414">
          <cell r="C414">
            <v>3752</v>
          </cell>
          <cell r="D414" t="str">
            <v>ផាត់</v>
          </cell>
          <cell r="E414" t="str">
            <v>ផុន</v>
          </cell>
          <cell r="F414" t="str">
            <v>ផាត់ផុន</v>
          </cell>
          <cell r="G414" t="str">
            <v>Phat</v>
          </cell>
          <cell r="H414" t="str">
            <v>Phon</v>
          </cell>
          <cell r="I414" t="str">
            <v>PhatPhon</v>
          </cell>
          <cell r="J414" t="str">
            <v>ប្រុស</v>
          </cell>
          <cell r="K414">
            <v>32694</v>
          </cell>
          <cell r="L414">
            <v>43763</v>
          </cell>
        </row>
        <row r="415">
          <cell r="C415">
            <v>3522</v>
          </cell>
          <cell r="D415" t="str">
            <v>អោម</v>
          </cell>
          <cell r="E415" t="str">
            <v>ផាត</v>
          </cell>
          <cell r="F415" t="str">
            <v>អោមផាត</v>
          </cell>
          <cell r="G415" t="str">
            <v>Iem</v>
          </cell>
          <cell r="H415" t="str">
            <v>Phat</v>
          </cell>
          <cell r="I415" t="str">
            <v>IemPhat</v>
          </cell>
          <cell r="J415" t="str">
            <v>ស្រី</v>
          </cell>
          <cell r="K415">
            <v>31977</v>
          </cell>
          <cell r="L415">
            <v>43746</v>
          </cell>
        </row>
        <row r="416">
          <cell r="C416">
            <v>3547</v>
          </cell>
          <cell r="D416" t="str">
            <v>ឈាន</v>
          </cell>
          <cell r="E416" t="str">
            <v>ទឹក</v>
          </cell>
          <cell r="F416" t="str">
            <v>ឈានទឹក</v>
          </cell>
          <cell r="G416" t="str">
            <v>Chhean</v>
          </cell>
          <cell r="H416" t="str">
            <v>Toek</v>
          </cell>
          <cell r="I416" t="str">
            <v>ChheanToek</v>
          </cell>
          <cell r="J416" t="str">
            <v>ប្រុស</v>
          </cell>
          <cell r="K416">
            <v>33894</v>
          </cell>
          <cell r="L416">
            <v>43747</v>
          </cell>
        </row>
        <row r="417">
          <cell r="C417">
            <v>3651</v>
          </cell>
          <cell r="D417" t="str">
            <v>ឡាយ</v>
          </cell>
          <cell r="E417" t="str">
            <v>ណាវី</v>
          </cell>
          <cell r="F417" t="str">
            <v>ឡាយណាវី</v>
          </cell>
          <cell r="G417" t="str">
            <v>Lay</v>
          </cell>
          <cell r="H417" t="str">
            <v>NaVy</v>
          </cell>
          <cell r="I417" t="str">
            <v>LayNaVy</v>
          </cell>
          <cell r="J417" t="str">
            <v>ស្រី</v>
          </cell>
          <cell r="K417">
            <v>31478</v>
          </cell>
          <cell r="L417">
            <v>43755</v>
          </cell>
        </row>
        <row r="418">
          <cell r="C418">
            <v>3548</v>
          </cell>
          <cell r="D418" t="str">
            <v>នាក់</v>
          </cell>
          <cell r="E418" t="str">
            <v>ធូ</v>
          </cell>
          <cell r="F418" t="str">
            <v>នាក់ធូ</v>
          </cell>
          <cell r="G418" t="str">
            <v>Neak</v>
          </cell>
          <cell r="H418" t="str">
            <v>Thou</v>
          </cell>
          <cell r="I418" t="str">
            <v>NeakThou</v>
          </cell>
          <cell r="J418" t="str">
            <v>ស្រី</v>
          </cell>
          <cell r="K418">
            <v>33820</v>
          </cell>
          <cell r="L418">
            <v>43747</v>
          </cell>
        </row>
        <row r="419">
          <cell r="C419">
            <v>3298</v>
          </cell>
          <cell r="D419" t="str">
            <v>អ៊ុំ</v>
          </cell>
          <cell r="E419" t="str">
            <v>សម្បត្តិ</v>
          </cell>
          <cell r="F419" t="str">
            <v>អ៊ុំសម្បត្តិ</v>
          </cell>
          <cell r="G419" t="str">
            <v>Um</v>
          </cell>
          <cell r="H419" t="str">
            <v>SamBath</v>
          </cell>
          <cell r="I419" t="str">
            <v>UmSamBath</v>
          </cell>
          <cell r="J419" t="str">
            <v>ស្រី</v>
          </cell>
          <cell r="K419">
            <v>34897</v>
          </cell>
          <cell r="L419">
            <v>43746</v>
          </cell>
        </row>
        <row r="420">
          <cell r="C420">
            <v>3237</v>
          </cell>
          <cell r="D420" t="str">
            <v>ឈឿន</v>
          </cell>
          <cell r="E420" t="str">
            <v>កញ្ញា</v>
          </cell>
          <cell r="F420" t="str">
            <v>ឈឿនកញ្ញា</v>
          </cell>
          <cell r="G420" t="str">
            <v>Chhoeun</v>
          </cell>
          <cell r="H420" t="str">
            <v>Kanha</v>
          </cell>
          <cell r="I420" t="str">
            <v>ChhoeunKanha</v>
          </cell>
          <cell r="J420" t="str">
            <v>ស្រី</v>
          </cell>
          <cell r="K420">
            <v>34367</v>
          </cell>
          <cell r="L420">
            <v>43742</v>
          </cell>
        </row>
        <row r="421">
          <cell r="C421">
            <v>3383</v>
          </cell>
          <cell r="D421" t="str">
            <v>អ៊ុក</v>
          </cell>
          <cell r="E421" t="str">
            <v>ផាច</v>
          </cell>
          <cell r="F421" t="str">
            <v>អ៊ុកផាច</v>
          </cell>
          <cell r="G421" t="str">
            <v>Uk</v>
          </cell>
          <cell r="H421" t="str">
            <v>Phach</v>
          </cell>
          <cell r="I421" t="str">
            <v>UkPhach</v>
          </cell>
          <cell r="J421" t="str">
            <v>ស្រី</v>
          </cell>
          <cell r="K421">
            <v>31640</v>
          </cell>
          <cell r="L421">
            <v>43756</v>
          </cell>
        </row>
        <row r="422">
          <cell r="C422">
            <v>3118</v>
          </cell>
          <cell r="D422" t="str">
            <v>យ៉ាន</v>
          </cell>
          <cell r="E422" t="str">
            <v>ចំរើន</v>
          </cell>
          <cell r="F422" t="str">
            <v>យ៉ានចំរើន</v>
          </cell>
          <cell r="G422" t="str">
            <v>Yan</v>
          </cell>
          <cell r="H422" t="str">
            <v>ChomReun</v>
          </cell>
          <cell r="I422" t="str">
            <v>YanChomReun</v>
          </cell>
          <cell r="J422" t="str">
            <v>ស្រី</v>
          </cell>
          <cell r="K422">
            <v>32202</v>
          </cell>
          <cell r="L422">
            <v>43742</v>
          </cell>
        </row>
        <row r="423">
          <cell r="C423">
            <v>3387</v>
          </cell>
          <cell r="D423" t="str">
            <v>ខា</v>
          </cell>
          <cell r="E423" t="str">
            <v>សារឹម</v>
          </cell>
          <cell r="F423" t="str">
            <v>ខាសារឹម</v>
          </cell>
          <cell r="G423" t="str">
            <v>Ka</v>
          </cell>
          <cell r="H423" t="str">
            <v>SaRoem</v>
          </cell>
          <cell r="I423" t="str">
            <v>KaSaRoem</v>
          </cell>
          <cell r="J423" t="str">
            <v>ស្រី</v>
          </cell>
          <cell r="K423">
            <v>31846</v>
          </cell>
          <cell r="L423">
            <v>43760</v>
          </cell>
        </row>
        <row r="424">
          <cell r="C424">
            <v>3353</v>
          </cell>
          <cell r="D424" t="str">
            <v>រ​ស់</v>
          </cell>
          <cell r="E424" t="str">
            <v>សារឿន</v>
          </cell>
          <cell r="F424" t="str">
            <v>រ​ស់សារឿន</v>
          </cell>
          <cell r="G424" t="str">
            <v>Ruos</v>
          </cell>
          <cell r="H424" t="str">
            <v>SaRoeurn</v>
          </cell>
          <cell r="I424" t="str">
            <v>RuosSaRoeurn</v>
          </cell>
          <cell r="J424" t="str">
            <v>ស្រី</v>
          </cell>
          <cell r="K424">
            <v>29426</v>
          </cell>
          <cell r="L424">
            <v>43755</v>
          </cell>
        </row>
        <row r="425">
          <cell r="C425">
            <v>3355</v>
          </cell>
          <cell r="D425" t="str">
            <v>ធូ</v>
          </cell>
          <cell r="E425" t="str">
            <v>ដានី</v>
          </cell>
          <cell r="F425" t="str">
            <v>ធូដានី</v>
          </cell>
          <cell r="G425" t="str">
            <v>Thouk</v>
          </cell>
          <cell r="H425" t="str">
            <v>Dany</v>
          </cell>
          <cell r="I425" t="str">
            <v>ThoukDany</v>
          </cell>
          <cell r="J425" t="str">
            <v>ស្រី</v>
          </cell>
          <cell r="K425">
            <v>29230</v>
          </cell>
          <cell r="L425">
            <v>43755</v>
          </cell>
        </row>
        <row r="426">
          <cell r="C426">
            <v>3095</v>
          </cell>
          <cell r="D426" t="str">
            <v>វន្ត័</v>
          </cell>
          <cell r="E426" t="str">
            <v>វណ្ណា</v>
          </cell>
          <cell r="F426" t="str">
            <v>វន្ត័វណ្ណា</v>
          </cell>
          <cell r="G426" t="str">
            <v>Vourn</v>
          </cell>
          <cell r="H426" t="str">
            <v>Vanna</v>
          </cell>
          <cell r="I426" t="str">
            <v>VournVanna</v>
          </cell>
          <cell r="J426" t="str">
            <v>ស្រី</v>
          </cell>
          <cell r="K426">
            <v>33118</v>
          </cell>
          <cell r="L426">
            <v>43740</v>
          </cell>
        </row>
        <row r="427">
          <cell r="C427">
            <v>3407</v>
          </cell>
          <cell r="D427" t="str">
            <v>ខៀវ</v>
          </cell>
          <cell r="E427" t="str">
            <v>វន្ធី</v>
          </cell>
          <cell r="F427" t="str">
            <v>ខៀវវន្ធី</v>
          </cell>
          <cell r="G427" t="str">
            <v>Khiev</v>
          </cell>
          <cell r="H427" t="str">
            <v>Vanny</v>
          </cell>
          <cell r="I427" t="str">
            <v>KhievVanny</v>
          </cell>
          <cell r="J427" t="str">
            <v>ស្រី</v>
          </cell>
          <cell r="K427">
            <v>32948</v>
          </cell>
          <cell r="L427">
            <v>43762</v>
          </cell>
        </row>
        <row r="428">
          <cell r="C428">
            <v>3404</v>
          </cell>
          <cell r="D428" t="str">
            <v>រុំ</v>
          </cell>
          <cell r="E428" t="str">
            <v>វី</v>
          </cell>
          <cell r="F428" t="str">
            <v>រុំវី</v>
          </cell>
          <cell r="G428" t="str">
            <v>Rom</v>
          </cell>
          <cell r="H428" t="str">
            <v>Vy</v>
          </cell>
          <cell r="I428" t="str">
            <v>RomVy</v>
          </cell>
          <cell r="J428" t="str">
            <v>ស្រី</v>
          </cell>
          <cell r="K428">
            <v>34402</v>
          </cell>
          <cell r="L428">
            <v>43761</v>
          </cell>
        </row>
        <row r="429">
          <cell r="C429">
            <v>3303</v>
          </cell>
          <cell r="D429" t="str">
            <v>កាន</v>
          </cell>
          <cell r="E429" t="str">
            <v>សុខនីន</v>
          </cell>
          <cell r="F429" t="str">
            <v>កានសុខនីន</v>
          </cell>
          <cell r="G429" t="str">
            <v>KAN</v>
          </cell>
          <cell r="H429" t="str">
            <v>SOKNIN</v>
          </cell>
          <cell r="I429" t="str">
            <v>KANSOKNIN</v>
          </cell>
          <cell r="J429" t="str">
            <v>ប្រុស</v>
          </cell>
          <cell r="K429">
            <v>29619</v>
          </cell>
          <cell r="L429">
            <v>43746</v>
          </cell>
        </row>
        <row r="430">
          <cell r="C430">
            <v>3277</v>
          </cell>
          <cell r="D430" t="str">
            <v>ចន</v>
          </cell>
          <cell r="E430" t="str">
            <v>សុខញ៉ាញ់</v>
          </cell>
          <cell r="F430" t="str">
            <v>ចនសុខញ៉ាញ់</v>
          </cell>
          <cell r="G430" t="str">
            <v>CHORN</v>
          </cell>
          <cell r="H430" t="str">
            <v>SOK NHANH</v>
          </cell>
          <cell r="I430" t="str">
            <v>CHORNSOK NHANH</v>
          </cell>
          <cell r="J430" t="str">
            <v>ប្រុស</v>
          </cell>
          <cell r="K430">
            <v>34828</v>
          </cell>
          <cell r="L430">
            <v>43746</v>
          </cell>
        </row>
        <row r="431">
          <cell r="C431">
            <v>3238</v>
          </cell>
          <cell r="D431" t="str">
            <v>រុន</v>
          </cell>
          <cell r="E431" t="str">
            <v>រាត្រី</v>
          </cell>
          <cell r="F431" t="str">
            <v>រុនរាត្រី</v>
          </cell>
          <cell r="G431" t="str">
            <v xml:space="preserve">RON </v>
          </cell>
          <cell r="H431" t="str">
            <v>REATREY</v>
          </cell>
          <cell r="I431" t="str">
            <v>RON REATREY</v>
          </cell>
          <cell r="J431" t="str">
            <v>ប្រុស</v>
          </cell>
          <cell r="K431">
            <v>37235</v>
          </cell>
          <cell r="L431">
            <v>43743</v>
          </cell>
        </row>
        <row r="432">
          <cell r="C432">
            <v>3638</v>
          </cell>
          <cell r="D432" t="str">
            <v xml:space="preserve">ឈឺន </v>
          </cell>
          <cell r="E432" t="str">
            <v>ស្រីមួន</v>
          </cell>
          <cell r="F432" t="str">
            <v>ឈឺន ស្រីមួន</v>
          </cell>
          <cell r="G432" t="str">
            <v xml:space="preserve">CHHEUN </v>
          </cell>
          <cell r="H432" t="str">
            <v>SREY MUON</v>
          </cell>
          <cell r="I432" t="str">
            <v>CHHEUN SREY MUON</v>
          </cell>
          <cell r="J432" t="str">
            <v>ស្រី</v>
          </cell>
          <cell r="K432">
            <v>34163</v>
          </cell>
          <cell r="L432">
            <v>43754</v>
          </cell>
        </row>
        <row r="433">
          <cell r="C433">
            <v>3636</v>
          </cell>
          <cell r="D433" t="str">
            <v>ផង់</v>
          </cell>
          <cell r="E433" t="str">
            <v>ឆវី</v>
          </cell>
          <cell r="F433" t="str">
            <v>ផង់ឆវី</v>
          </cell>
          <cell r="G433" t="str">
            <v>PHORNG</v>
          </cell>
          <cell r="H433" t="str">
            <v>CHHORVY</v>
          </cell>
          <cell r="I433" t="str">
            <v>PHORNGCHHORVY</v>
          </cell>
          <cell r="J433" t="str">
            <v>ស្រី</v>
          </cell>
          <cell r="K433">
            <v>33552</v>
          </cell>
          <cell r="L433">
            <v>43754</v>
          </cell>
        </row>
        <row r="434">
          <cell r="C434">
            <v>3606</v>
          </cell>
          <cell r="D434" t="str">
            <v>ផាន់</v>
          </cell>
          <cell r="E434" t="str">
            <v>សុកៀន</v>
          </cell>
          <cell r="F434" t="str">
            <v>ផាន់សុកៀន</v>
          </cell>
          <cell r="G434" t="str">
            <v>PHAN</v>
          </cell>
          <cell r="H434" t="str">
            <v>SOKIEN</v>
          </cell>
          <cell r="I434" t="str">
            <v>PHANSOKIEN</v>
          </cell>
          <cell r="J434" t="str">
            <v>ស្រី</v>
          </cell>
          <cell r="K434">
            <v>29690</v>
          </cell>
          <cell r="L434">
            <v>43750</v>
          </cell>
        </row>
        <row r="435">
          <cell r="C435">
            <v>3615</v>
          </cell>
          <cell r="D435" t="str">
            <v>អែម</v>
          </cell>
          <cell r="E435" t="str">
            <v>ពក</v>
          </cell>
          <cell r="F435" t="str">
            <v>អែមពក</v>
          </cell>
          <cell r="G435" t="str">
            <v>EM</v>
          </cell>
          <cell r="H435" t="str">
            <v>POK</v>
          </cell>
          <cell r="I435" t="str">
            <v>EMPOK</v>
          </cell>
          <cell r="J435" t="str">
            <v>ស្រី</v>
          </cell>
          <cell r="K435">
            <v>29688</v>
          </cell>
          <cell r="L435">
            <v>43750</v>
          </cell>
        </row>
        <row r="436">
          <cell r="C436">
            <v>3635</v>
          </cell>
          <cell r="D436" t="str">
            <v>យិន</v>
          </cell>
          <cell r="E436" t="str">
            <v>គឹមហ៊ាន់</v>
          </cell>
          <cell r="F436" t="str">
            <v>យិនគឹមហ៊ាន់</v>
          </cell>
          <cell r="G436" t="str">
            <v>YIN</v>
          </cell>
          <cell r="H436" t="str">
            <v>KIMHORN</v>
          </cell>
          <cell r="I436" t="str">
            <v>YINKIMHORN</v>
          </cell>
          <cell r="J436" t="str">
            <v>ស្រី</v>
          </cell>
          <cell r="K436">
            <v>30487</v>
          </cell>
          <cell r="L436">
            <v>43754</v>
          </cell>
        </row>
        <row r="437">
          <cell r="C437">
            <v>3637</v>
          </cell>
          <cell r="D437" t="str">
            <v>ឌី</v>
          </cell>
          <cell r="E437" t="str">
            <v>ស៊ីណា</v>
          </cell>
          <cell r="F437" t="str">
            <v>ឌីស៊ីណា</v>
          </cell>
          <cell r="G437" t="str">
            <v>DY</v>
          </cell>
          <cell r="H437" t="str">
            <v>SINA</v>
          </cell>
          <cell r="I437" t="str">
            <v>DYSINA</v>
          </cell>
          <cell r="J437" t="str">
            <v>ស្រី</v>
          </cell>
          <cell r="K437">
            <v>29805</v>
          </cell>
          <cell r="L437">
            <v>43754</v>
          </cell>
        </row>
        <row r="438">
          <cell r="C438">
            <v>3639</v>
          </cell>
          <cell r="D438" t="str">
            <v>វុទ្ធី</v>
          </cell>
          <cell r="E438" t="str">
            <v>ម៉ានី</v>
          </cell>
          <cell r="F438" t="str">
            <v>វុទ្ធីម៉ានី</v>
          </cell>
          <cell r="G438" t="str">
            <v>VUTHY</v>
          </cell>
          <cell r="H438" t="str">
            <v>MANY</v>
          </cell>
          <cell r="I438" t="str">
            <v>VUTHYMANY</v>
          </cell>
          <cell r="J438" t="str">
            <v>ស្រី</v>
          </cell>
          <cell r="K438">
            <v>33614</v>
          </cell>
          <cell r="L438">
            <v>43753</v>
          </cell>
        </row>
        <row r="439">
          <cell r="C439">
            <v>3644</v>
          </cell>
          <cell r="D439" t="str">
            <v>មាស</v>
          </cell>
          <cell r="E439" t="str">
            <v>នីន</v>
          </cell>
          <cell r="F439" t="str">
            <v>មាសនីន</v>
          </cell>
          <cell r="G439" t="str">
            <v>MEAS</v>
          </cell>
          <cell r="H439" t="str">
            <v>NIN</v>
          </cell>
          <cell r="I439" t="str">
            <v>MEASNIN</v>
          </cell>
          <cell r="J439" t="str">
            <v>ប្រុស</v>
          </cell>
          <cell r="K439">
            <v>34202</v>
          </cell>
          <cell r="L439">
            <v>43754</v>
          </cell>
        </row>
        <row r="440">
          <cell r="C440">
            <v>3197</v>
          </cell>
          <cell r="D440" t="str">
            <v>យ៉ាវ</v>
          </cell>
          <cell r="E440" t="str">
            <v>ស៊ីណែត</v>
          </cell>
          <cell r="F440" t="str">
            <v>យ៉ាវស៊ីណែត</v>
          </cell>
          <cell r="G440" t="str">
            <v xml:space="preserve">YAV </v>
          </cell>
          <cell r="H440" t="str">
            <v>SINAET</v>
          </cell>
          <cell r="I440" t="str">
            <v>YAV SINAET</v>
          </cell>
          <cell r="J440" t="str">
            <v>ស្រី</v>
          </cell>
          <cell r="K440">
            <v>30900</v>
          </cell>
          <cell r="L440">
            <v>43742</v>
          </cell>
        </row>
        <row r="441">
          <cell r="C441">
            <v>3607</v>
          </cell>
          <cell r="D441" t="str">
            <v>ខិល</v>
          </cell>
          <cell r="E441" t="str">
            <v>និមល</v>
          </cell>
          <cell r="F441" t="str">
            <v>ខិលនិមល</v>
          </cell>
          <cell r="G441" t="str">
            <v>KOEL</v>
          </cell>
          <cell r="H441" t="str">
            <v>NIMOL</v>
          </cell>
          <cell r="I441" t="str">
            <v>KOELNIMOL</v>
          </cell>
          <cell r="J441" t="str">
            <v>ស្រី</v>
          </cell>
          <cell r="K441">
            <v>30756</v>
          </cell>
          <cell r="L441">
            <v>43753</v>
          </cell>
        </row>
        <row r="442">
          <cell r="C442">
            <v>3616</v>
          </cell>
          <cell r="D442" t="str">
            <v>ស៊ឹម</v>
          </cell>
          <cell r="E442" t="str">
            <v>ស្រីអូន</v>
          </cell>
          <cell r="F442" t="str">
            <v>ស៊ឹមស្រីអូន</v>
          </cell>
          <cell r="G442" t="str">
            <v xml:space="preserve">SIM </v>
          </cell>
          <cell r="H442" t="str">
            <v>SREYAUN</v>
          </cell>
          <cell r="I442" t="str">
            <v>SIM SREYAUN</v>
          </cell>
          <cell r="J442" t="str">
            <v>ស្រី</v>
          </cell>
          <cell r="K442">
            <v>30784</v>
          </cell>
          <cell r="L442">
            <v>43750</v>
          </cell>
        </row>
        <row r="443">
          <cell r="C443">
            <v>3605</v>
          </cell>
          <cell r="D443" t="str">
            <v>ឱ</v>
          </cell>
          <cell r="E443" t="str">
            <v>ចិន្តា</v>
          </cell>
          <cell r="F443" t="str">
            <v>ឱចិន្តា</v>
          </cell>
          <cell r="G443" t="str">
            <v>OR</v>
          </cell>
          <cell r="H443" t="str">
            <v>CHENDA</v>
          </cell>
          <cell r="I443" t="str">
            <v>ORCHENDA</v>
          </cell>
          <cell r="J443" t="str">
            <v>ស្រី</v>
          </cell>
          <cell r="K443">
            <v>33947</v>
          </cell>
          <cell r="L443">
            <v>43753</v>
          </cell>
        </row>
        <row r="444">
          <cell r="C444">
            <v>3255</v>
          </cell>
          <cell r="D444" t="str">
            <v>អ៊ិន</v>
          </cell>
          <cell r="E444" t="str">
            <v>ចាន់ចាវ</v>
          </cell>
          <cell r="F444" t="str">
            <v>អ៊ិនចាន់ចាវ</v>
          </cell>
          <cell r="G444" t="str">
            <v>IN</v>
          </cell>
          <cell r="H444" t="str">
            <v>CHANCHAV</v>
          </cell>
          <cell r="I444" t="str">
            <v>INCHANCHAV</v>
          </cell>
          <cell r="J444" t="str">
            <v>ប្រុស</v>
          </cell>
          <cell r="K444">
            <v>34360</v>
          </cell>
          <cell r="L444">
            <v>43745</v>
          </cell>
        </row>
        <row r="445">
          <cell r="C445">
            <v>3536</v>
          </cell>
          <cell r="D445" t="str">
            <v>យាន</v>
          </cell>
          <cell r="E445" t="str">
            <v>មឿន</v>
          </cell>
          <cell r="F445" t="str">
            <v>យានមឿន</v>
          </cell>
          <cell r="G445" t="str">
            <v>YEAN</v>
          </cell>
          <cell r="H445" t="str">
            <v>MOEURN</v>
          </cell>
          <cell r="I445" t="str">
            <v>YEANMOEURN</v>
          </cell>
          <cell r="J445" t="str">
            <v>ប្រុស</v>
          </cell>
          <cell r="K445">
            <v>36040</v>
          </cell>
          <cell r="L445">
            <v>43743</v>
          </cell>
        </row>
        <row r="446">
          <cell r="C446">
            <v>3577</v>
          </cell>
          <cell r="D446" t="str">
            <v>ឃួន</v>
          </cell>
          <cell r="E446" t="str">
            <v>ចំរើន</v>
          </cell>
          <cell r="F446" t="str">
            <v>ឃួនចំរើន</v>
          </cell>
          <cell r="G446" t="str">
            <v>KHUON</v>
          </cell>
          <cell r="H446" t="str">
            <v>CHAMROEN</v>
          </cell>
          <cell r="I446" t="str">
            <v>KHUONCHAMROEN</v>
          </cell>
          <cell r="J446" t="str">
            <v>ប្រុស</v>
          </cell>
          <cell r="K446">
            <v>36576</v>
          </cell>
          <cell r="L446">
            <v>43746</v>
          </cell>
        </row>
        <row r="447">
          <cell r="C447">
            <v>3275</v>
          </cell>
          <cell r="D447" t="str">
            <v>ផែង</v>
          </cell>
          <cell r="E447" t="str">
            <v>ពៅ</v>
          </cell>
          <cell r="F447" t="str">
            <v>ផែងពៅ</v>
          </cell>
          <cell r="G447" t="str">
            <v>PHENG</v>
          </cell>
          <cell r="H447" t="str">
            <v>POV</v>
          </cell>
          <cell r="I447" t="str">
            <v>PHENGPOV</v>
          </cell>
          <cell r="J447" t="str">
            <v>ស្រី</v>
          </cell>
          <cell r="K447">
            <v>34295</v>
          </cell>
          <cell r="L447">
            <v>43746</v>
          </cell>
        </row>
        <row r="448">
          <cell r="C448">
            <v>3286</v>
          </cell>
          <cell r="D448" t="str">
            <v>សំ</v>
          </cell>
          <cell r="E448" t="str">
            <v>ផល្លី</v>
          </cell>
          <cell r="F448" t="str">
            <v>សំផល្លី</v>
          </cell>
          <cell r="G448" t="str">
            <v>SAM</v>
          </cell>
          <cell r="H448" t="str">
            <v>PHALLY</v>
          </cell>
          <cell r="I448" t="str">
            <v>SAMPHALLY</v>
          </cell>
          <cell r="J448" t="str">
            <v>ស្រី</v>
          </cell>
          <cell r="K448">
            <v>30871</v>
          </cell>
          <cell r="L448">
            <v>43746</v>
          </cell>
        </row>
        <row r="449">
          <cell r="C449">
            <v>3566</v>
          </cell>
          <cell r="D449" t="str">
            <v>ជូន</v>
          </cell>
          <cell r="E449" t="str">
            <v>ទូច</v>
          </cell>
          <cell r="F449" t="str">
            <v>ជូនទូច</v>
          </cell>
          <cell r="G449" t="str">
            <v>CHOUN</v>
          </cell>
          <cell r="H449" t="str">
            <v>TOUCH</v>
          </cell>
          <cell r="I449" t="str">
            <v>CHOUNTOUCH</v>
          </cell>
          <cell r="J449" t="str">
            <v>ស្រី</v>
          </cell>
          <cell r="K449">
            <v>27122</v>
          </cell>
          <cell r="L449">
            <v>43746</v>
          </cell>
        </row>
        <row r="450">
          <cell r="C450">
            <v>3516</v>
          </cell>
          <cell r="D450" t="str">
            <v>តាន់</v>
          </cell>
          <cell r="E450" t="str">
            <v>គឹមហា</v>
          </cell>
          <cell r="F450" t="str">
            <v>តាន់គឹមហា</v>
          </cell>
          <cell r="G450" t="str">
            <v>TAN</v>
          </cell>
          <cell r="H450" t="str">
            <v>KIMHA</v>
          </cell>
          <cell r="I450" t="str">
            <v>TANKIMHA</v>
          </cell>
          <cell r="J450" t="str">
            <v>ស្រី</v>
          </cell>
          <cell r="K450">
            <v>30384</v>
          </cell>
          <cell r="L450">
            <v>43746</v>
          </cell>
        </row>
        <row r="451">
          <cell r="C451">
            <v>3520</v>
          </cell>
          <cell r="D451" t="str">
            <v>ញ៉ាញ់</v>
          </cell>
          <cell r="E451" t="str">
            <v>សុគា</v>
          </cell>
          <cell r="F451" t="str">
            <v>ញ៉ាញ់សុគា</v>
          </cell>
          <cell r="G451" t="str">
            <v>NHANH</v>
          </cell>
          <cell r="H451" t="str">
            <v>SOKEA</v>
          </cell>
          <cell r="I451" t="str">
            <v>NHANHSOKEA</v>
          </cell>
          <cell r="J451" t="str">
            <v>ស្រី</v>
          </cell>
          <cell r="K451">
            <v>30353</v>
          </cell>
          <cell r="L451">
            <v>43746</v>
          </cell>
        </row>
        <row r="452">
          <cell r="C452">
            <v>3544</v>
          </cell>
          <cell r="D452" t="str">
            <v>តុប</v>
          </cell>
          <cell r="E452" t="str">
            <v>វណ្ណារិទ្ធ</v>
          </cell>
          <cell r="F452" t="str">
            <v>តុបវណ្ណារិទ្ធ</v>
          </cell>
          <cell r="G452" t="str">
            <v>TOP</v>
          </cell>
          <cell r="H452" t="str">
            <v>VANNARITH</v>
          </cell>
          <cell r="I452" t="str">
            <v>TOPVANNARITH</v>
          </cell>
          <cell r="J452" t="str">
            <v>ស្រី</v>
          </cell>
          <cell r="K452">
            <v>34142</v>
          </cell>
          <cell r="L452">
            <v>43747</v>
          </cell>
        </row>
        <row r="453">
          <cell r="C453">
            <v>3602</v>
          </cell>
          <cell r="D453" t="str">
            <v>ជុំ</v>
          </cell>
          <cell r="E453" t="str">
            <v>វុត្ថា</v>
          </cell>
          <cell r="F453" t="str">
            <v>ជុំវុត្ថា</v>
          </cell>
          <cell r="G453" t="str">
            <v>CHOM</v>
          </cell>
          <cell r="H453" t="str">
            <v>VOTHA</v>
          </cell>
          <cell r="I453" t="str">
            <v>CHOMVOTHA</v>
          </cell>
          <cell r="J453" t="str">
            <v>ស្រី</v>
          </cell>
          <cell r="K453">
            <v>30747</v>
          </cell>
          <cell r="L453">
            <v>43750</v>
          </cell>
        </row>
        <row r="454">
          <cell r="C454">
            <v>3230</v>
          </cell>
          <cell r="D454" t="str">
            <v>អ៊ុំ</v>
          </cell>
          <cell r="E454" t="str">
            <v>សុវណ្ណារ៉ា</v>
          </cell>
          <cell r="F454" t="str">
            <v>អ៊ុំសុវណ្ណារ៉ា</v>
          </cell>
          <cell r="G454" t="str">
            <v>UM</v>
          </cell>
          <cell r="H454" t="str">
            <v>SUVANNARA</v>
          </cell>
          <cell r="I454" t="str">
            <v>UMSUVANNARA</v>
          </cell>
          <cell r="J454" t="str">
            <v>ប្រុស</v>
          </cell>
          <cell r="K454">
            <v>26707</v>
          </cell>
          <cell r="L454">
            <v>43740</v>
          </cell>
        </row>
        <row r="455">
          <cell r="C455">
            <v>3585</v>
          </cell>
          <cell r="D455" t="str">
            <v>ហេង</v>
          </cell>
          <cell r="E455" t="str">
            <v>សុខា</v>
          </cell>
          <cell r="F455" t="str">
            <v>ហេងសុខា</v>
          </cell>
          <cell r="G455" t="str">
            <v>HENG</v>
          </cell>
          <cell r="H455" t="str">
            <v>SOKHA</v>
          </cell>
          <cell r="I455" t="str">
            <v>HENGSOKHA</v>
          </cell>
          <cell r="J455" t="str">
            <v>ស្រី</v>
          </cell>
          <cell r="K455">
            <v>30448</v>
          </cell>
          <cell r="L455">
            <v>43748</v>
          </cell>
        </row>
        <row r="456">
          <cell r="C456">
            <v>3161</v>
          </cell>
          <cell r="D456" t="str">
            <v>ញឹម</v>
          </cell>
          <cell r="E456" t="str">
            <v>ស្រីពៅ</v>
          </cell>
          <cell r="F456" t="str">
            <v>ញឹមស្រីពៅ</v>
          </cell>
          <cell r="G456" t="str">
            <v>NHOEM</v>
          </cell>
          <cell r="H456" t="str">
            <v>SREYPEOU</v>
          </cell>
          <cell r="I456" t="str">
            <v>NHOEMSREYPEOU</v>
          </cell>
          <cell r="J456" t="str">
            <v>ប្រុស</v>
          </cell>
          <cell r="K456">
            <v>35951</v>
          </cell>
          <cell r="L456">
            <v>43740</v>
          </cell>
        </row>
        <row r="457">
          <cell r="C457">
            <v>3152</v>
          </cell>
          <cell r="D457" t="str">
            <v>នេត</v>
          </cell>
          <cell r="E457" t="str">
            <v>លី</v>
          </cell>
          <cell r="F457" t="str">
            <v>នេតលី</v>
          </cell>
          <cell r="G457" t="str">
            <v>NET</v>
          </cell>
          <cell r="H457" t="str">
            <v>LY</v>
          </cell>
          <cell r="I457" t="str">
            <v>NETLY</v>
          </cell>
          <cell r="J457" t="str">
            <v>ប្រុស</v>
          </cell>
          <cell r="K457">
            <v>35220</v>
          </cell>
          <cell r="L457">
            <v>43740</v>
          </cell>
        </row>
        <row r="458">
          <cell r="C458">
            <v>3199</v>
          </cell>
          <cell r="D458" t="str">
            <v>រិទ្ធិ</v>
          </cell>
          <cell r="E458" t="str">
            <v>រិទ្ធី</v>
          </cell>
          <cell r="F458" t="str">
            <v>រិទ្ធិរិទ្ធី</v>
          </cell>
          <cell r="G458" t="str">
            <v>RITH</v>
          </cell>
          <cell r="H458" t="str">
            <v>RITHY</v>
          </cell>
          <cell r="I458" t="str">
            <v>RITHRITHY</v>
          </cell>
          <cell r="J458" t="str">
            <v>ប្រុស</v>
          </cell>
          <cell r="K458">
            <v>34496</v>
          </cell>
          <cell r="L458">
            <v>43740</v>
          </cell>
        </row>
        <row r="459">
          <cell r="C459">
            <v>3147</v>
          </cell>
          <cell r="D459" t="str">
            <v>វ៉ន</v>
          </cell>
          <cell r="E459" t="str">
            <v>ស្រីម៉ុច</v>
          </cell>
          <cell r="F459" t="str">
            <v>វ៉នស្រីម៉ុច</v>
          </cell>
          <cell r="G459" t="str">
            <v>VORN</v>
          </cell>
          <cell r="H459" t="str">
            <v>SREYMOCH</v>
          </cell>
          <cell r="I459" t="str">
            <v>VORNSREYMOCH</v>
          </cell>
          <cell r="J459" t="str">
            <v>ស្រី</v>
          </cell>
          <cell r="K459">
            <v>31879</v>
          </cell>
          <cell r="L459">
            <v>43740</v>
          </cell>
        </row>
        <row r="460">
          <cell r="C460">
            <v>3153</v>
          </cell>
          <cell r="D460" t="str">
            <v>ស</v>
          </cell>
          <cell r="E460" t="str">
            <v>សុចាន់</v>
          </cell>
          <cell r="F460" t="str">
            <v>សសុចាន់</v>
          </cell>
          <cell r="G460" t="str">
            <v>SOR</v>
          </cell>
          <cell r="H460" t="str">
            <v>SOCHANN</v>
          </cell>
          <cell r="I460" t="str">
            <v>SORSOCHANN</v>
          </cell>
          <cell r="J460" t="str">
            <v>ស្រី</v>
          </cell>
          <cell r="K460">
            <v>33893</v>
          </cell>
          <cell r="L460">
            <v>43740</v>
          </cell>
        </row>
        <row r="461">
          <cell r="C461">
            <v>3597</v>
          </cell>
          <cell r="D461" t="str">
            <v>គុយ</v>
          </cell>
          <cell r="E461" t="str">
            <v>ស្រីមុំ</v>
          </cell>
          <cell r="F461" t="str">
            <v>គុយស្រីមុំ</v>
          </cell>
          <cell r="G461" t="str">
            <v>KUY</v>
          </cell>
          <cell r="H461" t="str">
            <v>SREYMOM</v>
          </cell>
          <cell r="I461" t="str">
            <v>KUYSREYMOM</v>
          </cell>
          <cell r="J461" t="str">
            <v>ស្រី</v>
          </cell>
          <cell r="K461">
            <v>34799</v>
          </cell>
          <cell r="L461">
            <v>43749</v>
          </cell>
        </row>
        <row r="462">
          <cell r="C462">
            <v>3209</v>
          </cell>
          <cell r="D462" t="str">
            <v>មាស</v>
          </cell>
          <cell r="E462" t="str">
            <v>ប៉ូឡូញ</v>
          </cell>
          <cell r="F462" t="str">
            <v>មាសប៉ូឡូញ</v>
          </cell>
          <cell r="G462" t="str">
            <v>MEAS</v>
          </cell>
          <cell r="H462" t="str">
            <v>POULOUNH</v>
          </cell>
          <cell r="I462" t="str">
            <v>MEASPOULOUNH</v>
          </cell>
          <cell r="J462" t="str">
            <v>ប្រុស</v>
          </cell>
          <cell r="K462">
            <v>31786</v>
          </cell>
          <cell r="L462">
            <v>43741</v>
          </cell>
        </row>
        <row r="463">
          <cell r="C463">
            <v>3234</v>
          </cell>
          <cell r="D463" t="str">
            <v>សូត្រ</v>
          </cell>
          <cell r="E463" t="str">
            <v>ភ័ណ</v>
          </cell>
          <cell r="F463" t="str">
            <v>សូត្រភ័ណ</v>
          </cell>
          <cell r="G463" t="str">
            <v>SOUTH</v>
          </cell>
          <cell r="H463" t="str">
            <v>PHORN</v>
          </cell>
          <cell r="I463" t="str">
            <v>SOUTHPHORN</v>
          </cell>
          <cell r="J463" t="str">
            <v>ស្រី</v>
          </cell>
          <cell r="K463">
            <v>32357</v>
          </cell>
          <cell r="L463">
            <v>43742</v>
          </cell>
        </row>
        <row r="464">
          <cell r="C464">
            <v>3309</v>
          </cell>
          <cell r="D464" t="str">
            <v>ជា</v>
          </cell>
          <cell r="E464" t="str">
            <v>ឡឹក</v>
          </cell>
          <cell r="F464" t="str">
            <v>ជាឡឹក</v>
          </cell>
          <cell r="G464" t="str">
            <v>CHEA</v>
          </cell>
          <cell r="H464" t="str">
            <v>LOEK</v>
          </cell>
          <cell r="I464" t="str">
            <v>CHEALOEK</v>
          </cell>
          <cell r="J464" t="str">
            <v>ស្រី</v>
          </cell>
          <cell r="K464">
            <v>35127</v>
          </cell>
          <cell r="L464">
            <v>43746</v>
          </cell>
        </row>
        <row r="465">
          <cell r="C465">
            <v>3251</v>
          </cell>
          <cell r="D465" t="str">
            <v>អឿន</v>
          </cell>
          <cell r="E465" t="str">
            <v>ភារះ</v>
          </cell>
          <cell r="F465" t="str">
            <v>អឿនភារះ</v>
          </cell>
          <cell r="G465" t="str">
            <v>OEURN</v>
          </cell>
          <cell r="H465" t="str">
            <v>PHEAREAK</v>
          </cell>
          <cell r="I465" t="str">
            <v>OEURNPHEAREAK</v>
          </cell>
          <cell r="J465" t="str">
            <v>ប្រុស</v>
          </cell>
          <cell r="K465">
            <v>33790</v>
          </cell>
          <cell r="L465">
            <v>43746</v>
          </cell>
        </row>
        <row r="466">
          <cell r="C466">
            <v>3565</v>
          </cell>
          <cell r="D466" t="str">
            <v>ទូច</v>
          </cell>
          <cell r="E466" t="str">
            <v>ពុធសុភាវី</v>
          </cell>
          <cell r="F466" t="str">
            <v>ទូចពុធសុភាវី</v>
          </cell>
          <cell r="G466" t="str">
            <v>TOUCH</v>
          </cell>
          <cell r="H466" t="str">
            <v>POTSOPHEAVY</v>
          </cell>
          <cell r="I466" t="str">
            <v>TOUCHPOTSOPHEAVY</v>
          </cell>
          <cell r="J466" t="str">
            <v>ស្រី</v>
          </cell>
          <cell r="K466">
            <v>36705</v>
          </cell>
          <cell r="L466">
            <v>43746</v>
          </cell>
        </row>
        <row r="467">
          <cell r="C467">
            <v>3196</v>
          </cell>
          <cell r="D467" t="str">
            <v>វួន</v>
          </cell>
          <cell r="E467" t="str">
            <v>ស្រីមុំ</v>
          </cell>
          <cell r="F467" t="str">
            <v>វួនស្រីមុំ</v>
          </cell>
          <cell r="G467" t="str">
            <v>VUON</v>
          </cell>
          <cell r="H467" t="str">
            <v>SREYMOM</v>
          </cell>
          <cell r="I467" t="str">
            <v>VUONSREYMOM</v>
          </cell>
          <cell r="J467" t="str">
            <v>ស្រី</v>
          </cell>
          <cell r="K467">
            <v>33755</v>
          </cell>
          <cell r="L467">
            <v>43742</v>
          </cell>
        </row>
        <row r="468">
          <cell r="C468">
            <v>3182</v>
          </cell>
          <cell r="D468" t="str">
            <v>យួន</v>
          </cell>
          <cell r="E468" t="str">
            <v>ច្រៀច</v>
          </cell>
          <cell r="F468" t="str">
            <v>យួនច្រៀច</v>
          </cell>
          <cell r="G468" t="str">
            <v>YUON</v>
          </cell>
          <cell r="H468" t="str">
            <v>CHRIECH</v>
          </cell>
          <cell r="I468" t="str">
            <v>YUONCHRIECH</v>
          </cell>
          <cell r="J468" t="str">
            <v>ស្រី</v>
          </cell>
          <cell r="K468">
            <v>34252</v>
          </cell>
          <cell r="L468">
            <v>43741</v>
          </cell>
        </row>
        <row r="469">
          <cell r="C469">
            <v>3179</v>
          </cell>
          <cell r="D469" t="str">
            <v>ផាត់</v>
          </cell>
          <cell r="E469" t="str">
            <v>សាវ៉ាត</v>
          </cell>
          <cell r="F469" t="str">
            <v>ផាត់សាវ៉ាត</v>
          </cell>
          <cell r="G469" t="str">
            <v>PHAT</v>
          </cell>
          <cell r="H469" t="str">
            <v>SAVAT</v>
          </cell>
          <cell r="I469" t="str">
            <v>PHATSAVAT</v>
          </cell>
          <cell r="J469" t="str">
            <v>ប្រុស</v>
          </cell>
          <cell r="K469">
            <v>31556</v>
          </cell>
          <cell r="L469">
            <v>43740</v>
          </cell>
        </row>
        <row r="470">
          <cell r="C470">
            <v>3278</v>
          </cell>
          <cell r="D470" t="str">
            <v>ទឹត</v>
          </cell>
          <cell r="E470" t="str">
            <v>ស៊ីណាត</v>
          </cell>
          <cell r="F470" t="str">
            <v>ទឹតស៊ីណាត</v>
          </cell>
          <cell r="G470" t="str">
            <v xml:space="preserve">TEUT </v>
          </cell>
          <cell r="H470" t="str">
            <v>SINAT</v>
          </cell>
          <cell r="I470" t="str">
            <v>TEUT SINAT</v>
          </cell>
          <cell r="J470" t="str">
            <v>ស្រី</v>
          </cell>
          <cell r="K470">
            <v>36993</v>
          </cell>
          <cell r="L470">
            <v>43746</v>
          </cell>
        </row>
        <row r="471">
          <cell r="C471">
            <v>3541</v>
          </cell>
          <cell r="D471" t="str">
            <v>យុទ្ធ</v>
          </cell>
          <cell r="E471" t="str">
            <v>រូហ្សា</v>
          </cell>
          <cell r="F471" t="str">
            <v>យុទ្ធរូហ្សា</v>
          </cell>
          <cell r="G471" t="str">
            <v>YOTH</v>
          </cell>
          <cell r="H471" t="str">
            <v>ROZA</v>
          </cell>
          <cell r="I471" t="str">
            <v>YOTHROZA</v>
          </cell>
          <cell r="J471" t="str">
            <v>ប្រុស</v>
          </cell>
          <cell r="K471">
            <v>35653</v>
          </cell>
          <cell r="L471">
            <v>43747</v>
          </cell>
        </row>
        <row r="472">
          <cell r="C472">
            <v>3228</v>
          </cell>
          <cell r="D472" t="str">
            <v>យ៉េត</v>
          </cell>
          <cell r="E472" t="str">
            <v>គន្ធា</v>
          </cell>
          <cell r="F472" t="str">
            <v>យ៉េតគន្ធា</v>
          </cell>
          <cell r="G472" t="str">
            <v>YET</v>
          </cell>
          <cell r="H472" t="str">
            <v>KUNTHEA</v>
          </cell>
          <cell r="I472" t="str">
            <v>YETKUNTHEA</v>
          </cell>
          <cell r="J472" t="str">
            <v>ស្រី</v>
          </cell>
          <cell r="K472">
            <v>30744</v>
          </cell>
          <cell r="L472">
            <v>43742</v>
          </cell>
        </row>
        <row r="473">
          <cell r="C473">
            <v>3227</v>
          </cell>
          <cell r="D473" t="str">
            <v>សឺន</v>
          </cell>
          <cell r="E473" t="str">
            <v>សំណា</v>
          </cell>
          <cell r="F473" t="str">
            <v>សឺនសំណា</v>
          </cell>
          <cell r="G473" t="str">
            <v>SEUN</v>
          </cell>
          <cell r="H473" t="str">
            <v>SAMNA</v>
          </cell>
          <cell r="I473" t="str">
            <v>SEUNSAMNA</v>
          </cell>
          <cell r="J473" t="str">
            <v>ប្រុស</v>
          </cell>
          <cell r="K473">
            <v>34552</v>
          </cell>
          <cell r="L473">
            <v>43742</v>
          </cell>
        </row>
        <row r="474">
          <cell r="C474">
            <v>3156</v>
          </cell>
          <cell r="D474" t="str">
            <v>ឆោម</v>
          </cell>
          <cell r="E474" t="str">
            <v>បាក់</v>
          </cell>
          <cell r="F474" t="str">
            <v>ឆោមបាក់</v>
          </cell>
          <cell r="G474" t="str">
            <v>CHHOM</v>
          </cell>
          <cell r="H474" t="str">
            <v>BAK</v>
          </cell>
          <cell r="I474" t="str">
            <v>CHHOMBAK</v>
          </cell>
          <cell r="J474" t="str">
            <v>ប្រុស</v>
          </cell>
          <cell r="K474">
            <v>31998</v>
          </cell>
          <cell r="L474">
            <v>43740</v>
          </cell>
        </row>
        <row r="475">
          <cell r="C475">
            <v>3233</v>
          </cell>
          <cell r="D475" t="str">
            <v>ហង្ស</v>
          </cell>
          <cell r="E475" t="str">
            <v>ចិន</v>
          </cell>
          <cell r="F475" t="str">
            <v>ហង្សចិន</v>
          </cell>
          <cell r="G475" t="str">
            <v>HANG</v>
          </cell>
          <cell r="H475" t="str">
            <v>CHIN</v>
          </cell>
          <cell r="I475" t="str">
            <v>HANGCHIN</v>
          </cell>
          <cell r="J475" t="str">
            <v>ស្រី</v>
          </cell>
          <cell r="K475">
            <v>30075</v>
          </cell>
          <cell r="L475">
            <v>43745</v>
          </cell>
        </row>
        <row r="476">
          <cell r="C476">
            <v>3205</v>
          </cell>
          <cell r="D476" t="str">
            <v>សាន</v>
          </cell>
          <cell r="E476" t="str">
            <v>វាសនា</v>
          </cell>
          <cell r="F476" t="str">
            <v>សានវាសនា</v>
          </cell>
          <cell r="G476" t="str">
            <v>SAN</v>
          </cell>
          <cell r="H476" t="str">
            <v>VEASNA</v>
          </cell>
          <cell r="I476" t="str">
            <v>SANVEASNA</v>
          </cell>
          <cell r="J476" t="str">
            <v>ប្រុស</v>
          </cell>
          <cell r="K476">
            <v>33340</v>
          </cell>
          <cell r="L476">
            <v>43740</v>
          </cell>
        </row>
        <row r="477">
          <cell r="C477">
            <v>3598</v>
          </cell>
          <cell r="D477" t="str">
            <v>គុយ</v>
          </cell>
          <cell r="E477" t="str">
            <v>ចន</v>
          </cell>
          <cell r="F477" t="str">
            <v>គុយចន</v>
          </cell>
          <cell r="G477" t="str">
            <v>KUY</v>
          </cell>
          <cell r="H477" t="str">
            <v>CHORN</v>
          </cell>
          <cell r="I477" t="str">
            <v>KUYCHORN</v>
          </cell>
          <cell r="J477" t="str">
            <v>ស្រី</v>
          </cell>
          <cell r="K477">
            <v>33058</v>
          </cell>
          <cell r="L477">
            <v>43749</v>
          </cell>
        </row>
        <row r="478">
          <cell r="C478">
            <v>3258</v>
          </cell>
          <cell r="D478" t="str">
            <v>មិន</v>
          </cell>
          <cell r="E478" t="str">
            <v>សុវណ្ណ</v>
          </cell>
          <cell r="F478" t="str">
            <v>មិនសុវណ្ណ</v>
          </cell>
          <cell r="G478" t="str">
            <v>MIN</v>
          </cell>
          <cell r="H478" t="str">
            <v>SOVANN</v>
          </cell>
          <cell r="I478" t="str">
            <v>MINSOVANN</v>
          </cell>
          <cell r="J478" t="str">
            <v>ស្រី</v>
          </cell>
          <cell r="K478">
            <v>29452</v>
          </cell>
          <cell r="L478">
            <v>43746</v>
          </cell>
        </row>
        <row r="479">
          <cell r="C479">
            <v>3515</v>
          </cell>
          <cell r="D479" t="str">
            <v>ប៉ែន</v>
          </cell>
          <cell r="E479" t="str">
            <v>សុផល</v>
          </cell>
          <cell r="F479" t="str">
            <v>ប៉ែនសុផល</v>
          </cell>
          <cell r="G479" t="str">
            <v>PEN</v>
          </cell>
          <cell r="H479" t="str">
            <v>SOPHAL</v>
          </cell>
          <cell r="I479" t="str">
            <v>PENSOPHAL</v>
          </cell>
          <cell r="J479" t="str">
            <v>ស្រី</v>
          </cell>
          <cell r="K479">
            <v>32523</v>
          </cell>
          <cell r="L479">
            <v>43746</v>
          </cell>
        </row>
        <row r="480">
          <cell r="C480">
            <v>3299</v>
          </cell>
          <cell r="D480" t="str">
            <v>ហុក</v>
          </cell>
          <cell r="E480" t="str">
            <v>បូរីកា</v>
          </cell>
          <cell r="F480" t="str">
            <v>ហុកបូរីកា</v>
          </cell>
          <cell r="G480" t="str">
            <v>HOK</v>
          </cell>
          <cell r="H480" t="str">
            <v>BORIKA</v>
          </cell>
          <cell r="I480" t="str">
            <v>HOKBORIKA</v>
          </cell>
          <cell r="J480" t="str">
            <v>ស្រី</v>
          </cell>
          <cell r="K480">
            <v>33978</v>
          </cell>
          <cell r="L480">
            <v>43746</v>
          </cell>
        </row>
        <row r="481">
          <cell r="C481">
            <v>3542</v>
          </cell>
          <cell r="D481" t="str">
            <v>ស៊ុន</v>
          </cell>
          <cell r="E481" t="str">
            <v>ប៊ុនធឿន</v>
          </cell>
          <cell r="F481" t="str">
            <v>ស៊ុនប៊ុនធឿន</v>
          </cell>
          <cell r="G481" t="str">
            <v>SUN</v>
          </cell>
          <cell r="H481" t="str">
            <v>BUNTHOEUN</v>
          </cell>
          <cell r="I481" t="str">
            <v>SUNBUNTHOEUN</v>
          </cell>
          <cell r="J481" t="str">
            <v>ប្រុស</v>
          </cell>
          <cell r="K481">
            <v>34175</v>
          </cell>
          <cell r="L481">
            <v>43747</v>
          </cell>
        </row>
        <row r="482">
          <cell r="C482">
            <v>3563</v>
          </cell>
          <cell r="D482" t="str">
            <v>គិត</v>
          </cell>
          <cell r="E482" t="str">
            <v>មុំ</v>
          </cell>
          <cell r="F482" t="str">
            <v>គិតមុំ</v>
          </cell>
          <cell r="G482" t="str">
            <v>KIT</v>
          </cell>
          <cell r="H482" t="str">
            <v>MOM</v>
          </cell>
          <cell r="I482" t="str">
            <v>KITMOM</v>
          </cell>
          <cell r="J482" t="str">
            <v>ស្រី</v>
          </cell>
          <cell r="K482">
            <v>29867</v>
          </cell>
          <cell r="L482">
            <v>43748</v>
          </cell>
        </row>
        <row r="483">
          <cell r="C483">
            <v>3649</v>
          </cell>
          <cell r="D483" t="str">
            <v>ផាត</v>
          </cell>
          <cell r="E483" t="str">
            <v>ធារ៉ា</v>
          </cell>
          <cell r="F483" t="str">
            <v>ផាតធារ៉ា</v>
          </cell>
          <cell r="G483" t="str">
            <v>PHAT</v>
          </cell>
          <cell r="H483" t="str">
            <v>THEARA</v>
          </cell>
          <cell r="I483" t="str">
            <v>PHATTHEARA</v>
          </cell>
          <cell r="J483" t="str">
            <v>ស្រី</v>
          </cell>
          <cell r="K483">
            <v>36746</v>
          </cell>
          <cell r="L483">
            <v>43754</v>
          </cell>
        </row>
        <row r="484">
          <cell r="C484">
            <v>3690</v>
          </cell>
          <cell r="D484" t="str">
            <v>ហួត</v>
          </cell>
          <cell r="E484" t="str">
            <v>គន្ធា</v>
          </cell>
          <cell r="F484" t="str">
            <v>ហួតគន្ធា</v>
          </cell>
          <cell r="G484" t="str">
            <v xml:space="preserve">HUOT </v>
          </cell>
          <cell r="H484" t="str">
            <v>KUNTHEA</v>
          </cell>
          <cell r="I484" t="str">
            <v>HUOT KUNTHEA</v>
          </cell>
          <cell r="J484" t="str">
            <v>ស្រី</v>
          </cell>
          <cell r="K484">
            <v>29598</v>
          </cell>
          <cell r="L484">
            <v>43762</v>
          </cell>
        </row>
        <row r="485">
          <cell r="C485">
            <v>3539</v>
          </cell>
          <cell r="D485" t="str">
            <v>កឹម</v>
          </cell>
          <cell r="E485" t="str">
            <v>យ៉េត</v>
          </cell>
          <cell r="F485" t="str">
            <v>កឹមយ៉េត</v>
          </cell>
          <cell r="G485" t="str">
            <v>KOEM</v>
          </cell>
          <cell r="H485" t="str">
            <v>YET</v>
          </cell>
          <cell r="I485" t="str">
            <v>KOEMYET</v>
          </cell>
          <cell r="J485" t="str">
            <v>ស្រី</v>
          </cell>
          <cell r="K485">
            <v>33383</v>
          </cell>
          <cell r="L485">
            <v>43747</v>
          </cell>
        </row>
        <row r="486">
          <cell r="C486">
            <v>3641</v>
          </cell>
          <cell r="D486" t="str">
            <v>ផាន</v>
          </cell>
          <cell r="E486" t="str">
            <v>ស៊ីណាន</v>
          </cell>
          <cell r="F486" t="str">
            <v>ផានស៊ីណាន</v>
          </cell>
          <cell r="G486" t="str">
            <v>PHAN</v>
          </cell>
          <cell r="H486" t="str">
            <v>SINAN</v>
          </cell>
          <cell r="I486" t="str">
            <v>PHANSINAN</v>
          </cell>
          <cell r="J486" t="str">
            <v>ស្រី</v>
          </cell>
          <cell r="K486">
            <v>28887</v>
          </cell>
          <cell r="L486">
            <v>43755</v>
          </cell>
        </row>
        <row r="487">
          <cell r="C487">
            <v>3640</v>
          </cell>
          <cell r="D487" t="str">
            <v>ព្រំ</v>
          </cell>
          <cell r="E487" t="str">
            <v>ហែម</v>
          </cell>
          <cell r="F487" t="str">
            <v>ព្រំហែម</v>
          </cell>
          <cell r="G487" t="str">
            <v>PRUM</v>
          </cell>
          <cell r="H487" t="str">
            <v>HEM</v>
          </cell>
          <cell r="I487" t="str">
            <v>PRUMHEM</v>
          </cell>
          <cell r="J487" t="str">
            <v>ប្រុស</v>
          </cell>
          <cell r="K487">
            <v>33700</v>
          </cell>
          <cell r="L487">
            <v>43753</v>
          </cell>
        </row>
        <row r="488">
          <cell r="C488">
            <v>3174</v>
          </cell>
          <cell r="D488" t="str">
            <v>បេន</v>
          </cell>
          <cell r="E488" t="str">
            <v>ថន</v>
          </cell>
          <cell r="F488" t="str">
            <v>បេនថន</v>
          </cell>
          <cell r="G488" t="str">
            <v>BEN</v>
          </cell>
          <cell r="H488" t="str">
            <v>THAN</v>
          </cell>
          <cell r="I488" t="str">
            <v>BENTHAN</v>
          </cell>
          <cell r="J488" t="str">
            <v>ស្រី</v>
          </cell>
          <cell r="K488">
            <v>34220</v>
          </cell>
          <cell r="L488">
            <v>43742</v>
          </cell>
        </row>
        <row r="489">
          <cell r="C489">
            <v>3208</v>
          </cell>
          <cell r="D489" t="str">
            <v>សុក</v>
          </cell>
          <cell r="E489" t="str">
            <v>កំសត់</v>
          </cell>
          <cell r="F489" t="str">
            <v>សុកកំសត់</v>
          </cell>
          <cell r="G489" t="str">
            <v>SOK</v>
          </cell>
          <cell r="H489" t="str">
            <v>KAMSATH</v>
          </cell>
          <cell r="I489" t="str">
            <v>SOKKAMSATH</v>
          </cell>
          <cell r="J489" t="str">
            <v>ស្រី</v>
          </cell>
          <cell r="K489">
            <v>33604</v>
          </cell>
          <cell r="L489">
            <v>43741</v>
          </cell>
        </row>
        <row r="490">
          <cell r="C490">
            <v>3296</v>
          </cell>
          <cell r="D490" t="str">
            <v>វ៉ាយ</v>
          </cell>
          <cell r="E490" t="str">
            <v>សុខរី</v>
          </cell>
          <cell r="F490" t="str">
            <v>វ៉ាយសុខរី</v>
          </cell>
          <cell r="G490" t="str">
            <v>VAY</v>
          </cell>
          <cell r="H490" t="str">
            <v>SOKRY</v>
          </cell>
          <cell r="I490" t="str">
            <v>VAYSOKRY</v>
          </cell>
          <cell r="J490" t="str">
            <v>ស្រី</v>
          </cell>
          <cell r="K490">
            <v>33072</v>
          </cell>
          <cell r="L490">
            <v>43746</v>
          </cell>
        </row>
        <row r="491">
          <cell r="C491">
            <v>3510</v>
          </cell>
          <cell r="D491" t="str">
            <v>សោម</v>
          </cell>
          <cell r="E491" t="str">
            <v>ស្រីពៅ</v>
          </cell>
          <cell r="F491" t="str">
            <v>សោមស្រីពៅ</v>
          </cell>
          <cell r="G491" t="str">
            <v>SORM</v>
          </cell>
          <cell r="H491" t="str">
            <v>SREYPOV</v>
          </cell>
          <cell r="I491" t="str">
            <v>SORMSREYPOV</v>
          </cell>
          <cell r="J491" t="str">
            <v>ស្រី</v>
          </cell>
          <cell r="K491">
            <v>35432</v>
          </cell>
          <cell r="L491">
            <v>43746</v>
          </cell>
        </row>
        <row r="492">
          <cell r="C492">
            <v>3236</v>
          </cell>
          <cell r="D492" t="str">
            <v>លុក</v>
          </cell>
          <cell r="E492" t="str">
            <v>អូន</v>
          </cell>
          <cell r="F492" t="str">
            <v>លុកអូន</v>
          </cell>
          <cell r="G492" t="str">
            <v>LUK</v>
          </cell>
          <cell r="H492" t="str">
            <v>OUN</v>
          </cell>
          <cell r="I492" t="str">
            <v>LUKOUN</v>
          </cell>
          <cell r="J492" t="str">
            <v>ស្រី</v>
          </cell>
          <cell r="K492">
            <v>27397</v>
          </cell>
          <cell r="L492">
            <v>43746</v>
          </cell>
        </row>
        <row r="493">
          <cell r="C493">
            <v>3149</v>
          </cell>
          <cell r="D493" t="str">
            <v>ថិន</v>
          </cell>
          <cell r="E493" t="str">
            <v>ថៃ</v>
          </cell>
          <cell r="F493" t="str">
            <v>ថិនថៃ</v>
          </cell>
          <cell r="G493" t="str">
            <v>THIN</v>
          </cell>
          <cell r="H493" t="str">
            <v>THAI</v>
          </cell>
          <cell r="I493" t="str">
            <v>THINTHAI</v>
          </cell>
          <cell r="J493" t="str">
            <v>ប្រុស</v>
          </cell>
          <cell r="K493">
            <v>33456</v>
          </cell>
          <cell r="L493">
            <v>43740</v>
          </cell>
        </row>
        <row r="494">
          <cell r="C494">
            <v>3306</v>
          </cell>
          <cell r="D494" t="str">
            <v>វ៉ាយ</v>
          </cell>
          <cell r="E494" t="str">
            <v>ណាវី</v>
          </cell>
          <cell r="F494" t="str">
            <v>វ៉ាយណាវី</v>
          </cell>
          <cell r="G494" t="str">
            <v>YAY</v>
          </cell>
          <cell r="H494" t="str">
            <v>NAVY</v>
          </cell>
          <cell r="I494" t="str">
            <v>YAYNAVY</v>
          </cell>
          <cell r="J494" t="str">
            <v>ស្រី</v>
          </cell>
          <cell r="K494">
            <v>34982</v>
          </cell>
          <cell r="L494">
            <v>43746</v>
          </cell>
        </row>
        <row r="495">
          <cell r="C495">
            <v>3168</v>
          </cell>
          <cell r="D495" t="str">
            <v>ជីន</v>
          </cell>
          <cell r="E495" t="str">
            <v>រីណា</v>
          </cell>
          <cell r="F495" t="str">
            <v>ជីនរីណា</v>
          </cell>
          <cell r="G495" t="str">
            <v>CHIN</v>
          </cell>
          <cell r="H495" t="str">
            <v>RYNA</v>
          </cell>
          <cell r="I495" t="str">
            <v>CHINRYNA</v>
          </cell>
          <cell r="J495" t="str">
            <v>ស្រី</v>
          </cell>
          <cell r="K495">
            <v>34976</v>
          </cell>
          <cell r="L495">
            <v>43740</v>
          </cell>
        </row>
        <row r="496">
          <cell r="C496">
            <v>3137</v>
          </cell>
          <cell r="D496" t="str">
            <v>ហៀន</v>
          </cell>
          <cell r="E496" t="str">
            <v>ស្រីង៉ែត</v>
          </cell>
          <cell r="F496" t="str">
            <v>ហៀនស្រីង៉ែត</v>
          </cell>
          <cell r="G496" t="str">
            <v>HIEN</v>
          </cell>
          <cell r="H496" t="str">
            <v>SREYNGET</v>
          </cell>
          <cell r="I496" t="str">
            <v>HIENSREYNGET</v>
          </cell>
          <cell r="J496" t="str">
            <v>ស្រី</v>
          </cell>
          <cell r="K496">
            <v>35831</v>
          </cell>
          <cell r="L496">
            <v>43740</v>
          </cell>
        </row>
        <row r="497">
          <cell r="C497">
            <v>3538</v>
          </cell>
          <cell r="D497" t="str">
            <v>ទន</v>
          </cell>
          <cell r="E497" t="str">
            <v>ស្រីម៉ន</v>
          </cell>
          <cell r="F497" t="str">
            <v>ទនស្រីម៉ន</v>
          </cell>
          <cell r="G497" t="str">
            <v>TORN</v>
          </cell>
          <cell r="H497" t="str">
            <v>SREYMAN</v>
          </cell>
          <cell r="I497" t="str">
            <v>TORNSREYMAN</v>
          </cell>
          <cell r="J497" t="str">
            <v>ស្រី</v>
          </cell>
          <cell r="K497">
            <v>30446</v>
          </cell>
          <cell r="L497">
            <v>43745</v>
          </cell>
        </row>
        <row r="498">
          <cell r="C498">
            <v>3634</v>
          </cell>
          <cell r="D498" t="str">
            <v>គុណ</v>
          </cell>
          <cell r="E498" t="str">
            <v>ចិន្តា</v>
          </cell>
          <cell r="F498" t="str">
            <v>គុណចិន្តា</v>
          </cell>
          <cell r="G498" t="str">
            <v>KUN</v>
          </cell>
          <cell r="H498" t="str">
            <v>CHINDA</v>
          </cell>
          <cell r="I498" t="str">
            <v>KUNCHINDA</v>
          </cell>
          <cell r="J498" t="str">
            <v>ស្រី</v>
          </cell>
          <cell r="K498">
            <v>32509</v>
          </cell>
          <cell r="L498">
            <v>43754</v>
          </cell>
        </row>
        <row r="499">
          <cell r="C499">
            <v>3164</v>
          </cell>
          <cell r="D499" t="str">
            <v>សួន</v>
          </cell>
          <cell r="E499" t="str">
            <v>ចិត្រា</v>
          </cell>
          <cell r="F499" t="str">
            <v>សួនចិត្រា</v>
          </cell>
          <cell r="G499" t="str">
            <v>SUON</v>
          </cell>
          <cell r="H499" t="str">
            <v>CHITRA</v>
          </cell>
          <cell r="I499" t="str">
            <v>SUONCHITRA</v>
          </cell>
          <cell r="J499" t="str">
            <v>ស្រី</v>
          </cell>
          <cell r="K499">
            <v>34807</v>
          </cell>
          <cell r="L499">
            <v>43740</v>
          </cell>
        </row>
        <row r="500">
          <cell r="C500">
            <v>3533</v>
          </cell>
          <cell r="D500" t="str">
            <v>ដឹប</v>
          </cell>
          <cell r="E500" t="str">
            <v>ចាន់លាង</v>
          </cell>
          <cell r="F500" t="str">
            <v>ដឹបចាន់លាង</v>
          </cell>
          <cell r="G500" t="str">
            <v>DOEB</v>
          </cell>
          <cell r="H500" t="str">
            <v>CHANLEANG</v>
          </cell>
          <cell r="I500" t="str">
            <v>DOEBCHANLEANG</v>
          </cell>
          <cell r="J500" t="str">
            <v>ស្រី</v>
          </cell>
          <cell r="K500">
            <v>30847</v>
          </cell>
          <cell r="L500">
            <v>43757</v>
          </cell>
        </row>
        <row r="501">
          <cell r="C501">
            <v>3523</v>
          </cell>
          <cell r="D501" t="str">
            <v>អៀម</v>
          </cell>
          <cell r="E501" t="str">
            <v>សាមេត</v>
          </cell>
          <cell r="F501" t="str">
            <v>អៀមសាមេត</v>
          </cell>
          <cell r="G501" t="str">
            <v>IEM</v>
          </cell>
          <cell r="H501" t="str">
            <v>SAMETH</v>
          </cell>
          <cell r="I501" t="str">
            <v>IEMSAMETH</v>
          </cell>
          <cell r="J501" t="str">
            <v>ស្រី</v>
          </cell>
          <cell r="K501">
            <v>32882</v>
          </cell>
          <cell r="L501">
            <v>43746</v>
          </cell>
        </row>
        <row r="502">
          <cell r="C502">
            <v>3143</v>
          </cell>
          <cell r="D502" t="str">
            <v>សុត</v>
          </cell>
          <cell r="E502" t="str">
            <v>សុវណ្ណា</v>
          </cell>
          <cell r="F502" t="str">
            <v>សុតសុវណ្ណា</v>
          </cell>
          <cell r="G502" t="str">
            <v>SOT</v>
          </cell>
          <cell r="H502" t="str">
            <v>SOVANNA</v>
          </cell>
          <cell r="I502" t="str">
            <v>SOTSOVANNA</v>
          </cell>
          <cell r="J502" t="str">
            <v>ស្រី</v>
          </cell>
          <cell r="K502">
            <v>28499</v>
          </cell>
          <cell r="L502">
            <v>43740</v>
          </cell>
        </row>
        <row r="503">
          <cell r="C503">
            <v>3572</v>
          </cell>
          <cell r="D503" t="str">
            <v>ប៉ុក</v>
          </cell>
          <cell r="E503" t="str">
            <v>រី</v>
          </cell>
          <cell r="F503" t="str">
            <v>ប៉ុករី</v>
          </cell>
          <cell r="G503" t="str">
            <v>POK</v>
          </cell>
          <cell r="H503" t="str">
            <v>RY</v>
          </cell>
          <cell r="I503" t="str">
            <v>POKRY</v>
          </cell>
          <cell r="J503" t="str">
            <v>ស្រី</v>
          </cell>
          <cell r="K503">
            <v>31879</v>
          </cell>
          <cell r="L503">
            <v>43748</v>
          </cell>
        </row>
        <row r="504">
          <cell r="C504">
            <v>3165</v>
          </cell>
          <cell r="D504" t="str">
            <v>ទូច</v>
          </cell>
          <cell r="E504" t="str">
            <v>នាង</v>
          </cell>
          <cell r="F504" t="str">
            <v>ទូចនាង</v>
          </cell>
          <cell r="G504" t="str">
            <v>TOUCH</v>
          </cell>
          <cell r="H504" t="str">
            <v>NEANG</v>
          </cell>
          <cell r="I504" t="str">
            <v>TOUCHNEANG</v>
          </cell>
          <cell r="J504" t="str">
            <v>ស្រី</v>
          </cell>
          <cell r="K504">
            <v>30176</v>
          </cell>
          <cell r="L504">
            <v>43740</v>
          </cell>
        </row>
        <row r="505">
          <cell r="C505">
            <v>3643</v>
          </cell>
          <cell r="D505" t="str">
            <v>ភឹម</v>
          </cell>
          <cell r="E505" t="str">
            <v>បូវិន</v>
          </cell>
          <cell r="F505" t="str">
            <v>ភឹមបូវិន</v>
          </cell>
          <cell r="G505" t="str">
            <v>PHOEM</v>
          </cell>
          <cell r="H505" t="str">
            <v>BOVIN</v>
          </cell>
          <cell r="I505" t="str">
            <v>PHOEMBOVIN</v>
          </cell>
          <cell r="J505" t="str">
            <v>ប្រុស</v>
          </cell>
          <cell r="K505">
            <v>36078</v>
          </cell>
          <cell r="L505">
            <v>43754</v>
          </cell>
        </row>
        <row r="506">
          <cell r="C506">
            <v>3214</v>
          </cell>
          <cell r="D506" t="str">
            <v>គង់</v>
          </cell>
          <cell r="E506" t="str">
            <v>ស្រីគាង</v>
          </cell>
          <cell r="F506" t="str">
            <v>គង់ស្រីគាង</v>
          </cell>
          <cell r="G506" t="str">
            <v>KONG</v>
          </cell>
          <cell r="H506" t="str">
            <v>SREYKEANG</v>
          </cell>
          <cell r="I506" t="str">
            <v>KONGSREYKEANG</v>
          </cell>
          <cell r="J506" t="str">
            <v>ស្រី</v>
          </cell>
          <cell r="K506">
            <v>34472</v>
          </cell>
          <cell r="L506">
            <v>43741</v>
          </cell>
        </row>
        <row r="507">
          <cell r="C507">
            <v>3183</v>
          </cell>
          <cell r="D507" t="str">
            <v>គឹម</v>
          </cell>
          <cell r="E507" t="str">
            <v>តឿ</v>
          </cell>
          <cell r="F507" t="str">
            <v>គឹមតឿ</v>
          </cell>
          <cell r="G507" t="str">
            <v>KIM</v>
          </cell>
          <cell r="H507" t="str">
            <v>TOEUR</v>
          </cell>
          <cell r="I507" t="str">
            <v>KIMTOEUR</v>
          </cell>
          <cell r="J507" t="str">
            <v>ស្រី</v>
          </cell>
          <cell r="K507">
            <v>33360</v>
          </cell>
          <cell r="L507">
            <v>43741</v>
          </cell>
        </row>
        <row r="508">
          <cell r="C508">
            <v>3642</v>
          </cell>
          <cell r="D508" t="str">
            <v>ខៀវ</v>
          </cell>
          <cell r="E508" t="str">
            <v>ខុំ</v>
          </cell>
          <cell r="F508" t="str">
            <v>ខៀវខុំ</v>
          </cell>
          <cell r="G508" t="str">
            <v>KHIEV</v>
          </cell>
          <cell r="H508" t="str">
            <v>KHOM</v>
          </cell>
          <cell r="I508" t="str">
            <v>KHIEVKHOM</v>
          </cell>
          <cell r="J508" t="str">
            <v>ប្រុស</v>
          </cell>
          <cell r="K508">
            <v>33770</v>
          </cell>
          <cell r="L508">
            <v>43748</v>
          </cell>
        </row>
        <row r="509">
          <cell r="C509">
            <v>3166</v>
          </cell>
          <cell r="D509" t="str">
            <v>នាង</v>
          </cell>
          <cell r="E509" t="str">
            <v>សាវ៉ន</v>
          </cell>
          <cell r="F509" t="str">
            <v>នាងសាវ៉ន</v>
          </cell>
          <cell r="G509" t="str">
            <v>NEANG</v>
          </cell>
          <cell r="H509" t="str">
            <v>SAVORN</v>
          </cell>
          <cell r="I509" t="str">
            <v>NEANGSAVORN</v>
          </cell>
          <cell r="J509" t="str">
            <v>ស្រី</v>
          </cell>
          <cell r="K509">
            <v>21427</v>
          </cell>
          <cell r="L509">
            <v>43740</v>
          </cell>
        </row>
        <row r="510">
          <cell r="C510">
            <v>3212</v>
          </cell>
          <cell r="D510" t="str">
            <v>វ៉ាន</v>
          </cell>
          <cell r="E510" t="str">
            <v>ភន</v>
          </cell>
          <cell r="F510" t="str">
            <v>វ៉ានភន</v>
          </cell>
          <cell r="G510" t="str">
            <v>VAN</v>
          </cell>
          <cell r="H510" t="str">
            <v>PHORN</v>
          </cell>
          <cell r="I510" t="str">
            <v>VANPHORN</v>
          </cell>
          <cell r="J510" t="str">
            <v>ស្រី</v>
          </cell>
          <cell r="K510">
            <v>35226</v>
          </cell>
          <cell r="L510">
            <v>43742</v>
          </cell>
        </row>
        <row r="511">
          <cell r="C511">
            <v>3162</v>
          </cell>
          <cell r="D511" t="str">
            <v>នៅ</v>
          </cell>
          <cell r="E511" t="str">
            <v>លឿង</v>
          </cell>
          <cell r="F511" t="str">
            <v>នៅលឿង</v>
          </cell>
          <cell r="G511" t="str">
            <v>NOV</v>
          </cell>
          <cell r="H511" t="str">
            <v>LOEUNG</v>
          </cell>
          <cell r="I511" t="str">
            <v>NOVLOEUNG</v>
          </cell>
          <cell r="J511" t="str">
            <v>ស្រី</v>
          </cell>
          <cell r="K511">
            <v>26368</v>
          </cell>
          <cell r="L511">
            <v>43741</v>
          </cell>
        </row>
        <row r="512">
          <cell r="C512">
            <v>3169</v>
          </cell>
          <cell r="D512" t="str">
            <v>ឈន</v>
          </cell>
          <cell r="E512" t="str">
            <v>សុភាព</v>
          </cell>
          <cell r="F512" t="str">
            <v>ឈនសុភាព</v>
          </cell>
          <cell r="G512" t="str">
            <v>CHORN</v>
          </cell>
          <cell r="H512" t="str">
            <v>SOPHEAP</v>
          </cell>
          <cell r="I512" t="str">
            <v>CHORNSOPHEAP</v>
          </cell>
          <cell r="J512" t="str">
            <v>ស្រី</v>
          </cell>
          <cell r="K512">
            <v>30109</v>
          </cell>
          <cell r="L512">
            <v>43741</v>
          </cell>
        </row>
        <row r="513">
          <cell r="C513">
            <v>3312</v>
          </cell>
          <cell r="D513" t="str">
            <v>ណាំ</v>
          </cell>
          <cell r="E513" t="str">
            <v>ទិព្វ</v>
          </cell>
          <cell r="F513" t="str">
            <v>ណាំទិព្វ</v>
          </cell>
          <cell r="G513" t="str">
            <v>NAM</v>
          </cell>
          <cell r="H513" t="str">
            <v>TEP</v>
          </cell>
          <cell r="I513" t="str">
            <v>NAMTEP</v>
          </cell>
          <cell r="J513" t="str">
            <v>ស្រី</v>
          </cell>
          <cell r="K513">
            <v>26818</v>
          </cell>
          <cell r="L513">
            <v>43746</v>
          </cell>
        </row>
        <row r="514">
          <cell r="C514">
            <v>3145</v>
          </cell>
          <cell r="D514" t="str">
            <v>សើន</v>
          </cell>
          <cell r="E514" t="str">
            <v>ពិសី</v>
          </cell>
          <cell r="F514" t="str">
            <v>សើនពិសី</v>
          </cell>
          <cell r="G514" t="str">
            <v>SOUERN</v>
          </cell>
          <cell r="H514" t="str">
            <v>PISEY</v>
          </cell>
          <cell r="I514" t="str">
            <v>SOUERNPISEY</v>
          </cell>
          <cell r="J514" t="str">
            <v>ស្រី</v>
          </cell>
          <cell r="K514">
            <v>36819</v>
          </cell>
          <cell r="L514">
            <v>43740</v>
          </cell>
        </row>
        <row r="515">
          <cell r="C515">
            <v>3207</v>
          </cell>
          <cell r="D515" t="str">
            <v>ញាណ</v>
          </cell>
          <cell r="E515" t="str">
            <v>ស្រីទូច</v>
          </cell>
          <cell r="F515" t="str">
            <v>ញាណស្រីទូច</v>
          </cell>
          <cell r="G515" t="str">
            <v>NHEAN</v>
          </cell>
          <cell r="H515" t="str">
            <v>SREYTOUCH</v>
          </cell>
          <cell r="I515" t="str">
            <v>NHEANSREYTOUCH</v>
          </cell>
          <cell r="J515" t="str">
            <v>ស្រី</v>
          </cell>
          <cell r="K515">
            <v>31945</v>
          </cell>
          <cell r="L515">
            <v>43741</v>
          </cell>
        </row>
        <row r="516">
          <cell r="C516">
            <v>3142</v>
          </cell>
          <cell r="D516" t="str">
            <v>សន</v>
          </cell>
          <cell r="E516" t="str">
            <v>សារឿន</v>
          </cell>
          <cell r="F516" t="str">
            <v>សនសារឿន</v>
          </cell>
          <cell r="G516" t="str">
            <v>SAN</v>
          </cell>
          <cell r="H516" t="str">
            <v>SAROEUN</v>
          </cell>
          <cell r="I516" t="str">
            <v>SANSAROEUN</v>
          </cell>
          <cell r="J516" t="str">
            <v>ស្រី</v>
          </cell>
          <cell r="K516">
            <v>28984</v>
          </cell>
          <cell r="L516">
            <v>43740</v>
          </cell>
        </row>
        <row r="517">
          <cell r="C517">
            <v>3300</v>
          </cell>
          <cell r="D517" t="str">
            <v>មួក</v>
          </cell>
          <cell r="E517" t="str">
            <v>សុខី</v>
          </cell>
          <cell r="F517" t="str">
            <v>មួកសុខី</v>
          </cell>
          <cell r="G517" t="str">
            <v>MUOK</v>
          </cell>
          <cell r="H517" t="str">
            <v>SOKHY</v>
          </cell>
          <cell r="I517" t="str">
            <v>MUOKSOKHY</v>
          </cell>
          <cell r="J517" t="str">
            <v>ស្រី</v>
          </cell>
          <cell r="K517">
            <v>29839</v>
          </cell>
          <cell r="L517">
            <v>43746</v>
          </cell>
        </row>
        <row r="518">
          <cell r="C518">
            <v>3257</v>
          </cell>
          <cell r="D518" t="str">
            <v>អ៊ុន</v>
          </cell>
          <cell r="E518" t="str">
            <v>ឈីម</v>
          </cell>
          <cell r="F518" t="str">
            <v>អ៊ុនឈីម</v>
          </cell>
          <cell r="G518" t="str">
            <v>UN</v>
          </cell>
          <cell r="H518" t="str">
            <v>CHIEM</v>
          </cell>
          <cell r="I518" t="str">
            <v>UNCHIEM</v>
          </cell>
          <cell r="J518" t="str">
            <v>ស្រី</v>
          </cell>
          <cell r="K518">
            <v>29253</v>
          </cell>
          <cell r="L518">
            <v>43746</v>
          </cell>
        </row>
        <row r="519">
          <cell r="C519">
            <v>3219</v>
          </cell>
          <cell r="D519" t="str">
            <v>ពៅ</v>
          </cell>
          <cell r="E519" t="str">
            <v>ផល្លីន</v>
          </cell>
          <cell r="F519" t="str">
            <v>ពៅផល្លីន</v>
          </cell>
          <cell r="G519" t="str">
            <v>POEU</v>
          </cell>
          <cell r="H519" t="str">
            <v>PHALIN</v>
          </cell>
          <cell r="I519" t="str">
            <v>POEUPHALIN</v>
          </cell>
          <cell r="J519" t="str">
            <v>ស្រី</v>
          </cell>
          <cell r="K519">
            <v>36918</v>
          </cell>
          <cell r="L519">
            <v>43741</v>
          </cell>
        </row>
        <row r="520">
          <cell r="C520">
            <v>3202</v>
          </cell>
          <cell r="D520" t="str">
            <v>អ៊ួន</v>
          </cell>
          <cell r="E520" t="str">
            <v>វន្នី</v>
          </cell>
          <cell r="F520" t="str">
            <v>អ៊ួនវន្នី</v>
          </cell>
          <cell r="G520" t="str">
            <v>UON</v>
          </cell>
          <cell r="H520" t="str">
            <v>VANNY</v>
          </cell>
          <cell r="I520" t="str">
            <v>UONVANNY</v>
          </cell>
          <cell r="J520" t="str">
            <v>ស្រី</v>
          </cell>
          <cell r="K520">
            <v>31670</v>
          </cell>
          <cell r="L520">
            <v>43742</v>
          </cell>
        </row>
        <row r="521">
          <cell r="C521">
            <v>3244</v>
          </cell>
          <cell r="D521" t="str">
            <v>អ៊ួន</v>
          </cell>
          <cell r="E521" t="str">
            <v>ឧត្តម</v>
          </cell>
          <cell r="F521" t="str">
            <v>អ៊ួនឧត្តម</v>
          </cell>
          <cell r="G521" t="str">
            <v>OUN</v>
          </cell>
          <cell r="H521" t="str">
            <v>UDOM</v>
          </cell>
          <cell r="I521" t="str">
            <v>OUNUDOM</v>
          </cell>
          <cell r="J521" t="str">
            <v>ប្រុស</v>
          </cell>
          <cell r="K521">
            <v>34155</v>
          </cell>
          <cell r="L521">
            <v>43745</v>
          </cell>
        </row>
        <row r="522">
          <cell r="C522">
            <v>3181</v>
          </cell>
          <cell r="D522" t="str">
            <v>សែន</v>
          </cell>
          <cell r="E522" t="str">
            <v>សុផល</v>
          </cell>
          <cell r="F522" t="str">
            <v>សែនសុផល</v>
          </cell>
          <cell r="G522" t="str">
            <v>SEN</v>
          </cell>
          <cell r="H522" t="str">
            <v>SOPHAL</v>
          </cell>
          <cell r="I522" t="str">
            <v>SENSOPHAL</v>
          </cell>
          <cell r="J522" t="str">
            <v>ប្រុស</v>
          </cell>
          <cell r="K522">
            <v>35523</v>
          </cell>
          <cell r="L522">
            <v>43740</v>
          </cell>
        </row>
        <row r="523">
          <cell r="C523">
            <v>3270</v>
          </cell>
          <cell r="D523" t="str">
            <v>សុក</v>
          </cell>
          <cell r="E523" t="str">
            <v>សាល</v>
          </cell>
          <cell r="F523" t="str">
            <v>សុកសាល</v>
          </cell>
          <cell r="G523" t="str">
            <v>SOK</v>
          </cell>
          <cell r="H523" t="str">
            <v>SAL</v>
          </cell>
          <cell r="I523" t="str">
            <v>SOKSAL</v>
          </cell>
          <cell r="J523" t="str">
            <v>ប្រុស</v>
          </cell>
          <cell r="K523">
            <v>32404</v>
          </cell>
          <cell r="L523">
            <v>43746</v>
          </cell>
        </row>
        <row r="524">
          <cell r="C524">
            <v>3559</v>
          </cell>
          <cell r="D524" t="str">
            <v>ហឿង</v>
          </cell>
          <cell r="E524" t="str">
            <v>សម្ផស្ស</v>
          </cell>
          <cell r="F524" t="str">
            <v>ហឿងសម្ផស្ស</v>
          </cell>
          <cell r="G524" t="str">
            <v>HOEUNG</v>
          </cell>
          <cell r="H524" t="str">
            <v>SOMPORS</v>
          </cell>
          <cell r="I524" t="str">
            <v>HOEUNGSOMPORS</v>
          </cell>
          <cell r="J524" t="str">
            <v>ស្រី</v>
          </cell>
          <cell r="K524">
            <v>35830</v>
          </cell>
          <cell r="L524">
            <v>43748</v>
          </cell>
        </row>
        <row r="525">
          <cell r="C525">
            <v>3517</v>
          </cell>
          <cell r="D525" t="str">
            <v>សូត</v>
          </cell>
          <cell r="E525" t="str">
            <v>យ៉ុន</v>
          </cell>
          <cell r="F525" t="str">
            <v>សូតយ៉ុន</v>
          </cell>
          <cell r="G525" t="str">
            <v>SOUT</v>
          </cell>
          <cell r="H525" t="str">
            <v>YUN</v>
          </cell>
          <cell r="I525" t="str">
            <v>SOUTYUN</v>
          </cell>
          <cell r="J525" t="str">
            <v>ស្រី</v>
          </cell>
          <cell r="K525">
            <v>34035</v>
          </cell>
          <cell r="L525">
            <v>43747</v>
          </cell>
        </row>
        <row r="526">
          <cell r="C526">
            <v>3287</v>
          </cell>
          <cell r="D526" t="str">
            <v>ជុំ</v>
          </cell>
          <cell r="E526" t="str">
            <v>ស៊ីយ៉ុម</v>
          </cell>
          <cell r="F526" t="str">
            <v>ជុំស៊ីយ៉ុម</v>
          </cell>
          <cell r="G526" t="str">
            <v>CHUM</v>
          </cell>
          <cell r="H526" t="str">
            <v>SIYOM</v>
          </cell>
          <cell r="I526" t="str">
            <v>CHUMSIYOM</v>
          </cell>
          <cell r="J526" t="str">
            <v>ស្រី</v>
          </cell>
          <cell r="K526">
            <v>30807</v>
          </cell>
          <cell r="L526">
            <v>43746</v>
          </cell>
        </row>
        <row r="527">
          <cell r="C527">
            <v>3224</v>
          </cell>
          <cell r="D527" t="str">
            <v>ផាន</v>
          </cell>
          <cell r="E527" t="str">
            <v>ស្រីពៅ</v>
          </cell>
          <cell r="F527" t="str">
            <v>ផានស្រីពៅ</v>
          </cell>
          <cell r="G527" t="str">
            <v>PHAN</v>
          </cell>
          <cell r="H527" t="str">
            <v>SREYPEOU</v>
          </cell>
          <cell r="I527" t="str">
            <v>PHANSREYPEOU</v>
          </cell>
          <cell r="J527" t="str">
            <v>ស្រី</v>
          </cell>
          <cell r="K527">
            <v>32874</v>
          </cell>
          <cell r="L527">
            <v>43742</v>
          </cell>
        </row>
        <row r="528">
          <cell r="C528">
            <v>3518</v>
          </cell>
          <cell r="D528" t="str">
            <v>វ៉ិត</v>
          </cell>
          <cell r="E528" t="str">
            <v>ស្រីគីន</v>
          </cell>
          <cell r="F528" t="str">
            <v>វ៉ិតស្រីគីន</v>
          </cell>
          <cell r="G528" t="str">
            <v>VIT</v>
          </cell>
          <cell r="H528" t="str">
            <v>SREYKIN</v>
          </cell>
          <cell r="I528" t="str">
            <v>VITSREYKIN</v>
          </cell>
          <cell r="J528" t="str">
            <v>ស្រី</v>
          </cell>
          <cell r="K528">
            <v>35499</v>
          </cell>
          <cell r="L528">
            <v>43746</v>
          </cell>
        </row>
        <row r="529">
          <cell r="C529">
            <v>3226</v>
          </cell>
          <cell r="D529" t="str">
            <v>ញ៉ឹក</v>
          </cell>
          <cell r="E529" t="str">
            <v>នី</v>
          </cell>
          <cell r="F529" t="str">
            <v>ញ៉ឹកនី</v>
          </cell>
          <cell r="G529" t="str">
            <v>NHOEK</v>
          </cell>
          <cell r="H529" t="str">
            <v>NY</v>
          </cell>
          <cell r="I529" t="str">
            <v>NHOEKNY</v>
          </cell>
          <cell r="J529" t="str">
            <v>ស្រី</v>
          </cell>
          <cell r="K529">
            <v>30083</v>
          </cell>
          <cell r="L529">
            <v>43741</v>
          </cell>
        </row>
        <row r="530">
          <cell r="C530">
            <v>3273</v>
          </cell>
          <cell r="D530" t="str">
            <v>សេង</v>
          </cell>
          <cell r="E530" t="str">
            <v>សុភាន់</v>
          </cell>
          <cell r="F530" t="str">
            <v>សេងសុភាន់</v>
          </cell>
          <cell r="G530" t="str">
            <v>SENG</v>
          </cell>
          <cell r="H530" t="str">
            <v>SOPHAN</v>
          </cell>
          <cell r="I530" t="str">
            <v>SENGSOPHAN</v>
          </cell>
          <cell r="J530" t="str">
            <v>ស្រី</v>
          </cell>
          <cell r="K530">
            <v>35499</v>
          </cell>
          <cell r="L530">
            <v>43743</v>
          </cell>
        </row>
        <row r="531">
          <cell r="C531">
            <v>3221</v>
          </cell>
          <cell r="D531" t="str">
            <v>ខេង</v>
          </cell>
          <cell r="E531" t="str">
            <v>រ៉ាវី</v>
          </cell>
          <cell r="F531" t="str">
            <v>ខេងរ៉ាវី</v>
          </cell>
          <cell r="G531" t="str">
            <v>KHENG</v>
          </cell>
          <cell r="H531" t="str">
            <v>RAVY</v>
          </cell>
          <cell r="I531" t="str">
            <v>KHENGRAVY</v>
          </cell>
          <cell r="J531" t="str">
            <v>ប្រុស</v>
          </cell>
          <cell r="K531">
            <v>36758</v>
          </cell>
          <cell r="L531">
            <v>43742</v>
          </cell>
        </row>
        <row r="532">
          <cell r="C532">
            <v>3222</v>
          </cell>
          <cell r="D532" t="str">
            <v>វ៉ិត</v>
          </cell>
          <cell r="E532" t="str">
            <v>ខ្នា</v>
          </cell>
          <cell r="F532" t="str">
            <v>វ៉ិតខ្នា</v>
          </cell>
          <cell r="G532" t="str">
            <v>VIT</v>
          </cell>
          <cell r="H532" t="str">
            <v>KNA</v>
          </cell>
          <cell r="I532" t="str">
            <v>VITKNA</v>
          </cell>
          <cell r="J532" t="str">
            <v>ប្រុស</v>
          </cell>
          <cell r="K532">
            <v>36220</v>
          </cell>
          <cell r="L532">
            <v>43742</v>
          </cell>
        </row>
        <row r="533">
          <cell r="C533">
            <v>3218</v>
          </cell>
          <cell r="D533" t="str">
            <v>សូ</v>
          </cell>
          <cell r="E533" t="str">
            <v>រ៉ាត់</v>
          </cell>
          <cell r="F533" t="str">
            <v>សូរ៉ាត់</v>
          </cell>
          <cell r="G533" t="str">
            <v>SO</v>
          </cell>
          <cell r="H533" t="str">
            <v>RAT</v>
          </cell>
          <cell r="I533" t="str">
            <v>SORAT</v>
          </cell>
          <cell r="J533" t="str">
            <v>ប្រុស</v>
          </cell>
          <cell r="K533">
            <v>34616</v>
          </cell>
          <cell r="L533">
            <v>43741</v>
          </cell>
        </row>
        <row r="534">
          <cell r="C534">
            <v>3591</v>
          </cell>
          <cell r="D534" t="str">
            <v>ញែន</v>
          </cell>
          <cell r="E534" t="str">
            <v>ណយ</v>
          </cell>
          <cell r="F534" t="str">
            <v>ញែនណយ</v>
          </cell>
          <cell r="G534" t="str">
            <v>NHEN</v>
          </cell>
          <cell r="H534" t="str">
            <v>NOY</v>
          </cell>
          <cell r="I534" t="str">
            <v>NHENNOY</v>
          </cell>
          <cell r="J534" t="str">
            <v>ស្រី</v>
          </cell>
          <cell r="K534">
            <v>37140</v>
          </cell>
          <cell r="L534">
            <v>43749</v>
          </cell>
        </row>
        <row r="535">
          <cell r="C535">
            <v>3519</v>
          </cell>
          <cell r="D535" t="str">
            <v>កើត</v>
          </cell>
          <cell r="E535" t="str">
            <v>សុខលី</v>
          </cell>
          <cell r="F535" t="str">
            <v>កើតសុខលី</v>
          </cell>
          <cell r="G535" t="str">
            <v>KOEUT</v>
          </cell>
          <cell r="H535" t="str">
            <v>SOKLY</v>
          </cell>
          <cell r="I535" t="str">
            <v>KOEUTSOKLY</v>
          </cell>
          <cell r="J535" t="str">
            <v>ស្រី</v>
          </cell>
          <cell r="K535">
            <v>33380</v>
          </cell>
          <cell r="L535">
            <v>43743</v>
          </cell>
        </row>
        <row r="536">
          <cell r="C536">
            <v>3531</v>
          </cell>
          <cell r="D536" t="str">
            <v>សូត</v>
          </cell>
          <cell r="E536" t="str">
            <v>ឆៃ</v>
          </cell>
          <cell r="F536" t="str">
            <v>សូតឆៃ</v>
          </cell>
          <cell r="G536" t="str">
            <v>SUTH</v>
          </cell>
          <cell r="H536" t="str">
            <v>CHHAI</v>
          </cell>
          <cell r="I536" t="str">
            <v>SUTHCHHAI</v>
          </cell>
          <cell r="J536" t="str">
            <v>ប្រុស</v>
          </cell>
          <cell r="K536">
            <v>35735</v>
          </cell>
          <cell r="L536">
            <v>43746</v>
          </cell>
        </row>
        <row r="537">
          <cell r="C537">
            <v>3504</v>
          </cell>
          <cell r="D537" t="str">
            <v>លី</v>
          </cell>
          <cell r="E537" t="str">
            <v>មុត</v>
          </cell>
          <cell r="F537" t="str">
            <v>លីមុត</v>
          </cell>
          <cell r="G537" t="str">
            <v>LY</v>
          </cell>
          <cell r="H537" t="str">
            <v>MUT</v>
          </cell>
          <cell r="I537" t="str">
            <v>LYMUT</v>
          </cell>
          <cell r="J537" t="str">
            <v>ប្រុស</v>
          </cell>
          <cell r="K537">
            <v>35271</v>
          </cell>
          <cell r="L537">
            <v>43742</v>
          </cell>
        </row>
        <row r="538">
          <cell r="C538">
            <v>3284</v>
          </cell>
          <cell r="D538" t="str">
            <v>ហង្ស</v>
          </cell>
          <cell r="E538" t="str">
            <v>វិចិត្រ</v>
          </cell>
          <cell r="F538" t="str">
            <v>ហង្សវិចិត្រ</v>
          </cell>
          <cell r="G538" t="str">
            <v>HANG</v>
          </cell>
          <cell r="H538" t="str">
            <v>VICHETH</v>
          </cell>
          <cell r="I538" t="str">
            <v>HANGVICHETH</v>
          </cell>
          <cell r="J538" t="str">
            <v>ប្រុស</v>
          </cell>
          <cell r="K538">
            <v>32123</v>
          </cell>
          <cell r="L538">
            <v>43743</v>
          </cell>
        </row>
        <row r="539">
          <cell r="C539">
            <v>3171</v>
          </cell>
          <cell r="D539" t="str">
            <v>ផាន់</v>
          </cell>
          <cell r="E539" t="str">
            <v>សុកគឿន</v>
          </cell>
          <cell r="F539" t="str">
            <v>ផាន់សុកគឿន</v>
          </cell>
          <cell r="G539" t="str">
            <v>PHAN</v>
          </cell>
          <cell r="H539" t="str">
            <v>SOKKOEUN</v>
          </cell>
          <cell r="I539" t="str">
            <v>PHANSOKKOEUN</v>
          </cell>
          <cell r="J539" t="str">
            <v>ស្រី</v>
          </cell>
          <cell r="K539">
            <v>29325</v>
          </cell>
          <cell r="L539">
            <v>43740</v>
          </cell>
        </row>
        <row r="540">
          <cell r="C540">
            <v>3180</v>
          </cell>
          <cell r="D540" t="str">
            <v>យ៉ែម</v>
          </cell>
          <cell r="E540" t="str">
            <v>ដែន</v>
          </cell>
          <cell r="F540" t="str">
            <v>យ៉ែមដែន</v>
          </cell>
          <cell r="G540" t="str">
            <v>YEM</v>
          </cell>
          <cell r="H540" t="str">
            <v>DEN</v>
          </cell>
          <cell r="I540" t="str">
            <v>YEMDEN</v>
          </cell>
          <cell r="J540" t="str">
            <v>ប្រុស</v>
          </cell>
          <cell r="K540">
            <v>31327</v>
          </cell>
          <cell r="L540">
            <v>43740</v>
          </cell>
        </row>
        <row r="541">
          <cell r="C541">
            <v>3283</v>
          </cell>
          <cell r="D541" t="str">
            <v>ឌឿ</v>
          </cell>
          <cell r="E541" t="str">
            <v>រដ្ឋា</v>
          </cell>
          <cell r="F541" t="str">
            <v>ឌឿរដ្ឋា</v>
          </cell>
          <cell r="G541" t="str">
            <v>DOEU</v>
          </cell>
          <cell r="H541" t="str">
            <v>RATHA</v>
          </cell>
          <cell r="I541" t="str">
            <v>DOEURATHA</v>
          </cell>
          <cell r="J541" t="str">
            <v>ស្រី</v>
          </cell>
          <cell r="K541">
            <v>34252</v>
          </cell>
          <cell r="L541">
            <v>43746</v>
          </cell>
        </row>
        <row r="542">
          <cell r="C542">
            <v>3496</v>
          </cell>
          <cell r="D542" t="str">
            <v>យិន</v>
          </cell>
          <cell r="E542" t="str">
            <v>លីដា</v>
          </cell>
          <cell r="F542" t="str">
            <v>យិនលីដា</v>
          </cell>
          <cell r="G542" t="str">
            <v>YEN</v>
          </cell>
          <cell r="H542" t="str">
            <v>LYDA</v>
          </cell>
          <cell r="I542" t="str">
            <v>YENLYDA</v>
          </cell>
          <cell r="J542" t="str">
            <v>ប្រុស</v>
          </cell>
          <cell r="K542">
            <v>36222</v>
          </cell>
          <cell r="L542">
            <v>43746</v>
          </cell>
        </row>
        <row r="543">
          <cell r="C543">
            <v>3734</v>
          </cell>
          <cell r="D543" t="str">
            <v>ពិន</v>
          </cell>
          <cell r="E543" t="str">
            <v>សុន្នីតា</v>
          </cell>
          <cell r="F543" t="str">
            <v>ពិនសុន្នីតា</v>
          </cell>
          <cell r="G543" t="str">
            <v>PIN</v>
          </cell>
          <cell r="H543" t="str">
            <v>SONITA</v>
          </cell>
          <cell r="I543" t="str">
            <v>PINSONITA</v>
          </cell>
          <cell r="J543" t="str">
            <v>ស្រី</v>
          </cell>
          <cell r="K543">
            <v>35139</v>
          </cell>
          <cell r="L543">
            <v>43760</v>
          </cell>
        </row>
        <row r="544">
          <cell r="C544">
            <v>3680</v>
          </cell>
          <cell r="D544" t="str">
            <v>ឃឹម</v>
          </cell>
          <cell r="E544" t="str">
            <v>ធី</v>
          </cell>
          <cell r="F544" t="str">
            <v>ឃឹមធី</v>
          </cell>
          <cell r="G544" t="str">
            <v>KHOEM</v>
          </cell>
          <cell r="H544" t="str">
            <v>THY</v>
          </cell>
          <cell r="I544" t="str">
            <v>KHOEMTHY</v>
          </cell>
          <cell r="J544" t="str">
            <v>ស្រី</v>
          </cell>
          <cell r="K544">
            <v>31962</v>
          </cell>
          <cell r="L544">
            <v>43762</v>
          </cell>
        </row>
        <row r="545">
          <cell r="C545">
            <v>3762</v>
          </cell>
          <cell r="D545" t="str">
            <v>ផន</v>
          </cell>
          <cell r="E545" t="str">
            <v>ញ៉ាញ់</v>
          </cell>
          <cell r="F545" t="str">
            <v>ផនញ៉ាញ់</v>
          </cell>
          <cell r="G545" t="str">
            <v>PHORN</v>
          </cell>
          <cell r="H545" t="str">
            <v>NHANH</v>
          </cell>
          <cell r="I545" t="str">
            <v>PHORNNHANH</v>
          </cell>
          <cell r="J545" t="str">
            <v>ស្រី</v>
          </cell>
          <cell r="K545">
            <v>30505</v>
          </cell>
          <cell r="L545">
            <v>43762</v>
          </cell>
        </row>
        <row r="546">
          <cell r="C546">
            <v>3710</v>
          </cell>
          <cell r="D546" t="str">
            <v>កែវ</v>
          </cell>
          <cell r="E546" t="str">
            <v>ស្រីល័ក្ខ</v>
          </cell>
          <cell r="F546" t="str">
            <v>កែវស្រីល័ក្ខ</v>
          </cell>
          <cell r="G546" t="str">
            <v>KEO</v>
          </cell>
          <cell r="H546" t="str">
            <v>SREYLEAK</v>
          </cell>
          <cell r="I546" t="str">
            <v>KEOSREYLEAK</v>
          </cell>
          <cell r="J546" t="str">
            <v>ស្រី</v>
          </cell>
          <cell r="K546">
            <v>36012</v>
          </cell>
          <cell r="L546">
            <v>43762</v>
          </cell>
        </row>
        <row r="547">
          <cell r="C547">
            <v>3707</v>
          </cell>
          <cell r="D547" t="str">
            <v>សុខ</v>
          </cell>
          <cell r="E547" t="str">
            <v>សារ៉ាន់</v>
          </cell>
          <cell r="F547" t="str">
            <v>សុខសារ៉ាន់</v>
          </cell>
          <cell r="G547" t="str">
            <v>SOK</v>
          </cell>
          <cell r="H547" t="str">
            <v>SARANN</v>
          </cell>
          <cell r="I547" t="str">
            <v>SOKSARANN</v>
          </cell>
          <cell r="J547" t="str">
            <v>ស្រី</v>
          </cell>
          <cell r="K547">
            <v>29331</v>
          </cell>
          <cell r="L547">
            <v>43762</v>
          </cell>
        </row>
        <row r="548">
          <cell r="C548">
            <v>3715</v>
          </cell>
          <cell r="D548" t="str">
            <v>វឿន</v>
          </cell>
          <cell r="E548" t="str">
            <v>ចិត្រា</v>
          </cell>
          <cell r="F548" t="str">
            <v>វឿនចិត្រា</v>
          </cell>
          <cell r="G548" t="str">
            <v>VOEURN</v>
          </cell>
          <cell r="H548" t="str">
            <v>CHITRA</v>
          </cell>
          <cell r="I548" t="str">
            <v>VOEURNCHITRA</v>
          </cell>
          <cell r="J548" t="str">
            <v>ស្រី</v>
          </cell>
          <cell r="K548">
            <v>36771</v>
          </cell>
          <cell r="L548">
            <v>43762</v>
          </cell>
        </row>
        <row r="549">
          <cell r="C549">
            <v>3683</v>
          </cell>
          <cell r="D549" t="str">
            <v>យ៉ុន</v>
          </cell>
          <cell r="E549" t="str">
            <v>សុគន្ធ</v>
          </cell>
          <cell r="F549" t="str">
            <v>យ៉ុនសុគន្ធ</v>
          </cell>
          <cell r="G549" t="str">
            <v>YON</v>
          </cell>
          <cell r="H549" t="str">
            <v>SOKUN</v>
          </cell>
          <cell r="I549" t="str">
            <v>YONSOKUN</v>
          </cell>
          <cell r="J549" t="str">
            <v>ស្រី</v>
          </cell>
          <cell r="K549">
            <v>30390</v>
          </cell>
          <cell r="L549">
            <v>43762</v>
          </cell>
        </row>
        <row r="550">
          <cell r="C550">
            <v>3750</v>
          </cell>
          <cell r="D550" t="str">
            <v>ផន</v>
          </cell>
          <cell r="E550" t="str">
            <v>ដា</v>
          </cell>
          <cell r="F550" t="str">
            <v>ផនដា</v>
          </cell>
          <cell r="G550" t="str">
            <v>PHARN</v>
          </cell>
          <cell r="H550" t="str">
            <v>DA</v>
          </cell>
          <cell r="I550" t="str">
            <v>PHARNDA</v>
          </cell>
          <cell r="J550" t="str">
            <v>ស្រី</v>
          </cell>
          <cell r="K550">
            <v>31169</v>
          </cell>
          <cell r="L550">
            <v>43762</v>
          </cell>
        </row>
        <row r="551">
          <cell r="C551">
            <v>3749</v>
          </cell>
          <cell r="D551" t="str">
            <v>សរ</v>
          </cell>
          <cell r="E551" t="str">
            <v>ដា</v>
          </cell>
          <cell r="F551" t="str">
            <v>សរដា</v>
          </cell>
          <cell r="G551" t="str">
            <v>SOR</v>
          </cell>
          <cell r="H551" t="str">
            <v>DA</v>
          </cell>
          <cell r="I551" t="str">
            <v>SORDA</v>
          </cell>
          <cell r="J551" t="str">
            <v>ស្រី</v>
          </cell>
          <cell r="K551">
            <v>31533</v>
          </cell>
          <cell r="L551">
            <v>43762</v>
          </cell>
        </row>
        <row r="552">
          <cell r="C552">
            <v>3747</v>
          </cell>
          <cell r="D552" t="str">
            <v>រ៉ន</v>
          </cell>
          <cell r="E552" t="str">
            <v>នីម</v>
          </cell>
          <cell r="F552" t="str">
            <v>រ៉ននីម</v>
          </cell>
          <cell r="G552" t="str">
            <v>RORN</v>
          </cell>
          <cell r="H552" t="str">
            <v>NIM</v>
          </cell>
          <cell r="I552" t="str">
            <v>RORNNIM</v>
          </cell>
          <cell r="J552" t="str">
            <v>ស្រី</v>
          </cell>
          <cell r="K552">
            <v>30628</v>
          </cell>
          <cell r="L552">
            <v>43762</v>
          </cell>
        </row>
        <row r="553">
          <cell r="C553">
            <v>3706</v>
          </cell>
          <cell r="D553" t="str">
            <v>ស្រួច</v>
          </cell>
          <cell r="E553" t="str">
            <v>រ៉េន</v>
          </cell>
          <cell r="F553" t="str">
            <v>ស្រួចរ៉េន</v>
          </cell>
          <cell r="G553" t="str">
            <v>SRUOCH</v>
          </cell>
          <cell r="H553" t="str">
            <v>REN</v>
          </cell>
          <cell r="I553" t="str">
            <v>SRUOCHREN</v>
          </cell>
          <cell r="J553" t="str">
            <v>ស្រី</v>
          </cell>
          <cell r="K553">
            <v>36594</v>
          </cell>
          <cell r="L553">
            <v>43762</v>
          </cell>
        </row>
        <row r="554">
          <cell r="C554">
            <v>3704</v>
          </cell>
          <cell r="D554" t="str">
            <v>ធឿន</v>
          </cell>
          <cell r="E554" t="str">
            <v>សុខា</v>
          </cell>
          <cell r="F554" t="str">
            <v>ធឿនសុខា</v>
          </cell>
          <cell r="G554" t="str">
            <v>THOEURN</v>
          </cell>
          <cell r="H554" t="str">
            <v>SOKHA</v>
          </cell>
          <cell r="I554" t="str">
            <v>THOEURNSOKHA</v>
          </cell>
          <cell r="J554" t="str">
            <v>ស្រី</v>
          </cell>
          <cell r="K554">
            <v>36683</v>
          </cell>
          <cell r="L554">
            <v>43762</v>
          </cell>
        </row>
        <row r="555">
          <cell r="C555">
            <v>3700</v>
          </cell>
          <cell r="D555" t="str">
            <v>ស៊ុន</v>
          </cell>
          <cell r="E555" t="str">
            <v>នី</v>
          </cell>
          <cell r="F555" t="str">
            <v>ស៊ុននី</v>
          </cell>
          <cell r="G555" t="str">
            <v>SUN</v>
          </cell>
          <cell r="H555" t="str">
            <v>NY</v>
          </cell>
          <cell r="I555" t="str">
            <v>SUNNY</v>
          </cell>
          <cell r="J555" t="str">
            <v>ស្រី</v>
          </cell>
          <cell r="K555">
            <v>34771</v>
          </cell>
          <cell r="L555">
            <v>43762</v>
          </cell>
        </row>
        <row r="556">
          <cell r="C556">
            <v>3684</v>
          </cell>
          <cell r="D556" t="str">
            <v>យ៉ូន</v>
          </cell>
          <cell r="E556" t="str">
            <v>ស្រីទូច</v>
          </cell>
          <cell r="F556" t="str">
            <v>យ៉ូនស្រីទូច</v>
          </cell>
          <cell r="G556" t="str">
            <v>YOUN</v>
          </cell>
          <cell r="H556" t="str">
            <v>SREYTOUCH</v>
          </cell>
          <cell r="I556" t="str">
            <v>YOUNSREYTOUCH</v>
          </cell>
          <cell r="J556" t="str">
            <v>ស្រី</v>
          </cell>
          <cell r="K556">
            <v>34307</v>
          </cell>
          <cell r="L556">
            <v>43762</v>
          </cell>
        </row>
        <row r="557">
          <cell r="C557">
            <v>3758</v>
          </cell>
          <cell r="D557" t="str">
            <v>សាំ</v>
          </cell>
          <cell r="E557" t="str">
            <v>ចិន្តា</v>
          </cell>
          <cell r="F557" t="str">
            <v>សាំចិន្តា</v>
          </cell>
          <cell r="G557" t="str">
            <v>SAM</v>
          </cell>
          <cell r="H557" t="str">
            <v>CHENDA</v>
          </cell>
          <cell r="I557" t="str">
            <v>SAMCHENDA</v>
          </cell>
          <cell r="J557" t="str">
            <v>ស្រី</v>
          </cell>
          <cell r="K557">
            <v>31448</v>
          </cell>
          <cell r="L557">
            <v>43762</v>
          </cell>
        </row>
        <row r="558">
          <cell r="C558">
            <v>3696</v>
          </cell>
          <cell r="D558" t="str">
            <v>សូត្រ</v>
          </cell>
          <cell r="E558" t="str">
            <v>សារឿន</v>
          </cell>
          <cell r="F558" t="str">
            <v>សូត្រសារឿន</v>
          </cell>
          <cell r="G558" t="str">
            <v>SOUTH</v>
          </cell>
          <cell r="H558" t="str">
            <v>SAROEURN</v>
          </cell>
          <cell r="I558" t="str">
            <v>SOUTHSAROEURN</v>
          </cell>
          <cell r="J558" t="str">
            <v>ស្រី</v>
          </cell>
          <cell r="K558">
            <v>28171</v>
          </cell>
          <cell r="L558">
            <v>43762</v>
          </cell>
        </row>
        <row r="559">
          <cell r="C559">
            <v>3699</v>
          </cell>
          <cell r="D559" t="str">
            <v>ខៀវ</v>
          </cell>
          <cell r="E559" t="str">
            <v>ហឿន</v>
          </cell>
          <cell r="F559" t="str">
            <v>ខៀវហឿន</v>
          </cell>
          <cell r="G559" t="str">
            <v>KHIEV</v>
          </cell>
          <cell r="H559" t="str">
            <v>HOEUN</v>
          </cell>
          <cell r="I559" t="str">
            <v>KHIEVHOEUN</v>
          </cell>
          <cell r="J559" t="str">
            <v>ស្រី</v>
          </cell>
          <cell r="K559">
            <v>33513</v>
          </cell>
          <cell r="L559">
            <v>43762</v>
          </cell>
        </row>
        <row r="560">
          <cell r="C560">
            <v>3687</v>
          </cell>
          <cell r="D560" t="str">
            <v>សុក</v>
          </cell>
          <cell r="E560" t="str">
            <v>ឃី</v>
          </cell>
          <cell r="F560" t="str">
            <v>សុកឃី</v>
          </cell>
          <cell r="G560" t="str">
            <v>SOK</v>
          </cell>
          <cell r="H560" t="str">
            <v>KHY</v>
          </cell>
          <cell r="I560" t="str">
            <v>SOKKHY</v>
          </cell>
          <cell r="J560" t="str">
            <v>ស្រី</v>
          </cell>
          <cell r="K560">
            <v>35604</v>
          </cell>
          <cell r="L560">
            <v>43762</v>
          </cell>
        </row>
        <row r="561">
          <cell r="C561">
            <v>3742</v>
          </cell>
          <cell r="D561" t="str">
            <v>ស៊ឹម</v>
          </cell>
          <cell r="E561" t="str">
            <v>ណា</v>
          </cell>
          <cell r="F561" t="str">
            <v>ស៊ឹមណា</v>
          </cell>
          <cell r="G561" t="str">
            <v>SOME</v>
          </cell>
          <cell r="H561" t="str">
            <v>NA</v>
          </cell>
          <cell r="I561" t="str">
            <v>SOMENA</v>
          </cell>
          <cell r="J561" t="str">
            <v>ស្រី</v>
          </cell>
          <cell r="K561">
            <v>30387</v>
          </cell>
          <cell r="L561">
            <v>43762</v>
          </cell>
        </row>
        <row r="562">
          <cell r="C562">
            <v>3743</v>
          </cell>
          <cell r="D562" t="str">
            <v>ឯក</v>
          </cell>
          <cell r="E562" t="str">
            <v>ស្រីណា</v>
          </cell>
          <cell r="F562" t="str">
            <v>ឯកស្រីណា</v>
          </cell>
          <cell r="G562" t="str">
            <v>EK</v>
          </cell>
          <cell r="H562" t="str">
            <v>SREYNA</v>
          </cell>
          <cell r="I562" t="str">
            <v>EKSREYNA</v>
          </cell>
          <cell r="J562" t="str">
            <v>ស្រី</v>
          </cell>
          <cell r="K562">
            <v>34888</v>
          </cell>
          <cell r="L562">
            <v>43762</v>
          </cell>
        </row>
        <row r="563">
          <cell r="C563">
            <v>3693</v>
          </cell>
          <cell r="D563" t="str">
            <v>អុន</v>
          </cell>
          <cell r="E563" t="str">
            <v>ហេង</v>
          </cell>
          <cell r="F563" t="str">
            <v>អុនហេង</v>
          </cell>
          <cell r="G563" t="str">
            <v>ON</v>
          </cell>
          <cell r="H563" t="str">
            <v>HENG</v>
          </cell>
          <cell r="I563" t="str">
            <v>ONHENG</v>
          </cell>
          <cell r="J563" t="str">
            <v>ស្រី</v>
          </cell>
          <cell r="K563">
            <v>36347</v>
          </cell>
          <cell r="L563">
            <v>43762</v>
          </cell>
        </row>
        <row r="564">
          <cell r="C564">
            <v>3737</v>
          </cell>
          <cell r="D564" t="str">
            <v>ផាត</v>
          </cell>
          <cell r="E564" t="str">
            <v>ចន្តារា</v>
          </cell>
          <cell r="F564" t="str">
            <v>ផាតចន្តារា</v>
          </cell>
          <cell r="G564" t="str">
            <v>PHAT</v>
          </cell>
          <cell r="H564" t="str">
            <v>CHANDARA</v>
          </cell>
          <cell r="I564" t="str">
            <v>PHATCHANDARA</v>
          </cell>
          <cell r="J564" t="str">
            <v>ប្រុស</v>
          </cell>
          <cell r="K564">
            <v>36229</v>
          </cell>
          <cell r="L564">
            <v>43758</v>
          </cell>
        </row>
        <row r="565">
          <cell r="C565">
            <v>3629</v>
          </cell>
          <cell r="D565" t="str">
            <v>មាំ</v>
          </cell>
          <cell r="E565" t="str">
            <v>សារិត</v>
          </cell>
          <cell r="F565" t="str">
            <v>មាំសារិត</v>
          </cell>
          <cell r="G565" t="str">
            <v>MOAM</v>
          </cell>
          <cell r="H565" t="str">
            <v>SARET</v>
          </cell>
          <cell r="I565" t="str">
            <v>MOAMSARET</v>
          </cell>
          <cell r="J565" t="str">
            <v>ប្រុស</v>
          </cell>
          <cell r="K565">
            <v>33625</v>
          </cell>
          <cell r="L565">
            <v>43753</v>
          </cell>
        </row>
        <row r="566">
          <cell r="C566">
            <v>3725</v>
          </cell>
          <cell r="D566" t="str">
            <v>សល់</v>
          </cell>
          <cell r="E566" t="str">
            <v>សុខហេង</v>
          </cell>
          <cell r="F566" t="str">
            <v>សល់សុខហេង</v>
          </cell>
          <cell r="G566" t="str">
            <v>SAL</v>
          </cell>
          <cell r="H566" t="str">
            <v>SOK HENG</v>
          </cell>
          <cell r="I566" t="str">
            <v>SALSOK HENG</v>
          </cell>
          <cell r="J566" t="str">
            <v>ប្រុស</v>
          </cell>
          <cell r="K566">
            <v>36939</v>
          </cell>
          <cell r="L566">
            <v>43762</v>
          </cell>
        </row>
        <row r="567">
          <cell r="C567">
            <v>3736</v>
          </cell>
          <cell r="D567" t="str">
            <v>ញ៉ែម</v>
          </cell>
          <cell r="E567" t="str">
            <v>សុផល</v>
          </cell>
          <cell r="F567" t="str">
            <v>ញ៉ែមសុផល</v>
          </cell>
          <cell r="G567" t="str">
            <v>NHEM</v>
          </cell>
          <cell r="H567" t="str">
            <v>SOPHAL</v>
          </cell>
          <cell r="I567" t="str">
            <v>NHEMSOPHAL</v>
          </cell>
          <cell r="J567" t="str">
            <v>ប្រុស</v>
          </cell>
          <cell r="K567">
            <v>33429</v>
          </cell>
          <cell r="L567">
            <v>43762</v>
          </cell>
        </row>
        <row r="568">
          <cell r="C568">
            <v>3730</v>
          </cell>
          <cell r="D568" t="str">
            <v>ឈឿន</v>
          </cell>
          <cell r="E568" t="str">
            <v>ឆេង</v>
          </cell>
          <cell r="F568" t="str">
            <v>ឈឿនឆេង</v>
          </cell>
          <cell r="G568" t="str">
            <v>CHHOEURN</v>
          </cell>
          <cell r="H568" t="str">
            <v>CHHENG</v>
          </cell>
          <cell r="I568" t="str">
            <v>CHHOEURNCHHENG</v>
          </cell>
          <cell r="J568" t="str">
            <v>ប្រុស</v>
          </cell>
          <cell r="K568">
            <v>33405</v>
          </cell>
          <cell r="L568">
            <v>43762</v>
          </cell>
        </row>
        <row r="569">
          <cell r="C569">
            <v>3716</v>
          </cell>
          <cell r="D569" t="str">
            <v>សំ</v>
          </cell>
          <cell r="E569" t="str">
            <v>ភិត</v>
          </cell>
          <cell r="F569" t="str">
            <v>សំភិត</v>
          </cell>
          <cell r="G569" t="str">
            <v>SAM</v>
          </cell>
          <cell r="H569" t="str">
            <v>PHIT</v>
          </cell>
          <cell r="I569" t="str">
            <v>SAMPHIT</v>
          </cell>
          <cell r="J569" t="str">
            <v>ប្រុស</v>
          </cell>
          <cell r="K569">
            <v>28160</v>
          </cell>
          <cell r="L569">
            <v>43762</v>
          </cell>
        </row>
        <row r="570">
          <cell r="C570">
            <v>3766</v>
          </cell>
          <cell r="D570" t="str">
            <v>ឡុក</v>
          </cell>
          <cell r="E570" t="str">
            <v>ដូ</v>
          </cell>
          <cell r="F570" t="str">
            <v>ឡុកដូ</v>
          </cell>
          <cell r="G570" t="str">
            <v>LOK</v>
          </cell>
          <cell r="H570" t="str">
            <v>DO</v>
          </cell>
          <cell r="I570" t="str">
            <v>LOKDO</v>
          </cell>
          <cell r="J570" t="str">
            <v>ប្រុស</v>
          </cell>
          <cell r="K570">
            <v>36546</v>
          </cell>
          <cell r="L570">
            <v>43763</v>
          </cell>
        </row>
        <row r="571">
          <cell r="C571">
            <v>3768</v>
          </cell>
          <cell r="D571" t="str">
            <v>រៀម</v>
          </cell>
          <cell r="E571" t="str">
            <v>រ៉េន</v>
          </cell>
          <cell r="F571" t="str">
            <v>រៀមរ៉េន</v>
          </cell>
          <cell r="G571" t="str">
            <v>RIEM</v>
          </cell>
          <cell r="H571" t="str">
            <v>REN</v>
          </cell>
          <cell r="I571" t="str">
            <v>RIEMREN</v>
          </cell>
          <cell r="J571" t="str">
            <v>ស្រី</v>
          </cell>
          <cell r="K571">
            <v>36916</v>
          </cell>
          <cell r="L571">
            <v>43763</v>
          </cell>
        </row>
        <row r="572">
          <cell r="C572">
            <v>3676</v>
          </cell>
          <cell r="D572" t="str">
            <v>ណី</v>
          </cell>
          <cell r="E572" t="str">
            <v>សាវរី</v>
          </cell>
          <cell r="F572" t="str">
            <v>ណីសាវរី</v>
          </cell>
          <cell r="G572" t="str">
            <v>NEY</v>
          </cell>
          <cell r="H572" t="str">
            <v>SAVRY</v>
          </cell>
          <cell r="I572" t="str">
            <v>NEYSAVRY</v>
          </cell>
          <cell r="J572" t="str">
            <v>ស្រី</v>
          </cell>
          <cell r="K572">
            <v>36253</v>
          </cell>
          <cell r="L572">
            <v>43757</v>
          </cell>
        </row>
        <row r="573">
          <cell r="C573">
            <v>3769</v>
          </cell>
          <cell r="D573" t="str">
            <v xml:space="preserve">ភូ </v>
          </cell>
          <cell r="E573" t="str">
            <v>ឈុនហួ</v>
          </cell>
          <cell r="F573" t="str">
            <v>ភូ ឈុនហួ</v>
          </cell>
          <cell r="G573" t="str">
            <v>PHOU</v>
          </cell>
          <cell r="H573" t="str">
            <v>CHHUNHUO</v>
          </cell>
          <cell r="I573" t="str">
            <v>PHOUCHHUNHUO</v>
          </cell>
          <cell r="J573" t="str">
            <v>ស្រី</v>
          </cell>
          <cell r="K573">
            <v>30170</v>
          </cell>
          <cell r="L573">
            <v>43764</v>
          </cell>
        </row>
        <row r="574">
          <cell r="C574">
            <v>3249</v>
          </cell>
          <cell r="D574" t="str">
            <v>ណៃ</v>
          </cell>
          <cell r="E574" t="str">
            <v>រតនា</v>
          </cell>
          <cell r="F574" t="str">
            <v>ណៃរតនា</v>
          </cell>
          <cell r="G574" t="str">
            <v>NAI</v>
          </cell>
          <cell r="H574" t="str">
            <v>RATANA</v>
          </cell>
          <cell r="I574" t="str">
            <v>NAIRATANA</v>
          </cell>
          <cell r="J574" t="str">
            <v>ប្រុស</v>
          </cell>
          <cell r="K574">
            <v>33331</v>
          </cell>
          <cell r="L574">
            <v>43745</v>
          </cell>
        </row>
        <row r="575">
          <cell r="C575">
            <v>3612</v>
          </cell>
          <cell r="D575" t="str">
            <v>ពីង</v>
          </cell>
          <cell r="E575" t="str">
            <v>ណារី</v>
          </cell>
          <cell r="F575" t="str">
            <v>ពីងណារី</v>
          </cell>
          <cell r="G575" t="str">
            <v>PING</v>
          </cell>
          <cell r="H575" t="str">
            <v>NARY</v>
          </cell>
          <cell r="I575" t="str">
            <v>PINGNARY</v>
          </cell>
          <cell r="J575" t="str">
            <v>ស្រី</v>
          </cell>
          <cell r="K575">
            <v>31833</v>
          </cell>
          <cell r="L575">
            <v>43749</v>
          </cell>
        </row>
        <row r="576">
          <cell r="C576">
            <v>3263</v>
          </cell>
          <cell r="D576" t="str">
            <v>ឃូ</v>
          </cell>
          <cell r="E576" t="str">
            <v>ចន្ទ័តុលា</v>
          </cell>
          <cell r="F576" t="str">
            <v>ឃូចន្ទ័តុលា</v>
          </cell>
          <cell r="G576" t="str">
            <v>KHOU</v>
          </cell>
          <cell r="H576" t="str">
            <v>CHANTOLA</v>
          </cell>
          <cell r="I576" t="str">
            <v>KHOUCHANTOLA</v>
          </cell>
          <cell r="J576" t="str">
            <v>ស្រី</v>
          </cell>
          <cell r="K576">
            <v>32800</v>
          </cell>
          <cell r="L576">
            <v>43746</v>
          </cell>
        </row>
        <row r="577">
          <cell r="C577">
            <v>3403</v>
          </cell>
          <cell r="D577" t="str">
            <v>សឺម</v>
          </cell>
          <cell r="E577" t="str">
            <v>សិរិ</v>
          </cell>
          <cell r="F577" t="str">
            <v>សឺមសិរិ</v>
          </cell>
          <cell r="G577" t="str">
            <v>Some</v>
          </cell>
          <cell r="H577" t="str">
            <v>Sirey</v>
          </cell>
          <cell r="I577" t="str">
            <v>SomeSirey</v>
          </cell>
          <cell r="J577" t="str">
            <v>ប្រុស</v>
          </cell>
          <cell r="K577">
            <v>30601</v>
          </cell>
          <cell r="L577">
            <v>43760</v>
          </cell>
        </row>
        <row r="578">
          <cell r="C578">
            <v>3791</v>
          </cell>
          <cell r="D578" t="str">
            <v>សឿន</v>
          </cell>
          <cell r="E578" t="str">
            <v>ចន្ធូ</v>
          </cell>
          <cell r="F578" t="str">
            <v>សឿនចន្ធូ</v>
          </cell>
          <cell r="G578" t="str">
            <v>SOEUN</v>
          </cell>
          <cell r="H578" t="str">
            <v>CHANTHOU</v>
          </cell>
          <cell r="I578" t="str">
            <v>SOEUNCHANTHOU</v>
          </cell>
          <cell r="J578" t="str">
            <v>ស្រី</v>
          </cell>
          <cell r="K578">
            <v>33679</v>
          </cell>
          <cell r="L578">
            <v>43770</v>
          </cell>
        </row>
        <row r="579">
          <cell r="C579">
            <v>3792</v>
          </cell>
          <cell r="D579" t="str">
            <v>ដួង</v>
          </cell>
          <cell r="E579" t="str">
            <v>ពុំ</v>
          </cell>
          <cell r="F579" t="str">
            <v>ដួងពុំ</v>
          </cell>
          <cell r="G579" t="str">
            <v>DUONG</v>
          </cell>
          <cell r="H579" t="str">
            <v>POM</v>
          </cell>
          <cell r="I579" t="str">
            <v>DUONGPOM</v>
          </cell>
          <cell r="J579" t="str">
            <v>ស្រី</v>
          </cell>
          <cell r="K579">
            <v>33970</v>
          </cell>
          <cell r="L579">
            <v>43770</v>
          </cell>
        </row>
        <row r="580">
          <cell r="C580">
            <v>3781</v>
          </cell>
          <cell r="D580" t="str">
            <v>កែវ</v>
          </cell>
          <cell r="E580" t="str">
            <v>ចរិយា</v>
          </cell>
          <cell r="F580" t="str">
            <v>កែវចរិយា</v>
          </cell>
          <cell r="G580" t="str">
            <v>KEO</v>
          </cell>
          <cell r="H580" t="str">
            <v>CHAKRIYA</v>
          </cell>
          <cell r="I580" t="str">
            <v>KEOCHAKRIYA</v>
          </cell>
          <cell r="J580" t="str">
            <v>ស្រី</v>
          </cell>
          <cell r="K580">
            <v>32204</v>
          </cell>
          <cell r="L580">
            <v>43770</v>
          </cell>
        </row>
        <row r="581">
          <cell r="C581">
            <v>3786</v>
          </cell>
          <cell r="D581" t="str">
            <v>ជា</v>
          </cell>
          <cell r="E581" t="str">
            <v>សុគន្ធា</v>
          </cell>
          <cell r="F581" t="str">
            <v>ជាសុគន្ធា</v>
          </cell>
          <cell r="G581" t="str">
            <v>CHEA</v>
          </cell>
          <cell r="H581" t="str">
            <v>SOKUNTHEA</v>
          </cell>
          <cell r="I581" t="str">
            <v>CHEASOKUNTHEA</v>
          </cell>
          <cell r="J581" t="str">
            <v>ស្រី</v>
          </cell>
          <cell r="K581">
            <v>33635</v>
          </cell>
          <cell r="L581">
            <v>43770</v>
          </cell>
        </row>
        <row r="582">
          <cell r="C582">
            <v>3788</v>
          </cell>
          <cell r="D582" t="str">
            <v>យឹម</v>
          </cell>
          <cell r="E582" t="str">
            <v>ពិសី</v>
          </cell>
          <cell r="F582" t="str">
            <v>យឹមពិសី</v>
          </cell>
          <cell r="G582" t="str">
            <v>YOEM</v>
          </cell>
          <cell r="H582" t="str">
            <v>PISEY</v>
          </cell>
          <cell r="I582" t="str">
            <v>YOEMPISEY</v>
          </cell>
          <cell r="J582" t="str">
            <v>ស្រី</v>
          </cell>
          <cell r="K582">
            <v>34455</v>
          </cell>
          <cell r="L582">
            <v>43770</v>
          </cell>
        </row>
        <row r="583">
          <cell r="C583">
            <v>3779</v>
          </cell>
          <cell r="D583" t="str">
            <v xml:space="preserve">ផល្លី </v>
          </cell>
          <cell r="E583" t="str">
            <v>ដា</v>
          </cell>
          <cell r="F583" t="str">
            <v>ផល្លី ដា</v>
          </cell>
          <cell r="G583" t="str">
            <v>PHALLY</v>
          </cell>
          <cell r="H583" t="str">
            <v>DA</v>
          </cell>
          <cell r="I583" t="str">
            <v>PHALLYDA</v>
          </cell>
          <cell r="J583" t="str">
            <v>ស្រី</v>
          </cell>
          <cell r="K583">
            <v>29108</v>
          </cell>
          <cell r="L583">
            <v>43770</v>
          </cell>
        </row>
        <row r="584">
          <cell r="C584">
            <v>3815</v>
          </cell>
          <cell r="D584" t="str">
            <v>សឿន</v>
          </cell>
          <cell r="E584" t="str">
            <v>កញ្ញា</v>
          </cell>
          <cell r="F584" t="str">
            <v>សឿនកញ្ញា</v>
          </cell>
          <cell r="G584" t="str">
            <v>SOEUN</v>
          </cell>
          <cell r="H584" t="str">
            <v>KANHA</v>
          </cell>
          <cell r="I584" t="str">
            <v>SOEUNKANHA</v>
          </cell>
          <cell r="J584" t="str">
            <v>ស្រី</v>
          </cell>
          <cell r="K584">
            <v>34839</v>
          </cell>
          <cell r="L584">
            <v>43784</v>
          </cell>
        </row>
        <row r="585">
          <cell r="C585">
            <v>3811</v>
          </cell>
          <cell r="D585" t="str">
            <v>មឿន</v>
          </cell>
          <cell r="E585" t="str">
            <v>ចន្ថា</v>
          </cell>
          <cell r="F585" t="str">
            <v>មឿនចន្ថា</v>
          </cell>
          <cell r="G585" t="str">
            <v>MOEURN</v>
          </cell>
          <cell r="H585" t="str">
            <v>CHANTHA</v>
          </cell>
          <cell r="I585" t="str">
            <v>MOEURNCHANTHA</v>
          </cell>
          <cell r="J585" t="str">
            <v>ស្រី</v>
          </cell>
          <cell r="K585">
            <v>32152</v>
          </cell>
          <cell r="L585">
            <v>43784</v>
          </cell>
        </row>
        <row r="586">
          <cell r="C586">
            <v>3817</v>
          </cell>
          <cell r="D586" t="str">
            <v>សេង</v>
          </cell>
          <cell r="E586" t="str">
            <v>ចរិយា</v>
          </cell>
          <cell r="F586" t="str">
            <v>សេងចរិយា</v>
          </cell>
          <cell r="G586" t="str">
            <v>SENG</v>
          </cell>
          <cell r="H586" t="str">
            <v>CHAREYA</v>
          </cell>
          <cell r="I586" t="str">
            <v>SENGCHAREYA</v>
          </cell>
          <cell r="J586" t="str">
            <v>ស្រី</v>
          </cell>
          <cell r="K586">
            <v>33299</v>
          </cell>
          <cell r="L586">
            <v>43784</v>
          </cell>
        </row>
        <row r="587">
          <cell r="C587">
            <v>3821</v>
          </cell>
          <cell r="D587" t="str">
            <v>មាឃ</v>
          </cell>
          <cell r="E587" t="str">
            <v>នឿន</v>
          </cell>
          <cell r="F587" t="str">
            <v>មាឃនឿន</v>
          </cell>
          <cell r="G587" t="str">
            <v>MEAKH</v>
          </cell>
          <cell r="H587" t="str">
            <v>NOEUN</v>
          </cell>
          <cell r="I587" t="str">
            <v>MEAKHNOEUN</v>
          </cell>
          <cell r="J587" t="str">
            <v>ស្រី</v>
          </cell>
          <cell r="K587">
            <v>32156</v>
          </cell>
          <cell r="L587">
            <v>43785</v>
          </cell>
        </row>
        <row r="588">
          <cell r="C588">
            <v>3818</v>
          </cell>
          <cell r="D588" t="str">
            <v>សុខ</v>
          </cell>
          <cell r="E588" t="str">
            <v>ដា</v>
          </cell>
          <cell r="F588" t="str">
            <v>សុខដា</v>
          </cell>
          <cell r="G588" t="str">
            <v>SOK</v>
          </cell>
          <cell r="H588" t="str">
            <v>DA</v>
          </cell>
          <cell r="I588" t="str">
            <v>SOKDA</v>
          </cell>
          <cell r="J588" t="str">
            <v>ស្រី</v>
          </cell>
          <cell r="K588">
            <v>32177</v>
          </cell>
          <cell r="L588">
            <v>43783</v>
          </cell>
        </row>
        <row r="589">
          <cell r="C589">
            <v>3810</v>
          </cell>
          <cell r="D589" t="str">
            <v>ភួង</v>
          </cell>
          <cell r="E589" t="str">
            <v>វិសាល</v>
          </cell>
          <cell r="F589" t="str">
            <v>ភួងវិសាល</v>
          </cell>
          <cell r="G589" t="str">
            <v>PHUONG</v>
          </cell>
          <cell r="H589" t="str">
            <v>VISAL</v>
          </cell>
          <cell r="I589" t="str">
            <v>PHUONGVISAL</v>
          </cell>
          <cell r="J589" t="str">
            <v>ប្រុស</v>
          </cell>
          <cell r="K589">
            <v>33604</v>
          </cell>
          <cell r="L589">
            <v>43784</v>
          </cell>
        </row>
        <row r="590">
          <cell r="C590">
            <v>3794</v>
          </cell>
          <cell r="D590" t="str">
            <v>ជន</v>
          </cell>
          <cell r="E590" t="str">
            <v>នេ</v>
          </cell>
          <cell r="F590" t="str">
            <v>ជននេ</v>
          </cell>
          <cell r="G590" t="str">
            <v>CHORN</v>
          </cell>
          <cell r="H590" t="str">
            <v>NE</v>
          </cell>
          <cell r="I590" t="str">
            <v>CHORNNE</v>
          </cell>
          <cell r="J590" t="str">
            <v>ស្រី</v>
          </cell>
          <cell r="K590">
            <v>34889</v>
          </cell>
          <cell r="L590">
            <v>43771</v>
          </cell>
        </row>
        <row r="591">
          <cell r="C591">
            <v>3803</v>
          </cell>
          <cell r="D591" t="str">
            <v>អុន</v>
          </cell>
          <cell r="E591" t="str">
            <v>ដេវីត</v>
          </cell>
          <cell r="F591" t="str">
            <v>អុនដេវីត</v>
          </cell>
          <cell r="G591" t="str">
            <v>UN</v>
          </cell>
          <cell r="H591" t="str">
            <v>DAVID</v>
          </cell>
          <cell r="I591" t="str">
            <v>UNDAVID</v>
          </cell>
          <cell r="J591" t="str">
            <v>ស្រី</v>
          </cell>
          <cell r="K591">
            <v>34435</v>
          </cell>
          <cell r="L591">
            <v>43773</v>
          </cell>
        </row>
        <row r="592">
          <cell r="C592">
            <v>3784</v>
          </cell>
          <cell r="D592" t="str">
            <v>ភ័ណ</v>
          </cell>
          <cell r="E592" t="str">
            <v>កញ្ញា</v>
          </cell>
          <cell r="F592" t="str">
            <v>ភ័ណកញ្ញា</v>
          </cell>
          <cell r="G592" t="str">
            <v>PHANN</v>
          </cell>
          <cell r="H592" t="str">
            <v>KANHA</v>
          </cell>
          <cell r="I592" t="str">
            <v>PHANNKANHA</v>
          </cell>
          <cell r="J592" t="str">
            <v>ស្រី</v>
          </cell>
          <cell r="K592">
            <v>34610</v>
          </cell>
          <cell r="L592">
            <v>43770</v>
          </cell>
        </row>
        <row r="593">
          <cell r="C593">
            <v>3812</v>
          </cell>
          <cell r="D593" t="str">
            <v>ទុំ</v>
          </cell>
          <cell r="E593" t="str">
            <v>ចន្ធូ</v>
          </cell>
          <cell r="F593" t="str">
            <v>ទុំចន្ធូ</v>
          </cell>
          <cell r="G593" t="str">
            <v>TUM</v>
          </cell>
          <cell r="H593" t="str">
            <v>CHANTHOU</v>
          </cell>
          <cell r="I593" t="str">
            <v>TUMCHANTHOU</v>
          </cell>
          <cell r="J593" t="str">
            <v>ស្រី</v>
          </cell>
          <cell r="K593">
            <v>31618</v>
          </cell>
          <cell r="L593">
            <v>43783</v>
          </cell>
        </row>
        <row r="594">
          <cell r="C594">
            <v>3775</v>
          </cell>
          <cell r="D594" t="str">
            <v>កន</v>
          </cell>
          <cell r="E594" t="str">
            <v>កញ្ញា</v>
          </cell>
          <cell r="F594" t="str">
            <v>កនកញ្ញា</v>
          </cell>
          <cell r="G594" t="str">
            <v>KAN</v>
          </cell>
          <cell r="H594" t="str">
            <v>KANHA</v>
          </cell>
          <cell r="I594" t="str">
            <v>KANKANHA</v>
          </cell>
          <cell r="J594" t="str">
            <v>ស្រី</v>
          </cell>
          <cell r="K594">
            <v>36015</v>
          </cell>
          <cell r="L594">
            <v>43768</v>
          </cell>
        </row>
        <row r="595">
          <cell r="C595">
            <v>3804</v>
          </cell>
          <cell r="D595" t="str">
            <v>ទន</v>
          </cell>
          <cell r="E595" t="str">
            <v>ស្រីមុំ</v>
          </cell>
          <cell r="F595" t="str">
            <v>ទនស្រីមុំ</v>
          </cell>
          <cell r="G595" t="str">
            <v>TORN</v>
          </cell>
          <cell r="H595" t="str">
            <v>SREY MOM</v>
          </cell>
          <cell r="I595" t="str">
            <v>TORNSREY MOM</v>
          </cell>
          <cell r="J595" t="str">
            <v>ស្រី</v>
          </cell>
          <cell r="K595">
            <v>29434</v>
          </cell>
          <cell r="L595">
            <v>43773</v>
          </cell>
        </row>
        <row r="596">
          <cell r="C596">
            <v>3808</v>
          </cell>
          <cell r="D596" t="str">
            <v>ណន</v>
          </cell>
          <cell r="E596" t="str">
            <v>ចន្ថា</v>
          </cell>
          <cell r="F596" t="str">
            <v>ណនចន្ថា</v>
          </cell>
          <cell r="G596" t="str">
            <v>NORN</v>
          </cell>
          <cell r="H596" t="str">
            <v>CHANTHA</v>
          </cell>
          <cell r="I596" t="str">
            <v>NORNCHANTHA</v>
          </cell>
          <cell r="J596" t="str">
            <v>ស្រី</v>
          </cell>
          <cell r="K596">
            <v>36665</v>
          </cell>
          <cell r="L596">
            <v>43784</v>
          </cell>
        </row>
        <row r="597">
          <cell r="C597">
            <v>3819</v>
          </cell>
          <cell r="D597" t="str">
            <v>សឿន</v>
          </cell>
          <cell r="E597" t="str">
            <v>ស្រីនិច</v>
          </cell>
          <cell r="F597" t="str">
            <v>សឿនស្រីនិច</v>
          </cell>
          <cell r="G597" t="str">
            <v>SOEURN</v>
          </cell>
          <cell r="H597" t="str">
            <v>SREYNICH</v>
          </cell>
          <cell r="I597" t="str">
            <v>SOEURNSREYNICH</v>
          </cell>
          <cell r="J597" t="str">
            <v>ស្រី</v>
          </cell>
          <cell r="K597">
            <v>36779</v>
          </cell>
          <cell r="L597">
            <v>43784</v>
          </cell>
        </row>
        <row r="598">
          <cell r="C598">
            <v>3809</v>
          </cell>
          <cell r="D598" t="str">
            <v>កប</v>
          </cell>
          <cell r="E598" t="str">
            <v>រីដា</v>
          </cell>
          <cell r="F598" t="str">
            <v>កបរីដា</v>
          </cell>
          <cell r="G598" t="str">
            <v>KAP</v>
          </cell>
          <cell r="H598" t="str">
            <v>RIDA</v>
          </cell>
          <cell r="I598" t="str">
            <v>KAPRIDA</v>
          </cell>
          <cell r="J598" t="str">
            <v>ស្រី</v>
          </cell>
          <cell r="K598">
            <v>33665</v>
          </cell>
          <cell r="L598">
            <v>43784</v>
          </cell>
        </row>
        <row r="599">
          <cell r="C599">
            <v>3838</v>
          </cell>
          <cell r="D599" t="str">
            <v>សួន</v>
          </cell>
          <cell r="E599" t="str">
            <v>ម៉ានី</v>
          </cell>
          <cell r="F599" t="str">
            <v>សួនម៉ានី</v>
          </cell>
          <cell r="G599" t="str">
            <v>SUON</v>
          </cell>
          <cell r="H599" t="str">
            <v>MANY</v>
          </cell>
          <cell r="I599" t="str">
            <v>SUONMANY</v>
          </cell>
          <cell r="J599" t="str">
            <v>ស្រី</v>
          </cell>
          <cell r="K599">
            <v>29771</v>
          </cell>
          <cell r="L599">
            <v>43787</v>
          </cell>
        </row>
        <row r="600">
          <cell r="C600">
            <v>3825</v>
          </cell>
          <cell r="D600" t="str">
            <v>អឿន</v>
          </cell>
          <cell r="E600" t="str">
            <v>បុផ្ផា</v>
          </cell>
          <cell r="F600" t="str">
            <v>អឿនបុផ្ផា</v>
          </cell>
          <cell r="G600" t="str">
            <v>OEUN</v>
          </cell>
          <cell r="H600" t="str">
            <v>BOPHA</v>
          </cell>
          <cell r="I600" t="str">
            <v>OEUNBOPHA</v>
          </cell>
          <cell r="J600" t="str">
            <v>ស្រី</v>
          </cell>
          <cell r="K600">
            <v>36358</v>
          </cell>
          <cell r="L600">
            <v>43787</v>
          </cell>
        </row>
        <row r="601">
          <cell r="C601">
            <v>3835</v>
          </cell>
          <cell r="D601" t="str">
            <v>អ៊ុក</v>
          </cell>
          <cell r="E601" t="str">
            <v>ចាន់វ៉ាន់ដា</v>
          </cell>
          <cell r="F601" t="str">
            <v>អ៊ុកចាន់វ៉ាន់ដា</v>
          </cell>
          <cell r="G601" t="str">
            <v>OUK</v>
          </cell>
          <cell r="H601" t="str">
            <v>CHANVANDA</v>
          </cell>
          <cell r="I601" t="str">
            <v>OUKCHANVANDA</v>
          </cell>
          <cell r="J601" t="str">
            <v>ស្រី</v>
          </cell>
          <cell r="K601">
            <v>35065</v>
          </cell>
          <cell r="L601">
            <v>43787</v>
          </cell>
        </row>
        <row r="602">
          <cell r="C602">
            <v>3828</v>
          </cell>
          <cell r="D602" t="str">
            <v>ជួន</v>
          </cell>
          <cell r="E602" t="str">
            <v>គា</v>
          </cell>
          <cell r="F602" t="str">
            <v>ជួនគា</v>
          </cell>
          <cell r="G602" t="str">
            <v>CHUON</v>
          </cell>
          <cell r="H602" t="str">
            <v>KEA</v>
          </cell>
          <cell r="I602" t="str">
            <v>CHUONKEA</v>
          </cell>
          <cell r="J602" t="str">
            <v>ស្រី</v>
          </cell>
          <cell r="K602">
            <v>30841</v>
          </cell>
          <cell r="L602">
            <v>43787</v>
          </cell>
        </row>
        <row r="603">
          <cell r="C603">
            <v>3831</v>
          </cell>
          <cell r="D603" t="str">
            <v>រឿន</v>
          </cell>
          <cell r="E603" t="str">
            <v>សំអុល</v>
          </cell>
          <cell r="F603" t="str">
            <v>រឿនសំអុល</v>
          </cell>
          <cell r="G603" t="str">
            <v>ROEUN</v>
          </cell>
          <cell r="H603" t="str">
            <v>SAM OL</v>
          </cell>
          <cell r="I603" t="str">
            <v>ROEUNSAM OL</v>
          </cell>
          <cell r="J603" t="str">
            <v>ស្រី</v>
          </cell>
          <cell r="K603">
            <v>33655</v>
          </cell>
          <cell r="L603">
            <v>43787</v>
          </cell>
        </row>
        <row r="604">
          <cell r="C604">
            <v>3842</v>
          </cell>
          <cell r="D604" t="str">
            <v>អ៊ូ</v>
          </cell>
          <cell r="E604" t="str">
            <v>អូន</v>
          </cell>
          <cell r="F604" t="str">
            <v>អ៊ូអូន</v>
          </cell>
          <cell r="G604" t="str">
            <v>OU</v>
          </cell>
          <cell r="H604" t="str">
            <v>OUN</v>
          </cell>
          <cell r="I604" t="str">
            <v>OUOUN</v>
          </cell>
          <cell r="J604" t="str">
            <v>ស្រី</v>
          </cell>
          <cell r="K604">
            <v>32237</v>
          </cell>
          <cell r="L604">
            <v>43788</v>
          </cell>
        </row>
        <row r="605">
          <cell r="C605">
            <v>3834</v>
          </cell>
          <cell r="D605" t="str">
            <v>ចិន</v>
          </cell>
          <cell r="E605" t="str">
            <v>សៃយ៉ា</v>
          </cell>
          <cell r="F605" t="str">
            <v>ចិនសៃយ៉ា</v>
          </cell>
          <cell r="G605" t="str">
            <v>CHIN</v>
          </cell>
          <cell r="H605" t="str">
            <v>SAIYA</v>
          </cell>
          <cell r="I605" t="str">
            <v>CHINSAIYA</v>
          </cell>
          <cell r="J605" t="str">
            <v>ស្រី</v>
          </cell>
          <cell r="K605">
            <v>35055</v>
          </cell>
          <cell r="L605">
            <v>43787</v>
          </cell>
        </row>
        <row r="606">
          <cell r="C606">
            <v>3830</v>
          </cell>
          <cell r="D606" t="str">
            <v>ប៉ោ</v>
          </cell>
          <cell r="E606" t="str">
            <v>សាវ៉ាត់</v>
          </cell>
          <cell r="F606" t="str">
            <v>ប៉ោសាវ៉ាត់</v>
          </cell>
          <cell r="G606" t="str">
            <v>POR</v>
          </cell>
          <cell r="H606" t="str">
            <v>SAVAT</v>
          </cell>
          <cell r="I606" t="str">
            <v>PORSAVAT</v>
          </cell>
          <cell r="J606" t="str">
            <v>ស្រី</v>
          </cell>
          <cell r="K606">
            <v>31447</v>
          </cell>
          <cell r="L606">
            <v>43787</v>
          </cell>
        </row>
        <row r="607">
          <cell r="C607">
            <v>3789</v>
          </cell>
          <cell r="D607" t="str">
            <v>ប៊ិន</v>
          </cell>
          <cell r="E607" t="str">
            <v>សុផែន</v>
          </cell>
          <cell r="F607" t="str">
            <v>ប៊ិនសុផែន</v>
          </cell>
          <cell r="G607" t="str">
            <v>BIN</v>
          </cell>
          <cell r="H607" t="str">
            <v>SOPHEN</v>
          </cell>
          <cell r="I607" t="str">
            <v>BINSOPHEN</v>
          </cell>
          <cell r="J607" t="str">
            <v>ស្រី</v>
          </cell>
          <cell r="K607">
            <v>34056</v>
          </cell>
          <cell r="L607">
            <v>43770</v>
          </cell>
        </row>
        <row r="608">
          <cell r="C608">
            <v>3833</v>
          </cell>
          <cell r="D608" t="str">
            <v>សុខ</v>
          </cell>
          <cell r="E608" t="str">
            <v>ស៊ឹង</v>
          </cell>
          <cell r="F608" t="str">
            <v>សុខស៊ឹង</v>
          </cell>
          <cell r="G608" t="str">
            <v>SOK</v>
          </cell>
          <cell r="H608" t="str">
            <v>SOEUNG</v>
          </cell>
          <cell r="I608" t="str">
            <v>SOKSOEUNG</v>
          </cell>
          <cell r="J608" t="str">
            <v>ស្រី</v>
          </cell>
          <cell r="K608">
            <v>31932</v>
          </cell>
          <cell r="L608">
            <v>43787</v>
          </cell>
        </row>
        <row r="609">
          <cell r="C609">
            <v>3840</v>
          </cell>
          <cell r="D609" t="str">
            <v>មឿន</v>
          </cell>
          <cell r="E609" t="str">
            <v>មាំងគុន</v>
          </cell>
          <cell r="F609" t="str">
            <v>មឿនមាំងគុន</v>
          </cell>
          <cell r="G609" t="str">
            <v>MOEURN</v>
          </cell>
          <cell r="H609" t="str">
            <v>MAINGKUN</v>
          </cell>
          <cell r="I609" t="str">
            <v>MOEURNMAINGKUN</v>
          </cell>
          <cell r="J609" t="str">
            <v>ប្រុស</v>
          </cell>
          <cell r="K609">
            <v>36254</v>
          </cell>
          <cell r="L609">
            <v>43787</v>
          </cell>
        </row>
        <row r="610">
          <cell r="C610">
            <v>3837</v>
          </cell>
          <cell r="D610" t="str">
            <v>ដៀប</v>
          </cell>
          <cell r="E610" t="str">
            <v>ចាន្នី</v>
          </cell>
          <cell r="F610" t="str">
            <v>ដៀបចាន្នី</v>
          </cell>
          <cell r="G610" t="str">
            <v>DEARB</v>
          </cell>
          <cell r="H610" t="str">
            <v>CHANY</v>
          </cell>
          <cell r="I610" t="str">
            <v>DEARBCHANY</v>
          </cell>
          <cell r="J610" t="str">
            <v>ស្រី</v>
          </cell>
          <cell r="K610">
            <v>31722</v>
          </cell>
          <cell r="L610">
            <v>43787</v>
          </cell>
        </row>
        <row r="611">
          <cell r="C611">
            <v>3841</v>
          </cell>
          <cell r="D611" t="str">
            <v>អូន</v>
          </cell>
          <cell r="E611" t="str">
            <v>ចន្នី</v>
          </cell>
          <cell r="F611" t="str">
            <v>អូនចន្នី</v>
          </cell>
          <cell r="G611" t="str">
            <v>AUN</v>
          </cell>
          <cell r="H611" t="str">
            <v>CHANNY</v>
          </cell>
          <cell r="I611" t="str">
            <v>AUNCHANNY</v>
          </cell>
          <cell r="J611" t="str">
            <v>ស្រី</v>
          </cell>
          <cell r="K611">
            <v>28995</v>
          </cell>
          <cell r="L611">
            <v>43787</v>
          </cell>
        </row>
        <row r="612">
          <cell r="C612">
            <v>3850</v>
          </cell>
          <cell r="D612" t="str">
            <v>ហួន</v>
          </cell>
          <cell r="E612" t="str">
            <v>ចំអង</v>
          </cell>
          <cell r="F612" t="str">
            <v>ហួនចំអង</v>
          </cell>
          <cell r="G612" t="str">
            <v>HOUN</v>
          </cell>
          <cell r="H612" t="str">
            <v>CHAM ONG</v>
          </cell>
          <cell r="I612" t="str">
            <v>HOUNCHAM ONG</v>
          </cell>
          <cell r="J612" t="str">
            <v>ស្រី</v>
          </cell>
          <cell r="K612">
            <v>33733</v>
          </cell>
          <cell r="L612">
            <v>43791</v>
          </cell>
        </row>
        <row r="613">
          <cell r="C613">
            <v>3851</v>
          </cell>
          <cell r="D613" t="str">
            <v>ចុន</v>
          </cell>
          <cell r="E613" t="str">
            <v>រដ្ឋា</v>
          </cell>
          <cell r="F613" t="str">
            <v>ចុនរដ្ឋា</v>
          </cell>
          <cell r="G613" t="str">
            <v>CHON</v>
          </cell>
          <cell r="H613" t="str">
            <v>RATHA</v>
          </cell>
          <cell r="I613" t="str">
            <v>CHONRATHA</v>
          </cell>
          <cell r="J613" t="str">
            <v>ស្រី</v>
          </cell>
          <cell r="K613">
            <v>34423</v>
          </cell>
          <cell r="L613">
            <v>43791</v>
          </cell>
        </row>
        <row r="614">
          <cell r="C614">
            <v>3849</v>
          </cell>
          <cell r="D614" t="str">
            <v>ចែម</v>
          </cell>
          <cell r="E614" t="str">
            <v>រដ្ឋា</v>
          </cell>
          <cell r="F614" t="str">
            <v>ចែមរដ្ឋា</v>
          </cell>
          <cell r="G614" t="str">
            <v>JAM</v>
          </cell>
          <cell r="H614" t="str">
            <v>RATHA</v>
          </cell>
          <cell r="I614" t="str">
            <v>JAMRATHA</v>
          </cell>
          <cell r="J614" t="str">
            <v>ស្រី</v>
          </cell>
          <cell r="K614">
            <v>34792</v>
          </cell>
          <cell r="L614">
            <v>43790</v>
          </cell>
        </row>
        <row r="615">
          <cell r="C615">
            <v>3852</v>
          </cell>
          <cell r="D615" t="str">
            <v>ផង់</v>
          </cell>
          <cell r="E615" t="str">
            <v>ចាន់ថន</v>
          </cell>
          <cell r="F615" t="str">
            <v>ផង់ចាន់ថន</v>
          </cell>
          <cell r="G615" t="str">
            <v>PHORNG</v>
          </cell>
          <cell r="H615" t="str">
            <v>CHANTHORN</v>
          </cell>
          <cell r="I615" t="str">
            <v>PHORNGCHANTHORN</v>
          </cell>
          <cell r="J615" t="str">
            <v>ស្រី</v>
          </cell>
          <cell r="K615">
            <v>36348</v>
          </cell>
          <cell r="L615">
            <v>43791</v>
          </cell>
        </row>
        <row r="616">
          <cell r="C616">
            <v>3185</v>
          </cell>
          <cell r="D616" t="str">
            <v>គង់</v>
          </cell>
          <cell r="E616" t="str">
            <v>តង់</v>
          </cell>
          <cell r="F616" t="str">
            <v>គង់តង់</v>
          </cell>
          <cell r="G616" t="str">
            <v>KONG</v>
          </cell>
          <cell r="H616" t="str">
            <v>TANG</v>
          </cell>
          <cell r="I616" t="str">
            <v>KONGTANG</v>
          </cell>
          <cell r="J616" t="str">
            <v>ស្រី</v>
          </cell>
          <cell r="K616">
            <v>22778</v>
          </cell>
          <cell r="L616">
            <v>43740</v>
          </cell>
        </row>
        <row r="617">
          <cell r="C617">
            <v>3448</v>
          </cell>
          <cell r="D617" t="str">
            <v>ឈុន</v>
          </cell>
          <cell r="E617" t="str">
            <v>ភិន</v>
          </cell>
          <cell r="F617" t="str">
            <v>ឈុនភិន</v>
          </cell>
          <cell r="G617" t="str">
            <v>CHHUN</v>
          </cell>
          <cell r="H617" t="str">
            <v>PHIN</v>
          </cell>
          <cell r="I617" t="str">
            <v>CHHUNPHIN</v>
          </cell>
          <cell r="J617" t="str">
            <v>ស្រី</v>
          </cell>
          <cell r="K617">
            <v>32374</v>
          </cell>
          <cell r="L617">
            <v>43787</v>
          </cell>
        </row>
        <row r="618">
          <cell r="C618">
            <v>3438</v>
          </cell>
          <cell r="D618" t="str">
            <v>ទៀង</v>
          </cell>
          <cell r="E618" t="str">
            <v>ផាណា</v>
          </cell>
          <cell r="F618" t="str">
            <v>ទៀងផាណា</v>
          </cell>
          <cell r="G618" t="str">
            <v>TIENG</v>
          </cell>
          <cell r="H618" t="str">
            <v>PHANA</v>
          </cell>
          <cell r="I618" t="str">
            <v>TIENGPHANA</v>
          </cell>
          <cell r="J618" t="str">
            <v>ស្រី</v>
          </cell>
          <cell r="K618">
            <v>30970</v>
          </cell>
          <cell r="L618">
            <v>43770</v>
          </cell>
        </row>
        <row r="619">
          <cell r="C619">
            <v>3450</v>
          </cell>
          <cell r="D619" t="str">
            <v>ណែម</v>
          </cell>
          <cell r="E619" t="str">
            <v>សារី</v>
          </cell>
          <cell r="F619" t="str">
            <v>ណែមសារី</v>
          </cell>
          <cell r="G619" t="str">
            <v>NEM</v>
          </cell>
          <cell r="H619" t="str">
            <v>SARY</v>
          </cell>
          <cell r="I619" t="str">
            <v>NEMSARY</v>
          </cell>
          <cell r="J619" t="str">
            <v>ស្រី</v>
          </cell>
          <cell r="K619">
            <v>31298</v>
          </cell>
          <cell r="L619">
            <v>43788</v>
          </cell>
        </row>
        <row r="620">
          <cell r="C620">
            <v>3423</v>
          </cell>
          <cell r="D620" t="str">
            <v>នូវ</v>
          </cell>
          <cell r="E620" t="str">
            <v>ចាន់សុភា</v>
          </cell>
          <cell r="F620" t="str">
            <v>នូវចាន់សុភា</v>
          </cell>
          <cell r="G620" t="str">
            <v>NOV</v>
          </cell>
          <cell r="H620" t="str">
            <v>CHANSOPHEA</v>
          </cell>
          <cell r="I620" t="str">
            <v>NOVCHANSOPHEA</v>
          </cell>
          <cell r="J620" t="str">
            <v>ប្រុស</v>
          </cell>
          <cell r="K620">
            <v>33640</v>
          </cell>
          <cell r="L620">
            <v>43771</v>
          </cell>
        </row>
        <row r="621">
          <cell r="C621">
            <v>3426</v>
          </cell>
          <cell r="D621" t="str">
            <v>ប៉ុក</v>
          </cell>
          <cell r="E621" t="str">
            <v>ដាវុទ្ធា</v>
          </cell>
          <cell r="F621" t="str">
            <v>ប៉ុកដាវុទ្ធា</v>
          </cell>
          <cell r="G621" t="str">
            <v>POK</v>
          </cell>
          <cell r="H621" t="str">
            <v>DAVUTHEA</v>
          </cell>
          <cell r="I621" t="str">
            <v>POKDAVUTHEA</v>
          </cell>
          <cell r="J621" t="str">
            <v>ប្រុស</v>
          </cell>
          <cell r="K621">
            <v>34765</v>
          </cell>
          <cell r="L621">
            <v>43771</v>
          </cell>
        </row>
        <row r="622">
          <cell r="C622">
            <v>3422</v>
          </cell>
          <cell r="D622" t="str">
            <v>ផាន់</v>
          </cell>
          <cell r="E622" t="str">
            <v>សុភា</v>
          </cell>
          <cell r="F622" t="str">
            <v>ផាន់សុភា</v>
          </cell>
          <cell r="G622" t="str">
            <v>PHANN</v>
          </cell>
          <cell r="H622" t="str">
            <v>SOPHEA</v>
          </cell>
          <cell r="I622" t="str">
            <v>PHANNSOPHEA</v>
          </cell>
          <cell r="J622" t="str">
            <v>ស្រី</v>
          </cell>
          <cell r="K622">
            <v>28627</v>
          </cell>
          <cell r="L622">
            <v>43771</v>
          </cell>
        </row>
        <row r="623">
          <cell r="C623">
            <v>3429</v>
          </cell>
          <cell r="D623" t="str">
            <v>នុត</v>
          </cell>
          <cell r="E623" t="str">
            <v>សាមុល</v>
          </cell>
          <cell r="F623" t="str">
            <v>នុតសាមុល</v>
          </cell>
          <cell r="G623" t="str">
            <v>NUT</v>
          </cell>
          <cell r="H623" t="str">
            <v>SAMOL</v>
          </cell>
          <cell r="I623" t="str">
            <v>NUTSAMOL</v>
          </cell>
          <cell r="J623" t="str">
            <v>ស្រី</v>
          </cell>
          <cell r="K623">
            <v>32883</v>
          </cell>
          <cell r="L623">
            <v>43774</v>
          </cell>
        </row>
        <row r="624">
          <cell r="C624">
            <v>3428</v>
          </cell>
          <cell r="D624" t="str">
            <v>សៅ</v>
          </cell>
          <cell r="E624" t="str">
            <v>គឹមសេង</v>
          </cell>
          <cell r="F624" t="str">
            <v>សៅគឹមសេង</v>
          </cell>
          <cell r="G624" t="str">
            <v>SAO</v>
          </cell>
          <cell r="H624" t="str">
            <v>KIMSENG</v>
          </cell>
          <cell r="I624" t="str">
            <v>SAOKIMSENG</v>
          </cell>
          <cell r="J624" t="str">
            <v>ស្រី</v>
          </cell>
          <cell r="K624">
            <v>32096</v>
          </cell>
          <cell r="L624">
            <v>43774</v>
          </cell>
        </row>
        <row r="625">
          <cell r="C625">
            <v>3431</v>
          </cell>
          <cell r="D625" t="str">
            <v>មុំ</v>
          </cell>
          <cell r="E625" t="str">
            <v>សាវ៉េន</v>
          </cell>
          <cell r="F625" t="str">
            <v>មុំសាវ៉េន</v>
          </cell>
          <cell r="G625" t="str">
            <v>MOM</v>
          </cell>
          <cell r="H625" t="str">
            <v>SAVEN</v>
          </cell>
          <cell r="I625" t="str">
            <v>MOMSAVEN</v>
          </cell>
          <cell r="J625" t="str">
            <v>ស្រី</v>
          </cell>
          <cell r="K625">
            <v>30533</v>
          </cell>
          <cell r="L625">
            <v>43774</v>
          </cell>
        </row>
        <row r="626">
          <cell r="C626">
            <v>3427</v>
          </cell>
          <cell r="D626" t="str">
            <v>ឈន</v>
          </cell>
          <cell r="E626" t="str">
            <v>ឈី</v>
          </cell>
          <cell r="F626" t="str">
            <v>ឈនឈី</v>
          </cell>
          <cell r="G626" t="str">
            <v>CHHAN</v>
          </cell>
          <cell r="H626" t="str">
            <v>CHHY</v>
          </cell>
          <cell r="I626" t="str">
            <v>CHHANCHHY</v>
          </cell>
          <cell r="J626" t="str">
            <v>ស្រី</v>
          </cell>
          <cell r="K626">
            <v>33117</v>
          </cell>
          <cell r="L626">
            <v>43771</v>
          </cell>
        </row>
        <row r="627">
          <cell r="C627">
            <v>3437</v>
          </cell>
          <cell r="D627" t="str">
            <v>ជា</v>
          </cell>
          <cell r="E627" t="str">
            <v>ដាវី</v>
          </cell>
          <cell r="F627" t="str">
            <v>ជាដាវី</v>
          </cell>
          <cell r="G627" t="str">
            <v>CHEA</v>
          </cell>
          <cell r="H627" t="str">
            <v>DAVY</v>
          </cell>
          <cell r="I627" t="str">
            <v>CHEADAVY</v>
          </cell>
          <cell r="J627" t="str">
            <v>ស្រី</v>
          </cell>
          <cell r="K627">
            <v>31588</v>
          </cell>
          <cell r="L627">
            <v>43783</v>
          </cell>
        </row>
        <row r="628">
          <cell r="C628">
            <v>3419</v>
          </cell>
          <cell r="D628" t="str">
            <v>សេន</v>
          </cell>
          <cell r="E628" t="str">
            <v>ផល្លា</v>
          </cell>
          <cell r="F628" t="str">
            <v>សេនផល្លា</v>
          </cell>
          <cell r="G628" t="str">
            <v>SEN</v>
          </cell>
          <cell r="H628" t="str">
            <v>PHALLA</v>
          </cell>
          <cell r="I628" t="str">
            <v>SENPHALLA</v>
          </cell>
          <cell r="J628" t="str">
            <v>ស្រី</v>
          </cell>
          <cell r="K628">
            <v>33435</v>
          </cell>
          <cell r="L628">
            <v>43770</v>
          </cell>
        </row>
        <row r="629">
          <cell r="C629">
            <v>3418</v>
          </cell>
          <cell r="D629" t="str">
            <v>សែម</v>
          </cell>
          <cell r="E629" t="str">
            <v>ផល្លា</v>
          </cell>
          <cell r="F629" t="str">
            <v>សែមផល្លា</v>
          </cell>
          <cell r="G629" t="str">
            <v>SEM</v>
          </cell>
          <cell r="H629" t="str">
            <v>PHALLA</v>
          </cell>
          <cell r="I629" t="str">
            <v>SEMPHALLA</v>
          </cell>
          <cell r="J629" t="str">
            <v>ស្រី</v>
          </cell>
          <cell r="K629">
            <v>27643</v>
          </cell>
          <cell r="L629">
            <v>43770</v>
          </cell>
        </row>
        <row r="630">
          <cell r="C630">
            <v>3445</v>
          </cell>
          <cell r="D630" t="str">
            <v>រស់</v>
          </cell>
          <cell r="E630" t="str">
            <v>ចិត្រ</v>
          </cell>
          <cell r="F630" t="str">
            <v>រស់ចិត្រ</v>
          </cell>
          <cell r="G630" t="str">
            <v>ROS</v>
          </cell>
          <cell r="H630" t="str">
            <v>CHET</v>
          </cell>
          <cell r="I630" t="str">
            <v>ROSCHET</v>
          </cell>
          <cell r="J630" t="str">
            <v>ស្រី</v>
          </cell>
          <cell r="K630">
            <v>29448</v>
          </cell>
          <cell r="L630">
            <v>43788</v>
          </cell>
        </row>
        <row r="631">
          <cell r="C631">
            <v>3444</v>
          </cell>
          <cell r="D631" t="str">
            <v>ថែ</v>
          </cell>
          <cell r="E631" t="str">
            <v>សារ៉ែន</v>
          </cell>
          <cell r="F631" t="str">
            <v>ថែសារ៉ែន</v>
          </cell>
          <cell r="G631" t="str">
            <v>THE</v>
          </cell>
          <cell r="H631" t="str">
            <v>SAREN</v>
          </cell>
          <cell r="I631" t="str">
            <v>THESAREN</v>
          </cell>
          <cell r="J631" t="str">
            <v>ស្រី</v>
          </cell>
          <cell r="K631">
            <v>30046</v>
          </cell>
          <cell r="L631">
            <v>43788</v>
          </cell>
        </row>
        <row r="632">
          <cell r="C632">
            <v>3442</v>
          </cell>
          <cell r="D632" t="str">
            <v>ប៊ូ</v>
          </cell>
          <cell r="E632" t="str">
            <v>មុំ</v>
          </cell>
          <cell r="F632" t="str">
            <v>ប៊ូមុំ</v>
          </cell>
          <cell r="G632" t="str">
            <v>BOU</v>
          </cell>
          <cell r="H632" t="str">
            <v>MOM</v>
          </cell>
          <cell r="I632" t="str">
            <v>BOUMOM</v>
          </cell>
          <cell r="J632" t="str">
            <v>ស្រី</v>
          </cell>
          <cell r="K632">
            <v>32714</v>
          </cell>
          <cell r="L632">
            <v>43785</v>
          </cell>
        </row>
        <row r="633">
          <cell r="C633">
            <v>3457</v>
          </cell>
          <cell r="D633" t="str">
            <v>ឌន</v>
          </cell>
          <cell r="E633" t="str">
            <v>សុភ័ក្រ</v>
          </cell>
          <cell r="F633" t="str">
            <v>ឌនសុភ័ក្រ</v>
          </cell>
          <cell r="G633" t="str">
            <v>DORN</v>
          </cell>
          <cell r="H633" t="str">
            <v>SOPHEAK</v>
          </cell>
          <cell r="I633" t="str">
            <v>DORNSOPHEAK</v>
          </cell>
          <cell r="J633" t="str">
            <v>ស្រី</v>
          </cell>
          <cell r="K633">
            <v>31445</v>
          </cell>
          <cell r="L633">
            <v>43795</v>
          </cell>
        </row>
        <row r="634">
          <cell r="C634">
            <v>3451</v>
          </cell>
          <cell r="D634" t="str">
            <v>ញិប</v>
          </cell>
          <cell r="E634" t="str">
            <v>ចាន់ដេត</v>
          </cell>
          <cell r="F634" t="str">
            <v>ញិបចាន់ដេត</v>
          </cell>
          <cell r="G634" t="str">
            <v>NHIB</v>
          </cell>
          <cell r="H634" t="str">
            <v>CHANDET</v>
          </cell>
          <cell r="I634" t="str">
            <v>NHIBCHANDET</v>
          </cell>
          <cell r="J634" t="str">
            <v>ស្រី</v>
          </cell>
          <cell r="K634">
            <v>31780</v>
          </cell>
          <cell r="L634">
            <v>43791</v>
          </cell>
        </row>
        <row r="635">
          <cell r="C635">
            <v>3453</v>
          </cell>
          <cell r="D635" t="str">
            <v>ទឹម</v>
          </cell>
          <cell r="E635" t="str">
            <v>សារ៉េន</v>
          </cell>
          <cell r="F635" t="str">
            <v>ទឹមសារ៉េន</v>
          </cell>
          <cell r="G635" t="str">
            <v>TOEM</v>
          </cell>
          <cell r="H635" t="str">
            <v>SAREN</v>
          </cell>
          <cell r="I635" t="str">
            <v>TOEMSAREN</v>
          </cell>
          <cell r="J635" t="str">
            <v>ស្រី</v>
          </cell>
          <cell r="K635">
            <v>30155</v>
          </cell>
          <cell r="L635">
            <v>43792</v>
          </cell>
        </row>
        <row r="636">
          <cell r="C636">
            <v>3461</v>
          </cell>
          <cell r="D636" t="str">
            <v>ម៉ៃ</v>
          </cell>
          <cell r="E636" t="str">
            <v>ម៉ុត</v>
          </cell>
          <cell r="F636" t="str">
            <v>ម៉ៃម៉ុត</v>
          </cell>
          <cell r="G636" t="str">
            <v>MAY</v>
          </cell>
          <cell r="H636" t="str">
            <v>MUOT</v>
          </cell>
          <cell r="I636" t="str">
            <v>MAYMUOT</v>
          </cell>
          <cell r="J636" t="str">
            <v>ស្រី</v>
          </cell>
          <cell r="K636">
            <v>29777</v>
          </cell>
          <cell r="L636">
            <v>43797</v>
          </cell>
        </row>
        <row r="637">
          <cell r="C637">
            <v>3458</v>
          </cell>
          <cell r="D637" t="str">
            <v>ជាតិ</v>
          </cell>
          <cell r="E637" t="str">
            <v>ស្រីនួន</v>
          </cell>
          <cell r="F637" t="str">
            <v>ជាតិស្រីនួន</v>
          </cell>
          <cell r="G637" t="str">
            <v>CHEAT</v>
          </cell>
          <cell r="H637" t="str">
            <v>SREYNUON</v>
          </cell>
          <cell r="I637" t="str">
            <v>CHEATSREYNUON</v>
          </cell>
          <cell r="J637" t="str">
            <v>ស្រី</v>
          </cell>
          <cell r="K637">
            <v>34734</v>
          </cell>
          <cell r="L637">
            <v>43792</v>
          </cell>
        </row>
        <row r="638">
          <cell r="C638">
            <v>3459</v>
          </cell>
          <cell r="D638" t="str">
            <v>ធា</v>
          </cell>
          <cell r="E638" t="str">
            <v>ស្រីម៉ៅ</v>
          </cell>
          <cell r="F638" t="str">
            <v>ធាស្រីម៉ៅ</v>
          </cell>
          <cell r="G638" t="str">
            <v>THEA</v>
          </cell>
          <cell r="H638" t="str">
            <v>SREYMAO</v>
          </cell>
          <cell r="I638" t="str">
            <v>THEASREYMAO</v>
          </cell>
          <cell r="J638" t="str">
            <v>ស្រី</v>
          </cell>
          <cell r="K638">
            <v>36758</v>
          </cell>
          <cell r="L638">
            <v>43795</v>
          </cell>
        </row>
        <row r="639">
          <cell r="C639">
            <v>3627</v>
          </cell>
          <cell r="D639" t="str">
            <v>ណុច</v>
          </cell>
          <cell r="E639" t="str">
            <v>វ៉ន</v>
          </cell>
          <cell r="F639" t="str">
            <v>ណុចវ៉ន</v>
          </cell>
          <cell r="G639" t="str">
            <v>NOCH</v>
          </cell>
          <cell r="H639" t="str">
            <v>VAN</v>
          </cell>
          <cell r="I639" t="str">
            <v>NOCHVAN</v>
          </cell>
          <cell r="J639" t="str">
            <v>ស្រី</v>
          </cell>
          <cell r="K639">
            <v>36012</v>
          </cell>
          <cell r="L639">
            <v>43750</v>
          </cell>
        </row>
        <row r="640">
          <cell r="C640">
            <v>3647</v>
          </cell>
          <cell r="D640" t="str">
            <v>សូ</v>
          </cell>
          <cell r="E640" t="str">
            <v>សារ៉ាន់</v>
          </cell>
          <cell r="F640" t="str">
            <v>សូសារ៉ាន់</v>
          </cell>
          <cell r="G640" t="str">
            <v>SO</v>
          </cell>
          <cell r="H640" t="str">
            <v>SARANN</v>
          </cell>
          <cell r="I640" t="str">
            <v>SOSARANN</v>
          </cell>
          <cell r="J640" t="str">
            <v>ប្រុស</v>
          </cell>
          <cell r="K640">
            <v>32782</v>
          </cell>
          <cell r="L640">
            <v>43754</v>
          </cell>
        </row>
        <row r="641">
          <cell r="C641">
            <v>3253</v>
          </cell>
          <cell r="D641" t="str">
            <v>ម៉ុស</v>
          </cell>
          <cell r="E641" t="str">
            <v>ប៊ុនធី</v>
          </cell>
          <cell r="F641" t="str">
            <v>ម៉ុសប៊ុនធី</v>
          </cell>
          <cell r="G641" t="str">
            <v>MOS</v>
          </cell>
          <cell r="H641" t="str">
            <v>BUNTHY</v>
          </cell>
          <cell r="I641" t="str">
            <v>MOSBUNTHY</v>
          </cell>
          <cell r="J641" t="str">
            <v>ប្រុស</v>
          </cell>
          <cell r="K641">
            <v>33060</v>
          </cell>
          <cell r="L641">
            <v>43746</v>
          </cell>
        </row>
        <row r="642">
          <cell r="C642">
            <v>3608</v>
          </cell>
          <cell r="D642" t="str">
            <v>ស៊ាង</v>
          </cell>
          <cell r="E642" t="str">
            <v>ចាន់ថន</v>
          </cell>
          <cell r="F642" t="str">
            <v>ស៊ាងចាន់ថន</v>
          </cell>
          <cell r="G642" t="str">
            <v>SEANG</v>
          </cell>
          <cell r="H642" t="str">
            <v>CHAN THAN</v>
          </cell>
          <cell r="I642" t="str">
            <v>SEANGCHAN THAN</v>
          </cell>
          <cell r="J642" t="str">
            <v>ស្រី</v>
          </cell>
          <cell r="K642">
            <v>28224</v>
          </cell>
          <cell r="L642">
            <v>43750</v>
          </cell>
        </row>
        <row r="643">
          <cell r="C643">
            <v>3854</v>
          </cell>
          <cell r="D643" t="str">
            <v>សេក</v>
          </cell>
          <cell r="E643" t="str">
            <v>គឿន</v>
          </cell>
          <cell r="F643" t="str">
            <v>សេកគឿន</v>
          </cell>
          <cell r="G643" t="str">
            <v>SEK</v>
          </cell>
          <cell r="H643" t="str">
            <v>KOEURN</v>
          </cell>
          <cell r="I643" t="str">
            <v>SEKKOEURN</v>
          </cell>
          <cell r="J643" t="str">
            <v>ស្រី</v>
          </cell>
          <cell r="K643">
            <v>34364</v>
          </cell>
          <cell r="L643">
            <v>43795</v>
          </cell>
        </row>
        <row r="644">
          <cell r="C644">
            <v>3655</v>
          </cell>
          <cell r="D644" t="str">
            <v>យឹម</v>
          </cell>
          <cell r="E644" t="str">
            <v>សារ៉ាន</v>
          </cell>
          <cell r="F644" t="str">
            <v>យឹមសារ៉ាន</v>
          </cell>
          <cell r="G644" t="str">
            <v>YOEM</v>
          </cell>
          <cell r="H644" t="str">
            <v>SARAN</v>
          </cell>
          <cell r="I644" t="str">
            <v>YOEMSARAN</v>
          </cell>
          <cell r="J644" t="str">
            <v>ស្រី</v>
          </cell>
          <cell r="K644">
            <v>29468</v>
          </cell>
          <cell r="L644">
            <v>43755</v>
          </cell>
        </row>
        <row r="645">
          <cell r="C645">
            <v>3891</v>
          </cell>
          <cell r="D645" t="str">
            <v>នឿ</v>
          </cell>
          <cell r="E645" t="str">
            <v>ស្រឿន</v>
          </cell>
          <cell r="F645" t="str">
            <v>នឿស្រឿន</v>
          </cell>
          <cell r="G645" t="str">
            <v>NOEU</v>
          </cell>
          <cell r="H645" t="str">
            <v>SROEUN</v>
          </cell>
          <cell r="I645" t="str">
            <v>NOEUSROEUN</v>
          </cell>
          <cell r="J645" t="str">
            <v>ស្រី</v>
          </cell>
          <cell r="K645">
            <v>33609</v>
          </cell>
          <cell r="L645">
            <v>43816</v>
          </cell>
        </row>
        <row r="646">
          <cell r="C646">
            <v>3895</v>
          </cell>
          <cell r="D646" t="str">
            <v>មូល</v>
          </cell>
          <cell r="E646" t="str">
            <v>វឌ្ឍនា</v>
          </cell>
          <cell r="F646" t="str">
            <v>មូលវឌ្ឍនា</v>
          </cell>
          <cell r="G646" t="str">
            <v>MOUL</v>
          </cell>
          <cell r="H646" t="str">
            <v>VOTANA</v>
          </cell>
          <cell r="I646" t="str">
            <v>MOULVOTANA</v>
          </cell>
          <cell r="J646" t="str">
            <v>ស្រី</v>
          </cell>
          <cell r="K646">
            <v>30401</v>
          </cell>
          <cell r="L646">
            <v>43817</v>
          </cell>
        </row>
        <row r="647">
          <cell r="C647">
            <v>3901</v>
          </cell>
          <cell r="D647" t="str">
            <v>ឈុន</v>
          </cell>
          <cell r="E647" t="str">
            <v>ផល្លា</v>
          </cell>
          <cell r="F647" t="str">
            <v>ឈុនផល្លា</v>
          </cell>
          <cell r="G647" t="str">
            <v>CHHON</v>
          </cell>
          <cell r="H647" t="str">
            <v>PHORLLA</v>
          </cell>
          <cell r="I647" t="str">
            <v>CHHONPHORLLA</v>
          </cell>
          <cell r="J647" t="str">
            <v>ប្រុស</v>
          </cell>
          <cell r="K647">
            <v>32487</v>
          </cell>
          <cell r="L647">
            <v>43819</v>
          </cell>
        </row>
        <row r="648">
          <cell r="C648">
            <v>3886</v>
          </cell>
          <cell r="D648" t="str">
            <v>ផល</v>
          </cell>
          <cell r="E648" t="str">
            <v>ស្រីពៅ</v>
          </cell>
          <cell r="F648" t="str">
            <v>ផលស្រីពៅ</v>
          </cell>
          <cell r="G648" t="str">
            <v>PHAL</v>
          </cell>
          <cell r="H648" t="str">
            <v>SREY POV</v>
          </cell>
          <cell r="I648" t="str">
            <v>PHALSREY POV</v>
          </cell>
          <cell r="J648" t="str">
            <v>ស្រី</v>
          </cell>
          <cell r="K648">
            <v>33377</v>
          </cell>
          <cell r="L648">
            <v>43812</v>
          </cell>
        </row>
        <row r="649">
          <cell r="C649">
            <v>3885</v>
          </cell>
          <cell r="D649" t="str">
            <v>ហយ</v>
          </cell>
          <cell r="E649" t="str">
            <v>សុខឃីម</v>
          </cell>
          <cell r="F649" t="str">
            <v>ហយសុខឃីម</v>
          </cell>
          <cell r="G649" t="str">
            <v>HORY</v>
          </cell>
          <cell r="H649" t="str">
            <v>SOKHIM</v>
          </cell>
          <cell r="I649" t="str">
            <v>HORYSOKHIM</v>
          </cell>
          <cell r="J649" t="str">
            <v>ស្រី</v>
          </cell>
          <cell r="K649">
            <v>34582</v>
          </cell>
          <cell r="L649">
            <v>43812</v>
          </cell>
        </row>
        <row r="650">
          <cell r="C650">
            <v>3876</v>
          </cell>
          <cell r="D650" t="str">
            <v>ឃៀន</v>
          </cell>
          <cell r="E650" t="str">
            <v>ខុម</v>
          </cell>
          <cell r="F650" t="str">
            <v>ឃៀនខុម</v>
          </cell>
          <cell r="G650" t="str">
            <v>KHEA</v>
          </cell>
          <cell r="H650" t="str">
            <v>KHOM</v>
          </cell>
          <cell r="I650" t="str">
            <v>KHEAKHOM</v>
          </cell>
          <cell r="J650" t="str">
            <v>ប្រុស</v>
          </cell>
          <cell r="K650">
            <v>29864</v>
          </cell>
          <cell r="L650">
            <v>43803</v>
          </cell>
        </row>
        <row r="651">
          <cell r="C651">
            <v>3883</v>
          </cell>
          <cell r="D651" t="str">
            <v>ចែម</v>
          </cell>
          <cell r="E651" t="str">
            <v>រិទ្ធី</v>
          </cell>
          <cell r="F651" t="str">
            <v>ចែមរិទ្ធី</v>
          </cell>
          <cell r="G651" t="str">
            <v>CHEM</v>
          </cell>
          <cell r="H651" t="str">
            <v>RITHY</v>
          </cell>
          <cell r="I651" t="str">
            <v>CHEMRITHY</v>
          </cell>
          <cell r="J651" t="str">
            <v>ប្រុស</v>
          </cell>
          <cell r="K651">
            <v>32939</v>
          </cell>
          <cell r="L651">
            <v>43811</v>
          </cell>
        </row>
        <row r="652">
          <cell r="C652">
            <v>3868</v>
          </cell>
          <cell r="D652" t="str">
            <v>ស៊ន់</v>
          </cell>
          <cell r="E652" t="str">
            <v>ឡេងវី</v>
          </cell>
          <cell r="F652" t="str">
            <v>ស៊ន់ឡេងវី</v>
          </cell>
          <cell r="G652" t="str">
            <v>SUN</v>
          </cell>
          <cell r="H652" t="str">
            <v>LENGVY</v>
          </cell>
          <cell r="I652" t="str">
            <v>SUNLENGVY</v>
          </cell>
          <cell r="J652" t="str">
            <v>ស្រី</v>
          </cell>
          <cell r="K652">
            <v>30376</v>
          </cell>
          <cell r="L652">
            <v>43803</v>
          </cell>
        </row>
        <row r="653">
          <cell r="C653">
            <v>3867</v>
          </cell>
          <cell r="D653" t="str">
            <v>ម</v>
          </cell>
          <cell r="E653" t="str">
            <v>អៀង</v>
          </cell>
          <cell r="F653" t="str">
            <v>មអៀង</v>
          </cell>
          <cell r="G653" t="str">
            <v>MOR</v>
          </cell>
          <cell r="H653" t="str">
            <v>EANG</v>
          </cell>
          <cell r="I653" t="str">
            <v>MOREANG</v>
          </cell>
          <cell r="J653" t="str">
            <v>ស្រី</v>
          </cell>
          <cell r="K653">
            <v>31872</v>
          </cell>
          <cell r="L653">
            <v>43803</v>
          </cell>
        </row>
        <row r="654">
          <cell r="C654">
            <v>3866</v>
          </cell>
          <cell r="D654" t="str">
            <v>ភ្លុក</v>
          </cell>
          <cell r="E654" t="str">
            <v>គន្ធា</v>
          </cell>
          <cell r="F654" t="str">
            <v>ភ្លុកគន្ធា</v>
          </cell>
          <cell r="G654" t="str">
            <v>PHLOK</v>
          </cell>
          <cell r="H654" t="str">
            <v>KUNTHEA</v>
          </cell>
          <cell r="I654" t="str">
            <v>PHLOKKUNTHEA</v>
          </cell>
          <cell r="J654" t="str">
            <v>ស្រី</v>
          </cell>
          <cell r="K654">
            <v>32631</v>
          </cell>
          <cell r="L654">
            <v>43802</v>
          </cell>
        </row>
        <row r="655">
          <cell r="C655">
            <v>3857</v>
          </cell>
          <cell r="D655" t="str">
            <v>ទូច</v>
          </cell>
          <cell r="E655" t="str">
            <v>សុភក្រ័</v>
          </cell>
          <cell r="F655" t="str">
            <v>ទូចសុភក្រ័</v>
          </cell>
          <cell r="G655" t="str">
            <v>TOUCH</v>
          </cell>
          <cell r="H655" t="str">
            <v>SOPHAEK</v>
          </cell>
          <cell r="I655" t="str">
            <v>TOUCHSOPHAEK</v>
          </cell>
          <cell r="J655" t="str">
            <v>ស្រី</v>
          </cell>
          <cell r="K655">
            <v>32509</v>
          </cell>
          <cell r="L655">
            <v>43801</v>
          </cell>
        </row>
        <row r="656">
          <cell r="C656">
            <v>3485</v>
          </cell>
          <cell r="D656" t="str">
            <v>បូ</v>
          </cell>
          <cell r="E656" t="str">
            <v>សំណាង</v>
          </cell>
          <cell r="F656" t="str">
            <v>បូសំណាង</v>
          </cell>
          <cell r="G656" t="str">
            <v>BO</v>
          </cell>
          <cell r="H656" t="str">
            <v>SAMNANG</v>
          </cell>
          <cell r="I656" t="str">
            <v>BOSAMNANG</v>
          </cell>
          <cell r="J656" t="str">
            <v>ស្រី</v>
          </cell>
          <cell r="K656">
            <v>29782</v>
          </cell>
          <cell r="L656">
            <v>43815</v>
          </cell>
        </row>
        <row r="657">
          <cell r="C657">
            <v>3472</v>
          </cell>
          <cell r="D657" t="str">
            <v>យ៉ន</v>
          </cell>
          <cell r="E657" t="str">
            <v>ចាន់ធឿន</v>
          </cell>
          <cell r="F657" t="str">
            <v>យ៉នចាន់ធឿន</v>
          </cell>
          <cell r="G657" t="str">
            <v>YORN</v>
          </cell>
          <cell r="H657" t="str">
            <v>CHANTHOEURN</v>
          </cell>
          <cell r="I657" t="str">
            <v>YORNCHANTHOEURN</v>
          </cell>
          <cell r="J657" t="str">
            <v>ស្រី</v>
          </cell>
          <cell r="K657">
            <v>36923</v>
          </cell>
          <cell r="L657">
            <v>43810</v>
          </cell>
        </row>
        <row r="658">
          <cell r="C658">
            <v>3884</v>
          </cell>
          <cell r="D658" t="str">
            <v>យ៉ុង</v>
          </cell>
          <cell r="E658" t="str">
            <v>ធារ៉ា</v>
          </cell>
          <cell r="F658" t="str">
            <v>យ៉ុងធារ៉ា</v>
          </cell>
          <cell r="G658" t="str">
            <v>YONG</v>
          </cell>
          <cell r="H658" t="str">
            <v>THEARA</v>
          </cell>
          <cell r="I658" t="str">
            <v>YONGTHEARA</v>
          </cell>
          <cell r="J658" t="str">
            <v>ស្រី</v>
          </cell>
          <cell r="K658">
            <v>32266</v>
          </cell>
          <cell r="L658">
            <v>43811</v>
          </cell>
        </row>
        <row r="659">
          <cell r="C659">
            <v>3880</v>
          </cell>
          <cell r="D659" t="str">
            <v>ងួន</v>
          </cell>
          <cell r="E659" t="str">
            <v>សុខរី</v>
          </cell>
          <cell r="F659" t="str">
            <v>ងួនសុខរី</v>
          </cell>
          <cell r="G659" t="str">
            <v>NGUON</v>
          </cell>
          <cell r="H659" t="str">
            <v>SOKRY</v>
          </cell>
          <cell r="I659" t="str">
            <v>NGUONSOKRY</v>
          </cell>
          <cell r="J659" t="str">
            <v>ស្រី</v>
          </cell>
          <cell r="K659">
            <v>35805</v>
          </cell>
          <cell r="L659">
            <v>43810</v>
          </cell>
        </row>
        <row r="660">
          <cell r="C660">
            <v>3877</v>
          </cell>
          <cell r="D660" t="str">
            <v>ជីម</v>
          </cell>
          <cell r="E660" t="str">
            <v>សុខភី</v>
          </cell>
          <cell r="F660" t="str">
            <v>ជីមសុខភី</v>
          </cell>
          <cell r="G660" t="str">
            <v>CHIM</v>
          </cell>
          <cell r="H660" t="str">
            <v>SOKPHY</v>
          </cell>
          <cell r="I660" t="str">
            <v>CHIMSOKPHY</v>
          </cell>
          <cell r="J660" t="str">
            <v>ស្រី</v>
          </cell>
          <cell r="K660">
            <v>36897</v>
          </cell>
          <cell r="L660">
            <v>43810</v>
          </cell>
        </row>
        <row r="661">
          <cell r="C661">
            <v>3861</v>
          </cell>
          <cell r="D661" t="str">
            <v>អ៊ុង</v>
          </cell>
          <cell r="E661" t="str">
            <v>ស្រីអូន</v>
          </cell>
          <cell r="F661" t="str">
            <v>អ៊ុងស្រីអូន</v>
          </cell>
          <cell r="G661" t="str">
            <v>UNG</v>
          </cell>
          <cell r="H661" t="str">
            <v>SREI ON</v>
          </cell>
          <cell r="I661" t="str">
            <v>UNGSREI ON</v>
          </cell>
          <cell r="J661" t="str">
            <v>ស្រី</v>
          </cell>
          <cell r="K661">
            <v>31085</v>
          </cell>
          <cell r="L661">
            <v>43802</v>
          </cell>
        </row>
        <row r="662">
          <cell r="C662">
            <v>3864</v>
          </cell>
          <cell r="D662" t="str">
            <v>ឡុង</v>
          </cell>
          <cell r="E662" t="str">
            <v>សុខនីម</v>
          </cell>
          <cell r="F662" t="str">
            <v>ឡុងសុខនីម</v>
          </cell>
          <cell r="G662" t="str">
            <v>LONG</v>
          </cell>
          <cell r="H662" t="str">
            <v>SOKNIM</v>
          </cell>
          <cell r="I662" t="str">
            <v>LONGSOKNIM</v>
          </cell>
          <cell r="J662" t="str">
            <v>ស្រី</v>
          </cell>
          <cell r="K662">
            <v>30810</v>
          </cell>
          <cell r="L662">
            <v>43802</v>
          </cell>
        </row>
        <row r="663">
          <cell r="C663">
            <v>3860</v>
          </cell>
          <cell r="D663" t="str">
            <v>ថូន</v>
          </cell>
          <cell r="E663" t="str">
            <v>ពៅ</v>
          </cell>
          <cell r="F663" t="str">
            <v>ថូនពៅ</v>
          </cell>
          <cell r="G663" t="str">
            <v>THON</v>
          </cell>
          <cell r="H663" t="str">
            <v>POV</v>
          </cell>
          <cell r="I663" t="str">
            <v>THONPOV</v>
          </cell>
          <cell r="J663" t="str">
            <v>ស្រី</v>
          </cell>
          <cell r="K663">
            <v>33334</v>
          </cell>
          <cell r="L663">
            <v>43801</v>
          </cell>
        </row>
        <row r="664">
          <cell r="C664">
            <v>3890</v>
          </cell>
          <cell r="D664" t="str">
            <v>គីត</v>
          </cell>
          <cell r="E664" t="str">
            <v>ភឿន</v>
          </cell>
          <cell r="F664" t="str">
            <v>គីតភឿន</v>
          </cell>
          <cell r="G664" t="str">
            <v>KIT</v>
          </cell>
          <cell r="H664" t="str">
            <v>PHOEURN</v>
          </cell>
          <cell r="I664" t="str">
            <v>KITPHOEURN</v>
          </cell>
          <cell r="J664" t="str">
            <v>ស្រី</v>
          </cell>
          <cell r="K664">
            <v>30848</v>
          </cell>
          <cell r="L664">
            <v>43815</v>
          </cell>
        </row>
        <row r="665">
          <cell r="C665">
            <v>3894</v>
          </cell>
          <cell r="D665" t="str">
            <v>ឆាយ</v>
          </cell>
          <cell r="E665" t="str">
            <v>សាវ៉ាង</v>
          </cell>
          <cell r="F665" t="str">
            <v>ឆាយសាវ៉ាង</v>
          </cell>
          <cell r="G665" t="str">
            <v>CHHAY</v>
          </cell>
          <cell r="H665" t="str">
            <v>SAVANG</v>
          </cell>
          <cell r="I665" t="str">
            <v>CHHAYSAVANG</v>
          </cell>
          <cell r="J665" t="str">
            <v>ស្រី</v>
          </cell>
          <cell r="K665">
            <v>31167</v>
          </cell>
          <cell r="L665">
            <v>43816</v>
          </cell>
        </row>
        <row r="666">
          <cell r="C666">
            <v>3465</v>
          </cell>
          <cell r="D666" t="str">
            <v>កាក់</v>
          </cell>
          <cell r="E666" t="str">
            <v>បឿន</v>
          </cell>
          <cell r="F666" t="str">
            <v>កាក់បឿន</v>
          </cell>
          <cell r="G666" t="str">
            <v>KAK</v>
          </cell>
          <cell r="H666" t="str">
            <v>BOEUN</v>
          </cell>
          <cell r="I666" t="str">
            <v>KAKBOEUN</v>
          </cell>
          <cell r="J666" t="str">
            <v>ស្រី</v>
          </cell>
          <cell r="K666">
            <v>29440</v>
          </cell>
          <cell r="L666">
            <v>43802</v>
          </cell>
        </row>
        <row r="667">
          <cell r="C667">
            <v>3463</v>
          </cell>
          <cell r="D667" t="str">
            <v>មុំ</v>
          </cell>
          <cell r="E667" t="str">
            <v>លី</v>
          </cell>
          <cell r="F667" t="str">
            <v>មុំលី</v>
          </cell>
          <cell r="G667" t="str">
            <v>MOM</v>
          </cell>
          <cell r="H667" t="str">
            <v>LY</v>
          </cell>
          <cell r="I667" t="str">
            <v>MOMLY</v>
          </cell>
          <cell r="J667" t="str">
            <v>ស្រី</v>
          </cell>
          <cell r="K667">
            <v>23257</v>
          </cell>
          <cell r="L667">
            <v>43802</v>
          </cell>
        </row>
        <row r="668">
          <cell r="C668">
            <v>3488</v>
          </cell>
          <cell r="D668" t="str">
            <v>វ៉ឹង</v>
          </cell>
          <cell r="E668" t="str">
            <v>កែវ</v>
          </cell>
          <cell r="F668" t="str">
            <v>វ៉ឹងកែវ</v>
          </cell>
          <cell r="G668" t="str">
            <v>VOENG</v>
          </cell>
          <cell r="H668" t="str">
            <v>KEO</v>
          </cell>
          <cell r="I668" t="str">
            <v>VOENGKEO</v>
          </cell>
          <cell r="J668" t="str">
            <v>ស្រី</v>
          </cell>
          <cell r="K668">
            <v>27357</v>
          </cell>
          <cell r="L668">
            <v>43816</v>
          </cell>
        </row>
        <row r="669">
          <cell r="C669">
            <v>3484</v>
          </cell>
          <cell r="D669" t="str">
            <v>វុន</v>
          </cell>
          <cell r="E669" t="str">
            <v>ហៀង</v>
          </cell>
          <cell r="F669" t="str">
            <v>វុនហៀង</v>
          </cell>
          <cell r="G669" t="str">
            <v>VUN</v>
          </cell>
          <cell r="H669" t="str">
            <v>HIENG</v>
          </cell>
          <cell r="I669" t="str">
            <v>VUNHIENG</v>
          </cell>
          <cell r="J669" t="str">
            <v>ស្រី</v>
          </cell>
          <cell r="K669">
            <v>27853</v>
          </cell>
          <cell r="L669">
            <v>43813</v>
          </cell>
        </row>
        <row r="670">
          <cell r="C670">
            <v>3486</v>
          </cell>
          <cell r="D670" t="str">
            <v>សេក</v>
          </cell>
          <cell r="E670" t="str">
            <v>សំភ័ស្ស</v>
          </cell>
          <cell r="F670" t="str">
            <v>សេកសំភ័ស្ស</v>
          </cell>
          <cell r="G670" t="str">
            <v>SEK</v>
          </cell>
          <cell r="H670" t="str">
            <v>SAMPHOIS</v>
          </cell>
          <cell r="I670" t="str">
            <v>SEKSAMPHOIS</v>
          </cell>
          <cell r="J670" t="str">
            <v>ស្រី</v>
          </cell>
          <cell r="K670">
            <v>35662</v>
          </cell>
          <cell r="L670">
            <v>43816</v>
          </cell>
        </row>
        <row r="671">
          <cell r="C671">
            <v>4096</v>
          </cell>
          <cell r="D671" t="str">
            <v>ញាន</v>
          </cell>
          <cell r="E671" t="str">
            <v>ម៉ារី</v>
          </cell>
          <cell r="F671" t="str">
            <v>ញានម៉ារី</v>
          </cell>
          <cell r="G671" t="str">
            <v>NHEAN</v>
          </cell>
          <cell r="H671" t="str">
            <v>MARI</v>
          </cell>
          <cell r="I671" t="str">
            <v>NHEANMARI</v>
          </cell>
          <cell r="J671" t="str">
            <v>ស្រី</v>
          </cell>
          <cell r="K671">
            <v>36630</v>
          </cell>
          <cell r="L671">
            <v>43818</v>
          </cell>
        </row>
        <row r="672">
          <cell r="C672">
            <v>4100</v>
          </cell>
          <cell r="D672" t="str">
            <v>ថាន</v>
          </cell>
          <cell r="E672" t="str">
            <v>តុលា</v>
          </cell>
          <cell r="F672" t="str">
            <v>ថានតុលា</v>
          </cell>
          <cell r="G672" t="str">
            <v>THAN</v>
          </cell>
          <cell r="H672" t="str">
            <v>TOLA</v>
          </cell>
          <cell r="I672" t="str">
            <v>THANTOLA</v>
          </cell>
          <cell r="J672" t="str">
            <v>ប្រុស</v>
          </cell>
          <cell r="K672">
            <v>36823</v>
          </cell>
          <cell r="L672">
            <v>43819</v>
          </cell>
        </row>
        <row r="673">
          <cell r="C673">
            <v>4097</v>
          </cell>
          <cell r="D673" t="str">
            <v>ខុន</v>
          </cell>
          <cell r="E673" t="str">
            <v>តូ</v>
          </cell>
          <cell r="F673" t="str">
            <v>ខុនតូ</v>
          </cell>
          <cell r="G673" t="str">
            <v>KHON</v>
          </cell>
          <cell r="H673" t="str">
            <v>TO</v>
          </cell>
          <cell r="I673" t="str">
            <v>KHONTO</v>
          </cell>
          <cell r="J673" t="str">
            <v>ប្រុស</v>
          </cell>
          <cell r="K673">
            <v>33817</v>
          </cell>
          <cell r="L673">
            <v>43818</v>
          </cell>
        </row>
        <row r="674">
          <cell r="C674">
            <v>3315</v>
          </cell>
          <cell r="D674" t="str">
            <v>ជិន</v>
          </cell>
          <cell r="E674" t="str">
            <v>ចេវ</v>
          </cell>
          <cell r="F674" t="str">
            <v>ជិនចេវ</v>
          </cell>
          <cell r="G674" t="str">
            <v>CHIN</v>
          </cell>
          <cell r="H674" t="str">
            <v>CHEV</v>
          </cell>
          <cell r="I674" t="str">
            <v>CHINCHEV</v>
          </cell>
          <cell r="J674" t="str">
            <v>ប្រុស</v>
          </cell>
          <cell r="K674">
            <v>30115</v>
          </cell>
          <cell r="L674">
            <v>43743</v>
          </cell>
        </row>
        <row r="675">
          <cell r="C675">
            <v>3903</v>
          </cell>
          <cell r="D675" t="str">
            <v>ប៉ុក</v>
          </cell>
          <cell r="E675" t="str">
            <v>ធារ៉េន</v>
          </cell>
          <cell r="F675" t="str">
            <v>ប៉ុកធារ៉េន</v>
          </cell>
          <cell r="G675" t="str">
            <v>POK</v>
          </cell>
          <cell r="H675" t="str">
            <v>THEAREN</v>
          </cell>
          <cell r="I675" t="str">
            <v>POKTHEAREN</v>
          </cell>
          <cell r="J675" t="str">
            <v>ស្រី</v>
          </cell>
          <cell r="K675">
            <v>35497</v>
          </cell>
          <cell r="L675">
            <v>43832</v>
          </cell>
        </row>
        <row r="676">
          <cell r="C676">
            <v>3904</v>
          </cell>
          <cell r="D676" t="str">
            <v>ទែល</v>
          </cell>
          <cell r="E676" t="str">
            <v>ឡៃ</v>
          </cell>
          <cell r="F676" t="str">
            <v>ទែលឡៃ</v>
          </cell>
          <cell r="G676" t="str">
            <v>TEL</v>
          </cell>
          <cell r="H676" t="str">
            <v>LAI</v>
          </cell>
          <cell r="I676" t="str">
            <v>TELLAI</v>
          </cell>
          <cell r="J676" t="str">
            <v>ស្រី</v>
          </cell>
          <cell r="K676">
            <v>30438</v>
          </cell>
          <cell r="L676">
            <v>43832</v>
          </cell>
        </row>
        <row r="677">
          <cell r="C677">
            <v>3906</v>
          </cell>
          <cell r="D677" t="str">
            <v>ខាន់</v>
          </cell>
          <cell r="E677" t="str">
            <v>ភក្តី</v>
          </cell>
          <cell r="F677" t="str">
            <v>ខាន់ភក្តី</v>
          </cell>
          <cell r="G677" t="str">
            <v>KHANN</v>
          </cell>
          <cell r="H677" t="str">
            <v>PHAKDEY</v>
          </cell>
          <cell r="I677" t="str">
            <v>KHANNPHAKDEY</v>
          </cell>
          <cell r="J677" t="str">
            <v>ប្រុស</v>
          </cell>
          <cell r="K677">
            <v>35636</v>
          </cell>
          <cell r="L677">
            <v>43832</v>
          </cell>
        </row>
        <row r="678">
          <cell r="C678">
            <v>3915</v>
          </cell>
          <cell r="D678" t="str">
            <v>សៅ</v>
          </cell>
          <cell r="E678" t="str">
            <v>ស្រីពេជ</v>
          </cell>
          <cell r="F678" t="str">
            <v>សៅស្រីពេជ</v>
          </cell>
          <cell r="G678" t="str">
            <v>SAO</v>
          </cell>
          <cell r="H678" t="str">
            <v>SREYPICH</v>
          </cell>
          <cell r="I678" t="str">
            <v>SAOSREYPICH</v>
          </cell>
          <cell r="J678" t="str">
            <v>ស្រី</v>
          </cell>
          <cell r="K678">
            <v>35796</v>
          </cell>
          <cell r="L678">
            <v>43833</v>
          </cell>
        </row>
        <row r="679">
          <cell r="C679">
            <v>3918</v>
          </cell>
          <cell r="D679" t="str">
            <v>ញិល</v>
          </cell>
          <cell r="E679" t="str">
            <v>ឆាំ</v>
          </cell>
          <cell r="F679" t="str">
            <v>ញិលឆាំ</v>
          </cell>
          <cell r="G679" t="str">
            <v>NHIL</v>
          </cell>
          <cell r="H679" t="str">
            <v>CHHOM</v>
          </cell>
          <cell r="I679" t="str">
            <v>NHILCHHOM</v>
          </cell>
          <cell r="J679" t="str">
            <v>ស្រី</v>
          </cell>
          <cell r="K679">
            <v>33734</v>
          </cell>
          <cell r="L679">
            <v>43833</v>
          </cell>
        </row>
        <row r="680">
          <cell r="C680">
            <v>3930</v>
          </cell>
          <cell r="D680" t="str">
            <v>ចែត</v>
          </cell>
          <cell r="E680" t="str">
            <v>ហ៊ាប</v>
          </cell>
          <cell r="F680" t="str">
            <v>ចែតហ៊ាប</v>
          </cell>
          <cell r="G680" t="str">
            <v>CHET</v>
          </cell>
          <cell r="H680" t="str">
            <v>HEAB</v>
          </cell>
          <cell r="I680" t="str">
            <v>CHETHEAB</v>
          </cell>
          <cell r="J680" t="str">
            <v>ស្រី</v>
          </cell>
          <cell r="K680">
            <v>26245</v>
          </cell>
          <cell r="L680">
            <v>43840</v>
          </cell>
        </row>
        <row r="681">
          <cell r="C681">
            <v>3919</v>
          </cell>
          <cell r="D681" t="str">
            <v>សៀង</v>
          </cell>
          <cell r="E681" t="str">
            <v>ណាវី</v>
          </cell>
          <cell r="F681" t="str">
            <v>សៀងណាវី</v>
          </cell>
          <cell r="G681" t="str">
            <v>SEANG</v>
          </cell>
          <cell r="H681" t="str">
            <v>NAVY</v>
          </cell>
          <cell r="I681" t="str">
            <v>SEANGNAVY</v>
          </cell>
          <cell r="J681" t="str">
            <v>ស្រី</v>
          </cell>
          <cell r="K681">
            <v>34621</v>
          </cell>
          <cell r="L681">
            <v>43834</v>
          </cell>
        </row>
        <row r="682">
          <cell r="C682">
            <v>3909</v>
          </cell>
          <cell r="D682" t="str">
            <v>គឹម</v>
          </cell>
          <cell r="E682" t="str">
            <v>ច័ន្ទសុក្រឹត</v>
          </cell>
          <cell r="F682" t="str">
            <v>គឹមច័ន្ទសុក្រឹត</v>
          </cell>
          <cell r="G682" t="str">
            <v>KIM</v>
          </cell>
          <cell r="H682" t="str">
            <v>CHANSOKRET</v>
          </cell>
          <cell r="I682" t="str">
            <v>KIMCHANSOKRET</v>
          </cell>
          <cell r="J682" t="str">
            <v>ប្រុស</v>
          </cell>
          <cell r="K682">
            <v>35380</v>
          </cell>
          <cell r="L682">
            <v>43832</v>
          </cell>
        </row>
        <row r="683">
          <cell r="C683">
            <v>3926</v>
          </cell>
          <cell r="D683" t="str">
            <v>សំ</v>
          </cell>
          <cell r="E683" t="str">
            <v>ស៊ីនួន</v>
          </cell>
          <cell r="F683" t="str">
            <v>សំស៊ីនួន</v>
          </cell>
          <cell r="G683" t="str">
            <v>SAM</v>
          </cell>
          <cell r="H683" t="str">
            <v>SINUON</v>
          </cell>
          <cell r="I683" t="str">
            <v>SAMSINUON</v>
          </cell>
          <cell r="J683" t="str">
            <v>ស្រី</v>
          </cell>
          <cell r="K683">
            <v>36559</v>
          </cell>
          <cell r="L683">
            <v>43839</v>
          </cell>
        </row>
        <row r="684">
          <cell r="C684">
            <v>3927</v>
          </cell>
          <cell r="D684" t="str">
            <v>កាន</v>
          </cell>
          <cell r="E684" t="str">
            <v>សុផា</v>
          </cell>
          <cell r="F684" t="str">
            <v>កានសុផា</v>
          </cell>
          <cell r="G684" t="str">
            <v>KAN</v>
          </cell>
          <cell r="H684" t="str">
            <v>SOPHA</v>
          </cell>
          <cell r="I684" t="str">
            <v>KANSOPHA</v>
          </cell>
          <cell r="J684" t="str">
            <v>ស្រី</v>
          </cell>
          <cell r="K684">
            <v>33212</v>
          </cell>
          <cell r="L684">
            <v>43839</v>
          </cell>
        </row>
        <row r="685">
          <cell r="C685">
            <v>3928</v>
          </cell>
          <cell r="D685" t="str">
            <v>តឹក</v>
          </cell>
          <cell r="E685" t="str">
            <v>សុខា</v>
          </cell>
          <cell r="F685" t="str">
            <v>តឹកសុខា</v>
          </cell>
          <cell r="G685" t="str">
            <v>TOEK</v>
          </cell>
          <cell r="H685" t="str">
            <v>SOKHA</v>
          </cell>
          <cell r="I685" t="str">
            <v>TOEKSOKHA</v>
          </cell>
          <cell r="J685" t="str">
            <v>ស្រី</v>
          </cell>
          <cell r="K685">
            <v>28230</v>
          </cell>
          <cell r="L685">
            <v>43839</v>
          </cell>
        </row>
        <row r="686">
          <cell r="C686">
            <v>3922</v>
          </cell>
          <cell r="D686" t="str">
            <v>អេង</v>
          </cell>
          <cell r="E686" t="str">
            <v>នារតី</v>
          </cell>
          <cell r="F686" t="str">
            <v>អេងនារតី</v>
          </cell>
          <cell r="G686" t="str">
            <v>ENG</v>
          </cell>
          <cell r="H686" t="str">
            <v>NEARADEY</v>
          </cell>
          <cell r="I686" t="str">
            <v>ENGNEARADEY</v>
          </cell>
          <cell r="J686" t="str">
            <v>ស្រី</v>
          </cell>
          <cell r="K686">
            <v>31917</v>
          </cell>
          <cell r="L686">
            <v>43839</v>
          </cell>
        </row>
        <row r="687">
          <cell r="C687">
            <v>3908</v>
          </cell>
          <cell r="D687" t="str">
            <v>ជុំ</v>
          </cell>
          <cell r="E687" t="str">
            <v>ស្រីម៉ាប់</v>
          </cell>
          <cell r="F687" t="str">
            <v>ជុំស្រីម៉ាប់</v>
          </cell>
          <cell r="G687" t="str">
            <v>CHUM</v>
          </cell>
          <cell r="H687" t="str">
            <v>SREYMAB</v>
          </cell>
          <cell r="I687" t="str">
            <v>CHUMSREYMAB</v>
          </cell>
          <cell r="J687" t="str">
            <v>ស្រី</v>
          </cell>
          <cell r="K687">
            <v>35367</v>
          </cell>
          <cell r="L687">
            <v>43832</v>
          </cell>
        </row>
        <row r="688">
          <cell r="C688">
            <v>3907</v>
          </cell>
          <cell r="D688" t="str">
            <v>សៀន</v>
          </cell>
          <cell r="E688" t="str">
            <v>កែវ</v>
          </cell>
          <cell r="F688" t="str">
            <v>សៀនកែវ</v>
          </cell>
          <cell r="G688" t="str">
            <v>SIEN</v>
          </cell>
          <cell r="H688" t="str">
            <v>KEO</v>
          </cell>
          <cell r="I688" t="str">
            <v>SIENKEO</v>
          </cell>
          <cell r="J688" t="str">
            <v>ស្រី</v>
          </cell>
          <cell r="K688">
            <v>36932</v>
          </cell>
          <cell r="L688">
            <v>43832</v>
          </cell>
        </row>
        <row r="689">
          <cell r="C689">
            <v>3910</v>
          </cell>
          <cell r="D689" t="str">
            <v>សៅ</v>
          </cell>
          <cell r="E689" t="str">
            <v>ស្រីរ័ត្ន</v>
          </cell>
          <cell r="F689" t="str">
            <v>សៅស្រីរ័ត្ន</v>
          </cell>
          <cell r="G689" t="str">
            <v>SAO</v>
          </cell>
          <cell r="H689" t="str">
            <v>SREYROTH</v>
          </cell>
          <cell r="I689" t="str">
            <v>SAOSREYROTH</v>
          </cell>
          <cell r="J689" t="str">
            <v>ស្រី</v>
          </cell>
          <cell r="K689">
            <v>33092</v>
          </cell>
          <cell r="L689">
            <v>43833</v>
          </cell>
        </row>
        <row r="690">
          <cell r="C690">
            <v>3932</v>
          </cell>
          <cell r="D690" t="str">
            <v>ហ៊ូ</v>
          </cell>
          <cell r="E690" t="str">
            <v>ធីតា</v>
          </cell>
          <cell r="F690" t="str">
            <v>ហ៊ូធីតា</v>
          </cell>
          <cell r="G690" t="str">
            <v>HOU</v>
          </cell>
          <cell r="H690" t="str">
            <v>THIDA</v>
          </cell>
          <cell r="I690" t="str">
            <v>HOUTHIDA</v>
          </cell>
          <cell r="J690" t="str">
            <v>ស្រី</v>
          </cell>
          <cell r="K690">
            <v>34739</v>
          </cell>
          <cell r="L690">
            <v>43840</v>
          </cell>
        </row>
        <row r="691">
          <cell r="C691">
            <v>3929</v>
          </cell>
          <cell r="D691" t="str">
            <v>យ៉ែម</v>
          </cell>
          <cell r="E691" t="str">
            <v>ស្រីទូច</v>
          </cell>
          <cell r="F691" t="str">
            <v>យ៉ែមស្រីទូច</v>
          </cell>
          <cell r="G691" t="str">
            <v>YEM</v>
          </cell>
          <cell r="H691" t="str">
            <v>SREYTOUCH</v>
          </cell>
          <cell r="I691" t="str">
            <v>YEMSREYTOUCH</v>
          </cell>
          <cell r="J691" t="str">
            <v>ស្រី</v>
          </cell>
          <cell r="K691">
            <v>30331</v>
          </cell>
          <cell r="L691">
            <v>43839</v>
          </cell>
        </row>
        <row r="692">
          <cell r="C692">
            <v>4110</v>
          </cell>
          <cell r="D692" t="str">
            <v>វ៉ាន់</v>
          </cell>
          <cell r="E692" t="str">
            <v>សាង</v>
          </cell>
          <cell r="F692" t="str">
            <v>វ៉ាន់សាង</v>
          </cell>
          <cell r="G692" t="str">
            <v>VAN</v>
          </cell>
          <cell r="H692" t="str">
            <v>SANG</v>
          </cell>
          <cell r="I692" t="str">
            <v>VANSANG</v>
          </cell>
          <cell r="J692" t="str">
            <v>ស្រី</v>
          </cell>
          <cell r="K692">
            <v>34124</v>
          </cell>
          <cell r="L692">
            <v>43833</v>
          </cell>
        </row>
        <row r="693">
          <cell r="C693">
            <v>4109</v>
          </cell>
          <cell r="D693" t="str">
            <v>ធឹប</v>
          </cell>
          <cell r="E693" t="str">
            <v>ស</v>
          </cell>
          <cell r="F693" t="str">
            <v>ធឹបស</v>
          </cell>
          <cell r="G693" t="str">
            <v>THOEB</v>
          </cell>
          <cell r="H693" t="str">
            <v>SOR</v>
          </cell>
          <cell r="I693" t="str">
            <v>THOEBSOR</v>
          </cell>
          <cell r="J693" t="str">
            <v>ស្រី</v>
          </cell>
          <cell r="K693">
            <v>33584</v>
          </cell>
          <cell r="L693">
            <v>43833</v>
          </cell>
        </row>
        <row r="694">
          <cell r="C694">
            <v>4107</v>
          </cell>
          <cell r="D694" t="str">
            <v>ខេម</v>
          </cell>
          <cell r="E694" t="str">
            <v>សុខុម</v>
          </cell>
          <cell r="F694" t="str">
            <v>ខេមសុខុម</v>
          </cell>
          <cell r="G694" t="str">
            <v>KHEM</v>
          </cell>
          <cell r="H694" t="str">
            <v>SOKHUM</v>
          </cell>
          <cell r="I694" t="str">
            <v>KHEMSOKHUM</v>
          </cell>
          <cell r="J694" t="str">
            <v>ស្រី</v>
          </cell>
          <cell r="K694">
            <v>30470</v>
          </cell>
          <cell r="L694">
            <v>43833</v>
          </cell>
        </row>
        <row r="695">
          <cell r="C695">
            <v>4115</v>
          </cell>
          <cell r="D695" t="str">
            <v>ង៉ោល</v>
          </cell>
          <cell r="E695" t="str">
            <v>សុម៉ាលី</v>
          </cell>
          <cell r="F695" t="str">
            <v>ង៉ោលសុម៉ាលី</v>
          </cell>
          <cell r="G695" t="str">
            <v>NGORL</v>
          </cell>
          <cell r="H695" t="str">
            <v>SOMALY</v>
          </cell>
          <cell r="I695" t="str">
            <v>NGORLSOMALY</v>
          </cell>
          <cell r="J695" t="str">
            <v>ស្រី</v>
          </cell>
          <cell r="K695">
            <v>30385</v>
          </cell>
          <cell r="L695">
            <v>43834</v>
          </cell>
        </row>
        <row r="696">
          <cell r="C696">
            <v>4105</v>
          </cell>
          <cell r="D696" t="str">
            <v>ចន</v>
          </cell>
          <cell r="E696" t="str">
            <v>ស្រីលក្ខណ៍</v>
          </cell>
          <cell r="F696" t="str">
            <v>ចនស្រីលក្ខណ៍</v>
          </cell>
          <cell r="G696" t="str">
            <v>CHORN</v>
          </cell>
          <cell r="H696" t="str">
            <v>SREYLAK</v>
          </cell>
          <cell r="I696" t="str">
            <v>CHORNSREYLAK</v>
          </cell>
          <cell r="J696" t="str">
            <v>ស្រី</v>
          </cell>
          <cell r="K696">
            <v>34935</v>
          </cell>
          <cell r="L696">
            <v>43833</v>
          </cell>
        </row>
        <row r="697">
          <cell r="C697">
            <v>4118</v>
          </cell>
          <cell r="D697" t="str">
            <v>នុត</v>
          </cell>
          <cell r="E697" t="str">
            <v>ភុត</v>
          </cell>
          <cell r="F697" t="str">
            <v>នុតភុត</v>
          </cell>
          <cell r="G697" t="str">
            <v>NUT</v>
          </cell>
          <cell r="H697" t="str">
            <v>PHUT</v>
          </cell>
          <cell r="I697" t="str">
            <v>NUTPHUT</v>
          </cell>
          <cell r="J697" t="str">
            <v>ស្រី</v>
          </cell>
          <cell r="K697">
            <v>36571</v>
          </cell>
          <cell r="L697">
            <v>43833</v>
          </cell>
        </row>
        <row r="698">
          <cell r="C698">
            <v>4112</v>
          </cell>
          <cell r="D698" t="str">
            <v>យឿន</v>
          </cell>
          <cell r="E698" t="str">
            <v>រ៉ា</v>
          </cell>
          <cell r="F698" t="str">
            <v>យឿនរ៉ា</v>
          </cell>
          <cell r="G698" t="str">
            <v>YOEURN</v>
          </cell>
          <cell r="H698" t="str">
            <v>RA</v>
          </cell>
          <cell r="I698" t="str">
            <v>YOEURNRA</v>
          </cell>
          <cell r="J698" t="str">
            <v>ប្រុស</v>
          </cell>
          <cell r="K698">
            <v>33513</v>
          </cell>
          <cell r="L698">
            <v>43834</v>
          </cell>
        </row>
        <row r="699">
          <cell r="C699">
            <v>4113</v>
          </cell>
          <cell r="D699" t="str">
            <v>ថោ</v>
          </cell>
          <cell r="E699" t="str">
            <v>ស៊ីរេង</v>
          </cell>
          <cell r="F699" t="str">
            <v>ថោស៊ីរេង</v>
          </cell>
          <cell r="G699" t="str">
            <v>THAO</v>
          </cell>
          <cell r="H699" t="str">
            <v>SYRENG</v>
          </cell>
          <cell r="I699" t="str">
            <v>THAOSYRENG</v>
          </cell>
          <cell r="J699" t="str">
            <v>ស្រី</v>
          </cell>
          <cell r="K699">
            <v>28407</v>
          </cell>
          <cell r="L699">
            <v>43834</v>
          </cell>
        </row>
        <row r="700">
          <cell r="C700">
            <v>4117</v>
          </cell>
          <cell r="D700" t="str">
            <v>អ៊ាប</v>
          </cell>
          <cell r="E700" t="str">
            <v>សុភ័ស</v>
          </cell>
          <cell r="F700" t="str">
            <v>អ៊ាបសុភ័ស</v>
          </cell>
          <cell r="G700" t="str">
            <v>EAP</v>
          </cell>
          <cell r="H700" t="str">
            <v>SOPHAS</v>
          </cell>
          <cell r="I700" t="str">
            <v>EAPSOPHAS</v>
          </cell>
          <cell r="J700" t="str">
            <v>ស្រី</v>
          </cell>
          <cell r="K700">
            <v>36649</v>
          </cell>
          <cell r="L700">
            <v>43833</v>
          </cell>
        </row>
        <row r="701">
          <cell r="C701">
            <v>3936</v>
          </cell>
          <cell r="D701" t="str">
            <v>រិទ្ធ</v>
          </cell>
          <cell r="E701" t="str">
            <v>ធី</v>
          </cell>
          <cell r="F701" t="str">
            <v>រិទ្ធធី</v>
          </cell>
          <cell r="G701" t="str">
            <v>RITH</v>
          </cell>
          <cell r="H701" t="str">
            <v>THY</v>
          </cell>
          <cell r="I701" t="str">
            <v>RITHTHY</v>
          </cell>
          <cell r="J701" t="str">
            <v>ស្រី</v>
          </cell>
          <cell r="K701">
            <v>32296</v>
          </cell>
          <cell r="L701">
            <v>43844</v>
          </cell>
        </row>
        <row r="702">
          <cell r="C702">
            <v>3940</v>
          </cell>
          <cell r="D702" t="str">
            <v>មាឃ</v>
          </cell>
          <cell r="E702" t="str">
            <v>ចិន</v>
          </cell>
          <cell r="F702" t="str">
            <v>មាឃចិន</v>
          </cell>
          <cell r="G702" t="str">
            <v>MEAK</v>
          </cell>
          <cell r="H702" t="str">
            <v>CHIN</v>
          </cell>
          <cell r="I702" t="str">
            <v>MEAKCHIN</v>
          </cell>
          <cell r="J702" t="str">
            <v>ស្រី</v>
          </cell>
          <cell r="K702">
            <v>33044</v>
          </cell>
          <cell r="L702">
            <v>43844</v>
          </cell>
        </row>
        <row r="703">
          <cell r="C703">
            <v>3945</v>
          </cell>
          <cell r="D703" t="str">
            <v>រិត</v>
          </cell>
          <cell r="E703" t="str">
            <v>ចាន់រ៉ែន</v>
          </cell>
          <cell r="F703" t="str">
            <v>រិតចាន់រ៉ែន</v>
          </cell>
          <cell r="G703" t="str">
            <v>RET</v>
          </cell>
          <cell r="H703" t="str">
            <v>CHANREN</v>
          </cell>
          <cell r="I703" t="str">
            <v>RETCHANREN</v>
          </cell>
          <cell r="J703" t="str">
            <v>ស្រី</v>
          </cell>
          <cell r="K703">
            <v>33480</v>
          </cell>
          <cell r="L703">
            <v>43845</v>
          </cell>
        </row>
        <row r="704">
          <cell r="C704">
            <v>3947</v>
          </cell>
          <cell r="D704" t="str">
            <v>នី</v>
          </cell>
          <cell r="E704" t="str">
            <v>ស៊ីនាត</v>
          </cell>
          <cell r="F704" t="str">
            <v>នីស៊ីនាត</v>
          </cell>
          <cell r="G704" t="str">
            <v>NY</v>
          </cell>
          <cell r="H704" t="str">
            <v>SINEAT</v>
          </cell>
          <cell r="I704" t="str">
            <v>NYSINEAT</v>
          </cell>
          <cell r="J704" t="str">
            <v>ប្រុស</v>
          </cell>
          <cell r="K704">
            <v>36320</v>
          </cell>
          <cell r="L704">
            <v>43845</v>
          </cell>
        </row>
        <row r="705">
          <cell r="C705">
            <v>4119</v>
          </cell>
          <cell r="D705" t="str">
            <v>ចៅ</v>
          </cell>
          <cell r="E705" t="str">
            <v>គៀរ</v>
          </cell>
          <cell r="F705" t="str">
            <v>ចៅគៀរ</v>
          </cell>
          <cell r="G705" t="str">
            <v>CHAO</v>
          </cell>
          <cell r="H705" t="str">
            <v>KEAR</v>
          </cell>
          <cell r="I705" t="str">
            <v>CHAOKEAR</v>
          </cell>
          <cell r="J705" t="str">
            <v>ស្រី</v>
          </cell>
          <cell r="K705">
            <v>36221</v>
          </cell>
          <cell r="L705">
            <v>43837</v>
          </cell>
        </row>
        <row r="706">
          <cell r="C706">
            <v>3950</v>
          </cell>
          <cell r="D706" t="str">
            <v>វ៉ា</v>
          </cell>
          <cell r="E706" t="str">
            <v>ជូរី</v>
          </cell>
          <cell r="F706" t="str">
            <v>វ៉ាជូរី</v>
          </cell>
          <cell r="G706" t="str">
            <v>VA</v>
          </cell>
          <cell r="H706" t="str">
            <v>CHOURY</v>
          </cell>
          <cell r="I706" t="str">
            <v>VACHOURY</v>
          </cell>
          <cell r="J706" t="str">
            <v>ស្រី</v>
          </cell>
          <cell r="K706">
            <v>35816</v>
          </cell>
          <cell r="L706">
            <v>43846</v>
          </cell>
        </row>
        <row r="707">
          <cell r="C707">
            <v>3958</v>
          </cell>
          <cell r="D707" t="str">
            <v>មិន</v>
          </cell>
          <cell r="E707" t="str">
            <v>សាវឿន</v>
          </cell>
          <cell r="F707" t="str">
            <v>មិនសាវឿន</v>
          </cell>
          <cell r="G707" t="str">
            <v>MIN</v>
          </cell>
          <cell r="H707" t="str">
            <v>SAVOEUN</v>
          </cell>
          <cell r="I707" t="str">
            <v>MINSAVOEUN</v>
          </cell>
          <cell r="J707" t="str">
            <v>ស្រី</v>
          </cell>
          <cell r="K707">
            <v>31766</v>
          </cell>
          <cell r="L707">
            <v>43851</v>
          </cell>
        </row>
        <row r="708">
          <cell r="C708">
            <v>3956</v>
          </cell>
          <cell r="D708" t="str">
            <v>វ៉ិត</v>
          </cell>
          <cell r="E708" t="str">
            <v>ផល្លី</v>
          </cell>
          <cell r="F708" t="str">
            <v>វ៉ិតផល្លី</v>
          </cell>
          <cell r="G708" t="str">
            <v>VIT</v>
          </cell>
          <cell r="H708" t="str">
            <v>PHALLY</v>
          </cell>
          <cell r="I708" t="str">
            <v>VITPHALLY</v>
          </cell>
          <cell r="J708" t="str">
            <v>ស្រី</v>
          </cell>
          <cell r="K708">
            <v>36046</v>
          </cell>
          <cell r="L708">
            <v>43851</v>
          </cell>
        </row>
        <row r="709">
          <cell r="C709">
            <v>3960</v>
          </cell>
          <cell r="D709" t="str">
            <v>ហង់</v>
          </cell>
          <cell r="E709" t="str">
            <v>ចាន់នី</v>
          </cell>
          <cell r="F709" t="str">
            <v>ហង់ចាន់នី</v>
          </cell>
          <cell r="G709" t="str">
            <v>HANG</v>
          </cell>
          <cell r="H709" t="str">
            <v>CHANNY</v>
          </cell>
          <cell r="I709" t="str">
            <v>HANGCHANNY</v>
          </cell>
          <cell r="J709" t="str">
            <v>ស្រី</v>
          </cell>
          <cell r="K709">
            <v>31483</v>
          </cell>
          <cell r="L709">
            <v>43851</v>
          </cell>
        </row>
        <row r="710">
          <cell r="C710">
            <v>3938</v>
          </cell>
          <cell r="D710" t="str">
            <v>ធុន</v>
          </cell>
          <cell r="E710" t="str">
            <v>ចំរើន</v>
          </cell>
          <cell r="F710" t="str">
            <v>ធុនចំរើន</v>
          </cell>
          <cell r="G710" t="str">
            <v>THUN</v>
          </cell>
          <cell r="H710" t="str">
            <v>CHAMROERN</v>
          </cell>
          <cell r="I710" t="str">
            <v>THUNCHAMROERN</v>
          </cell>
          <cell r="J710" t="str">
            <v>ស្រី</v>
          </cell>
          <cell r="K710">
            <v>32663</v>
          </cell>
          <cell r="L710">
            <v>43844</v>
          </cell>
        </row>
        <row r="711">
          <cell r="C711">
            <v>3948</v>
          </cell>
          <cell r="D711" t="str">
            <v>មាស</v>
          </cell>
          <cell r="E711" t="str">
            <v>ស្រីនាង</v>
          </cell>
          <cell r="F711" t="str">
            <v>មាសស្រីនាង</v>
          </cell>
          <cell r="G711" t="str">
            <v>MEAS</v>
          </cell>
          <cell r="H711" t="str">
            <v>SREYNEANG</v>
          </cell>
          <cell r="I711" t="str">
            <v>MEASSREYNEANG</v>
          </cell>
          <cell r="J711" t="str">
            <v>ស្រី</v>
          </cell>
          <cell r="K711">
            <v>36842</v>
          </cell>
          <cell r="L711">
            <v>43845</v>
          </cell>
        </row>
        <row r="712">
          <cell r="C712">
            <v>4121</v>
          </cell>
          <cell r="D712" t="str">
            <v>នូ</v>
          </cell>
          <cell r="E712" t="str">
            <v>ស៊ីណាត</v>
          </cell>
          <cell r="F712" t="str">
            <v>នូស៊ីណាត</v>
          </cell>
          <cell r="G712" t="str">
            <v>NOV</v>
          </cell>
          <cell r="H712" t="str">
            <v>SINATH</v>
          </cell>
          <cell r="I712" t="str">
            <v>NOVSINATH</v>
          </cell>
          <cell r="J712" t="str">
            <v>ស្រី</v>
          </cell>
          <cell r="K712">
            <v>31665</v>
          </cell>
          <cell r="L712">
            <v>43839</v>
          </cell>
        </row>
        <row r="713">
          <cell r="C713">
            <v>4122</v>
          </cell>
          <cell r="D713" t="str">
            <v>ភាន</v>
          </cell>
          <cell r="E713" t="str">
            <v>ភីរ៉ា</v>
          </cell>
          <cell r="F713" t="str">
            <v>ភានភីរ៉ា</v>
          </cell>
          <cell r="G713" t="str">
            <v>PHEAN</v>
          </cell>
          <cell r="H713" t="str">
            <v>PHIRA</v>
          </cell>
          <cell r="I713" t="str">
            <v>PHEANPHIRA</v>
          </cell>
          <cell r="J713" t="str">
            <v>ស្រី</v>
          </cell>
          <cell r="K713">
            <v>30773</v>
          </cell>
          <cell r="L713">
            <v>43839</v>
          </cell>
        </row>
        <row r="714">
          <cell r="C714">
            <v>4135</v>
          </cell>
          <cell r="D714" t="str">
            <v>សែម</v>
          </cell>
          <cell r="E714" t="str">
            <v>សូវៀត</v>
          </cell>
          <cell r="F714" t="str">
            <v>សែមសូវៀត</v>
          </cell>
          <cell r="G714" t="str">
            <v>SEM</v>
          </cell>
          <cell r="H714" t="str">
            <v>SOVIET</v>
          </cell>
          <cell r="I714" t="str">
            <v>SEMSOVIET</v>
          </cell>
          <cell r="J714" t="str">
            <v>ស្រី</v>
          </cell>
          <cell r="K714">
            <v>29752</v>
          </cell>
          <cell r="L714">
            <v>43844</v>
          </cell>
        </row>
        <row r="715">
          <cell r="C715">
            <v>4128</v>
          </cell>
          <cell r="D715" t="str">
            <v>សៀន</v>
          </cell>
          <cell r="E715" t="str">
            <v>តូច</v>
          </cell>
          <cell r="F715" t="str">
            <v>សៀនតូច</v>
          </cell>
          <cell r="G715" t="str">
            <v>SEAN</v>
          </cell>
          <cell r="H715" t="str">
            <v>TOCH</v>
          </cell>
          <cell r="I715" t="str">
            <v>SEANTOCH</v>
          </cell>
          <cell r="J715" t="str">
            <v>ស្រី</v>
          </cell>
          <cell r="K715">
            <v>32454</v>
          </cell>
          <cell r="L715">
            <v>43844</v>
          </cell>
        </row>
        <row r="716">
          <cell r="C716">
            <v>4136</v>
          </cell>
          <cell r="D716" t="str">
            <v>គង់</v>
          </cell>
          <cell r="E716" t="str">
            <v>សុខណេង</v>
          </cell>
          <cell r="F716" t="str">
            <v>គង់សុខណេង</v>
          </cell>
          <cell r="G716" t="str">
            <v>KONG</v>
          </cell>
          <cell r="H716" t="str">
            <v>SOKNANG</v>
          </cell>
          <cell r="I716" t="str">
            <v>KONGSOKNANG</v>
          </cell>
          <cell r="J716" t="str">
            <v>ស្រី</v>
          </cell>
          <cell r="K716">
            <v>36597</v>
          </cell>
          <cell r="L716">
            <v>43845</v>
          </cell>
        </row>
        <row r="717">
          <cell r="C717">
            <v>4120</v>
          </cell>
          <cell r="D717" t="str">
            <v>ភួង</v>
          </cell>
          <cell r="E717" t="str">
            <v>សន</v>
          </cell>
          <cell r="F717" t="str">
            <v>ភួងសន</v>
          </cell>
          <cell r="G717" t="str">
            <v>POUNG</v>
          </cell>
          <cell r="H717" t="str">
            <v>SORN</v>
          </cell>
          <cell r="I717" t="str">
            <v>POUNGSORN</v>
          </cell>
          <cell r="J717" t="str">
            <v>ស្រី</v>
          </cell>
          <cell r="K717">
            <v>31521</v>
          </cell>
          <cell r="L717">
            <v>43839</v>
          </cell>
        </row>
        <row r="718">
          <cell r="C718">
            <v>4104</v>
          </cell>
          <cell r="D718" t="str">
            <v>យិន</v>
          </cell>
          <cell r="E718" t="str">
            <v>សាស៊ីហេង</v>
          </cell>
          <cell r="F718" t="str">
            <v>យិនសាស៊ីហេង</v>
          </cell>
          <cell r="G718" t="str">
            <v>YIN</v>
          </cell>
          <cell r="H718" t="str">
            <v>SASYHENG</v>
          </cell>
          <cell r="I718" t="str">
            <v>YINSASYHENG</v>
          </cell>
          <cell r="J718" t="str">
            <v>ស្រី</v>
          </cell>
          <cell r="K718">
            <v>37222</v>
          </cell>
          <cell r="L718">
            <v>43832</v>
          </cell>
        </row>
        <row r="719">
          <cell r="C719">
            <v>4124</v>
          </cell>
          <cell r="D719" t="str">
            <v>ផែ</v>
          </cell>
          <cell r="E719" t="str">
            <v>ពិនូ</v>
          </cell>
          <cell r="F719" t="str">
            <v>ផែពិនូ</v>
          </cell>
          <cell r="G719" t="str">
            <v>PHE</v>
          </cell>
          <cell r="H719" t="str">
            <v>PINOU</v>
          </cell>
          <cell r="I719" t="str">
            <v>PHEPINOU</v>
          </cell>
          <cell r="J719" t="str">
            <v>ប្រុស</v>
          </cell>
          <cell r="K719">
            <v>36131</v>
          </cell>
          <cell r="L719">
            <v>43840</v>
          </cell>
        </row>
        <row r="720">
          <cell r="C720">
            <v>4126</v>
          </cell>
          <cell r="D720" t="str">
            <v>មឿន</v>
          </cell>
          <cell r="E720" t="str">
            <v>នូសុខវិច្ឆកា</v>
          </cell>
          <cell r="F720" t="str">
            <v>មឿននូសុខវិច្ឆកា</v>
          </cell>
          <cell r="G720" t="str">
            <v>MOEUN</v>
          </cell>
          <cell r="H720" t="str">
            <v>NOU SOKVICHHIKA</v>
          </cell>
          <cell r="I720" t="str">
            <v>MOEUNNOU SOKVICHHIKA</v>
          </cell>
          <cell r="J720" t="str">
            <v>ប្រុស</v>
          </cell>
          <cell r="K720">
            <v>34278</v>
          </cell>
          <cell r="L720">
            <v>43841</v>
          </cell>
        </row>
        <row r="721">
          <cell r="C721">
            <v>4130</v>
          </cell>
          <cell r="D721" t="str">
            <v>ប៉ែន</v>
          </cell>
          <cell r="E721" t="str">
            <v>ស្រីនួន</v>
          </cell>
          <cell r="F721" t="str">
            <v>ប៉ែនស្រីនួន</v>
          </cell>
          <cell r="G721" t="str">
            <v>PEN</v>
          </cell>
          <cell r="H721" t="str">
            <v>SREYNUON</v>
          </cell>
          <cell r="I721" t="str">
            <v>PENSREYNUON</v>
          </cell>
          <cell r="J721" t="str">
            <v>ស្រី</v>
          </cell>
          <cell r="K721">
            <v>30142</v>
          </cell>
          <cell r="L721">
            <v>43832</v>
          </cell>
        </row>
        <row r="722">
          <cell r="C722">
            <v>4133</v>
          </cell>
          <cell r="D722" t="str">
            <v>គួន</v>
          </cell>
          <cell r="E722" t="str">
            <v>គង្គា</v>
          </cell>
          <cell r="F722" t="str">
            <v>គួនគង្គា</v>
          </cell>
          <cell r="G722" t="str">
            <v>KUON</v>
          </cell>
          <cell r="H722" t="str">
            <v>KUNGKEA</v>
          </cell>
          <cell r="I722" t="str">
            <v>KUONKUNGKEA</v>
          </cell>
          <cell r="J722" t="str">
            <v>ស្រី</v>
          </cell>
          <cell r="K722">
            <v>34857</v>
          </cell>
          <cell r="L722">
            <v>43844</v>
          </cell>
        </row>
        <row r="723">
          <cell r="C723">
            <v>4137</v>
          </cell>
          <cell r="D723" t="str">
            <v>ភួង</v>
          </cell>
          <cell r="E723" t="str">
            <v>វិច្ឆិកា</v>
          </cell>
          <cell r="F723" t="str">
            <v>ភួងវិច្ឆិកា</v>
          </cell>
          <cell r="G723" t="str">
            <v>PHOUNG</v>
          </cell>
          <cell r="H723" t="str">
            <v>VICHEKA</v>
          </cell>
          <cell r="I723" t="str">
            <v>PHOUNGVICHEKA</v>
          </cell>
          <cell r="J723" t="str">
            <v>ស្រី</v>
          </cell>
          <cell r="K723">
            <v>35395</v>
          </cell>
          <cell r="L723">
            <v>43844</v>
          </cell>
        </row>
        <row r="724">
          <cell r="C724">
            <v>3966</v>
          </cell>
          <cell r="D724" t="str">
            <v>ផាត</v>
          </cell>
          <cell r="E724" t="str">
            <v>សុភាព</v>
          </cell>
          <cell r="F724" t="str">
            <v>ផាតសុភាព</v>
          </cell>
          <cell r="G724" t="str">
            <v>PHAT</v>
          </cell>
          <cell r="H724" t="str">
            <v>SOPHEAP</v>
          </cell>
          <cell r="I724" t="str">
            <v>PHATSOPHEAP</v>
          </cell>
          <cell r="J724" t="str">
            <v>ស្រី</v>
          </cell>
          <cell r="K724">
            <v>30143</v>
          </cell>
          <cell r="L724">
            <v>43852</v>
          </cell>
        </row>
        <row r="725">
          <cell r="C725">
            <v>3961</v>
          </cell>
          <cell r="D725" t="str">
            <v>ត្រេន</v>
          </cell>
          <cell r="E725" t="str">
            <v>សុខុម</v>
          </cell>
          <cell r="F725" t="str">
            <v>ត្រេនសុខុម</v>
          </cell>
          <cell r="G725" t="str">
            <v>TREN</v>
          </cell>
          <cell r="H725" t="str">
            <v>SOKHUM</v>
          </cell>
          <cell r="I725" t="str">
            <v>TRENSOKHUM</v>
          </cell>
          <cell r="J725" t="str">
            <v>ស្រី</v>
          </cell>
          <cell r="K725">
            <v>31694</v>
          </cell>
          <cell r="L725">
            <v>43852</v>
          </cell>
        </row>
        <row r="726">
          <cell r="C726">
            <v>3965</v>
          </cell>
          <cell r="D726" t="str">
            <v>នី</v>
          </cell>
          <cell r="E726" t="str">
            <v>ណៃយ៉ាន</v>
          </cell>
          <cell r="F726" t="str">
            <v>នីណៃយ៉ាន</v>
          </cell>
          <cell r="G726" t="str">
            <v>NY</v>
          </cell>
          <cell r="H726" t="str">
            <v>NAIYEAN</v>
          </cell>
          <cell r="I726" t="str">
            <v>NYNAIYEAN</v>
          </cell>
          <cell r="J726" t="str">
            <v>ស្រី</v>
          </cell>
          <cell r="K726">
            <v>34263</v>
          </cell>
          <cell r="L726">
            <v>43852</v>
          </cell>
        </row>
        <row r="727">
          <cell r="C727">
            <v>3964</v>
          </cell>
          <cell r="D727" t="str">
            <v>ហ៊ិន</v>
          </cell>
          <cell r="E727" t="str">
            <v>រិទ្ធ</v>
          </cell>
          <cell r="F727" t="str">
            <v>ហ៊ិនរិទ្ធ</v>
          </cell>
          <cell r="G727" t="str">
            <v>HIN</v>
          </cell>
          <cell r="H727" t="str">
            <v>RITH</v>
          </cell>
          <cell r="I727" t="str">
            <v>HINRITH</v>
          </cell>
          <cell r="J727" t="str">
            <v>ស្រី</v>
          </cell>
          <cell r="K727">
            <v>34091</v>
          </cell>
          <cell r="L727">
            <v>43852</v>
          </cell>
        </row>
        <row r="728">
          <cell r="C728">
            <v>3962</v>
          </cell>
          <cell r="D728" t="str">
            <v>ហ៊ឹម</v>
          </cell>
          <cell r="E728" t="str">
            <v>សុភី</v>
          </cell>
          <cell r="F728" t="str">
            <v>ហ៊ឹមសុភី</v>
          </cell>
          <cell r="G728" t="str">
            <v>HIM</v>
          </cell>
          <cell r="H728" t="str">
            <v>SOPHY</v>
          </cell>
          <cell r="I728" t="str">
            <v>HIMSOPHY</v>
          </cell>
          <cell r="J728" t="str">
            <v>ស្រី</v>
          </cell>
          <cell r="K728">
            <v>30172</v>
          </cell>
          <cell r="L728">
            <v>43852</v>
          </cell>
        </row>
        <row r="729">
          <cell r="C729">
            <v>3967</v>
          </cell>
          <cell r="D729" t="str">
            <v>ថៃ</v>
          </cell>
          <cell r="E729" t="str">
            <v>ណាត</v>
          </cell>
          <cell r="F729" t="str">
            <v>ថៃណាត</v>
          </cell>
          <cell r="G729" t="str">
            <v>THAI</v>
          </cell>
          <cell r="H729" t="str">
            <v>NAT</v>
          </cell>
          <cell r="I729" t="str">
            <v>THAINAT</v>
          </cell>
          <cell r="J729" t="str">
            <v>ស្រី</v>
          </cell>
          <cell r="K729">
            <v>29377</v>
          </cell>
          <cell r="L729">
            <v>43853</v>
          </cell>
        </row>
        <row r="730">
          <cell r="C730">
            <v>3955</v>
          </cell>
          <cell r="D730" t="str">
            <v>ប្រាក់</v>
          </cell>
          <cell r="E730" t="str">
            <v>រចនី</v>
          </cell>
          <cell r="F730" t="str">
            <v>ប្រាក់រចនី</v>
          </cell>
          <cell r="G730" t="str">
            <v>PRAK</v>
          </cell>
          <cell r="H730" t="str">
            <v>RACHNY</v>
          </cell>
          <cell r="I730" t="str">
            <v>PRAKRACHNY</v>
          </cell>
          <cell r="J730" t="str">
            <v>ស្រី</v>
          </cell>
          <cell r="K730">
            <v>35832</v>
          </cell>
          <cell r="L730">
            <v>43850</v>
          </cell>
        </row>
        <row r="731">
          <cell r="C731">
            <v>4138</v>
          </cell>
          <cell r="D731" t="str">
            <v>នេត</v>
          </cell>
          <cell r="E731" t="str">
            <v>ចាន់វ៉ាន់ឆៃ</v>
          </cell>
          <cell r="F731" t="str">
            <v>នេតចាន់វ៉ាន់ឆៃ</v>
          </cell>
          <cell r="G731" t="str">
            <v>NET</v>
          </cell>
          <cell r="H731" t="str">
            <v>CHANVANCHHAY</v>
          </cell>
          <cell r="I731" t="str">
            <v>NETCHANVANCHHAY</v>
          </cell>
          <cell r="J731" t="str">
            <v>ប្រុស</v>
          </cell>
          <cell r="K731">
            <v>35345</v>
          </cell>
          <cell r="L731">
            <v>43853</v>
          </cell>
        </row>
        <row r="732">
          <cell r="C732">
            <v>3729</v>
          </cell>
          <cell r="D732" t="str">
            <v>ប៉ាក</v>
          </cell>
          <cell r="E732" t="str">
            <v>ប្រុស</v>
          </cell>
          <cell r="F732" t="str">
            <v>ប៉ាកប្រុស</v>
          </cell>
          <cell r="G732" t="str">
            <v>PAK</v>
          </cell>
          <cell r="H732" t="str">
            <v>BROS</v>
          </cell>
          <cell r="I732" t="str">
            <v>PAKBROS</v>
          </cell>
          <cell r="J732" t="str">
            <v>ប្រុស</v>
          </cell>
          <cell r="K732">
            <v>34560</v>
          </cell>
          <cell r="L732">
            <v>43762</v>
          </cell>
        </row>
        <row r="733">
          <cell r="C733">
            <v>3603</v>
          </cell>
          <cell r="D733" t="str">
            <v>ជ័យ</v>
          </cell>
          <cell r="E733" t="str">
            <v>ប៊ុនធឿន</v>
          </cell>
          <cell r="F733" t="str">
            <v>ជ័យប៊ុនធឿន</v>
          </cell>
          <cell r="G733" t="str">
            <v>CHEY</v>
          </cell>
          <cell r="H733" t="str">
            <v>BUNTHOUEN</v>
          </cell>
          <cell r="I733" t="str">
            <v>CHEYBUNTHOUEN</v>
          </cell>
          <cell r="J733" t="str">
            <v>ប្រុស</v>
          </cell>
          <cell r="K733">
            <v>30900</v>
          </cell>
          <cell r="L733">
            <v>43753</v>
          </cell>
        </row>
        <row r="734">
          <cell r="C734">
            <v>3525</v>
          </cell>
          <cell r="D734" t="str">
            <v>កង</v>
          </cell>
          <cell r="E734" t="str">
            <v>ស្រីអូន</v>
          </cell>
          <cell r="F734" t="str">
            <v>កងស្រីអូន</v>
          </cell>
          <cell r="G734" t="str">
            <v>KANG</v>
          </cell>
          <cell r="H734" t="str">
            <v>SREYORN</v>
          </cell>
          <cell r="I734" t="str">
            <v>KANGSREYORN</v>
          </cell>
          <cell r="J734" t="str">
            <v>ស្រី</v>
          </cell>
          <cell r="K734">
            <v>36845</v>
          </cell>
          <cell r="L734">
            <v>43746</v>
          </cell>
        </row>
        <row r="735">
          <cell r="C735">
            <v>3983</v>
          </cell>
          <cell r="D735" t="str">
            <v>អ៊ុក</v>
          </cell>
          <cell r="E735" t="str">
            <v>ស្រីម៉ៅ</v>
          </cell>
          <cell r="F735" t="str">
            <v>អ៊ុកស្រីម៉ៅ</v>
          </cell>
          <cell r="G735" t="str">
            <v>UK</v>
          </cell>
          <cell r="H735" t="str">
            <v>SREYMAO</v>
          </cell>
          <cell r="I735" t="str">
            <v>UKSREYMAO</v>
          </cell>
          <cell r="J735" t="str">
            <v>ស្រី</v>
          </cell>
          <cell r="K735">
            <v>31938</v>
          </cell>
          <cell r="L735">
            <v>43862</v>
          </cell>
        </row>
        <row r="736">
          <cell r="C736">
            <v>3968</v>
          </cell>
          <cell r="D736" t="str">
            <v>លឹម</v>
          </cell>
          <cell r="E736" t="str">
            <v>ស៊ីថា</v>
          </cell>
          <cell r="F736" t="str">
            <v>លឹមស៊ីថា</v>
          </cell>
          <cell r="G736" t="str">
            <v>LIM</v>
          </cell>
          <cell r="H736" t="str">
            <v>SITHA</v>
          </cell>
          <cell r="I736" t="str">
            <v>LIMSITHA</v>
          </cell>
          <cell r="J736" t="str">
            <v>ប្រុស</v>
          </cell>
          <cell r="K736">
            <v>35585</v>
          </cell>
          <cell r="L736">
            <v>43862</v>
          </cell>
        </row>
        <row r="737">
          <cell r="C737">
            <v>3998</v>
          </cell>
          <cell r="D737" t="str">
            <v>អឿន</v>
          </cell>
          <cell r="E737" t="str">
            <v>ទីន</v>
          </cell>
          <cell r="F737" t="str">
            <v>អឿនទីន</v>
          </cell>
          <cell r="G737" t="str">
            <v>OEURN</v>
          </cell>
          <cell r="H737" t="str">
            <v>TIN</v>
          </cell>
          <cell r="I737" t="str">
            <v>OEURNTIN</v>
          </cell>
          <cell r="J737" t="str">
            <v>ស្រី</v>
          </cell>
          <cell r="K737">
            <v>31199</v>
          </cell>
          <cell r="L737">
            <v>43865</v>
          </cell>
        </row>
        <row r="738">
          <cell r="C738">
            <v>3997</v>
          </cell>
          <cell r="D738" t="str">
            <v>សេង</v>
          </cell>
          <cell r="E738" t="str">
            <v>សារឹម</v>
          </cell>
          <cell r="F738" t="str">
            <v>សេងសារឹម</v>
          </cell>
          <cell r="G738" t="str">
            <v>SENG</v>
          </cell>
          <cell r="H738" t="str">
            <v>SAROEM</v>
          </cell>
          <cell r="I738" t="str">
            <v>SENGSAROEM</v>
          </cell>
          <cell r="J738" t="str">
            <v>ស្រី</v>
          </cell>
          <cell r="K738">
            <v>33124</v>
          </cell>
          <cell r="L738">
            <v>43864</v>
          </cell>
        </row>
        <row r="739">
          <cell r="C739">
            <v>3988</v>
          </cell>
          <cell r="D739" t="str">
            <v>ហ៊ត</v>
          </cell>
          <cell r="E739" t="str">
            <v>លក្ខណា</v>
          </cell>
          <cell r="F739" t="str">
            <v>ហ៊តលក្ខណា</v>
          </cell>
          <cell r="G739" t="str">
            <v>HORT</v>
          </cell>
          <cell r="H739" t="str">
            <v>LEAKANA</v>
          </cell>
          <cell r="I739" t="str">
            <v>HORTLEAKANA</v>
          </cell>
          <cell r="J739" t="str">
            <v>ស្រី</v>
          </cell>
          <cell r="K739">
            <v>32661</v>
          </cell>
          <cell r="L739">
            <v>43864</v>
          </cell>
        </row>
        <row r="740">
          <cell r="C740">
            <v>4002</v>
          </cell>
          <cell r="D740" t="str">
            <v>ឈួន</v>
          </cell>
          <cell r="E740" t="str">
            <v>សារី</v>
          </cell>
          <cell r="F740" t="str">
            <v>ឈួនសារី</v>
          </cell>
          <cell r="G740" t="str">
            <v>CHHUON</v>
          </cell>
          <cell r="H740" t="str">
            <v>SARY</v>
          </cell>
          <cell r="I740" t="str">
            <v>CHHUONSARY</v>
          </cell>
          <cell r="J740" t="str">
            <v>ស្រី</v>
          </cell>
          <cell r="K740">
            <v>27946</v>
          </cell>
          <cell r="L740">
            <v>43865</v>
          </cell>
        </row>
        <row r="741">
          <cell r="C741">
            <v>4001</v>
          </cell>
          <cell r="D741" t="str">
            <v>ធួក</v>
          </cell>
          <cell r="E741" t="str">
            <v>ចន្រ្ទា</v>
          </cell>
          <cell r="F741" t="str">
            <v>ធួកចន្រ្ទា</v>
          </cell>
          <cell r="G741" t="str">
            <v>THUOK</v>
          </cell>
          <cell r="H741" t="str">
            <v>CHANTREA</v>
          </cell>
          <cell r="I741" t="str">
            <v>THUOKCHANTREA</v>
          </cell>
          <cell r="J741" t="str">
            <v>ស្រី</v>
          </cell>
          <cell r="K741">
            <v>32568</v>
          </cell>
          <cell r="L741">
            <v>43865</v>
          </cell>
        </row>
        <row r="742">
          <cell r="C742">
            <v>4027</v>
          </cell>
          <cell r="D742" t="str">
            <v>ណាវ</v>
          </cell>
          <cell r="E742" t="str">
            <v>គុន្ធា</v>
          </cell>
          <cell r="F742" t="str">
            <v>ណាវគុន្ធា</v>
          </cell>
          <cell r="G742" t="str">
            <v>NAV</v>
          </cell>
          <cell r="H742" t="str">
            <v>KUNTHEA</v>
          </cell>
          <cell r="I742" t="str">
            <v>NAVKUNTHEA</v>
          </cell>
          <cell r="J742" t="str">
            <v>ស្រី</v>
          </cell>
          <cell r="K742">
            <v>36251</v>
          </cell>
          <cell r="L742">
            <v>43879</v>
          </cell>
        </row>
        <row r="743">
          <cell r="C743">
            <v>4006</v>
          </cell>
          <cell r="D743" t="str">
            <v>ណុង</v>
          </cell>
          <cell r="E743" t="str">
            <v>សំអូន</v>
          </cell>
          <cell r="F743" t="str">
            <v>ណុងសំអូន</v>
          </cell>
          <cell r="G743" t="str">
            <v>NONG</v>
          </cell>
          <cell r="H743" t="str">
            <v>SAM OUN</v>
          </cell>
          <cell r="I743" t="str">
            <v>NONGSAM OUN</v>
          </cell>
          <cell r="J743" t="str">
            <v>ស្រី</v>
          </cell>
          <cell r="K743">
            <v>30900</v>
          </cell>
          <cell r="L743">
            <v>43866</v>
          </cell>
        </row>
        <row r="744">
          <cell r="C744">
            <v>4139</v>
          </cell>
          <cell r="D744" t="str">
            <v>ម៉ៅ</v>
          </cell>
          <cell r="E744" t="str">
            <v>សុខុម</v>
          </cell>
          <cell r="F744" t="str">
            <v>ម៉ៅសុខុម</v>
          </cell>
          <cell r="G744" t="str">
            <v>MAO</v>
          </cell>
          <cell r="H744" t="str">
            <v>SOKHOM</v>
          </cell>
          <cell r="I744" t="str">
            <v>MAOSOKHOM</v>
          </cell>
          <cell r="J744" t="str">
            <v>ប្រុស</v>
          </cell>
          <cell r="K744">
            <v>30747</v>
          </cell>
          <cell r="L744">
            <v>43864</v>
          </cell>
        </row>
        <row r="745">
          <cell r="C745">
            <v>4023</v>
          </cell>
          <cell r="D745" t="str">
            <v>ផាត់</v>
          </cell>
          <cell r="E745" t="str">
            <v>សារេម</v>
          </cell>
          <cell r="F745" t="str">
            <v>ផាត់សារេម</v>
          </cell>
          <cell r="G745" t="str">
            <v>PHAT</v>
          </cell>
          <cell r="H745" t="str">
            <v>SAREM</v>
          </cell>
          <cell r="I745" t="str">
            <v>PHATSAREM</v>
          </cell>
          <cell r="J745" t="str">
            <v>ស្រី</v>
          </cell>
          <cell r="K745">
            <v>30691</v>
          </cell>
          <cell r="L745">
            <v>43868</v>
          </cell>
        </row>
        <row r="746">
          <cell r="C746">
            <v>4141</v>
          </cell>
          <cell r="D746" t="str">
            <v>កែវ</v>
          </cell>
          <cell r="E746" t="str">
            <v>ចន្ធា</v>
          </cell>
          <cell r="F746" t="str">
            <v>កែវចន្ធា</v>
          </cell>
          <cell r="G746" t="str">
            <v>KEO</v>
          </cell>
          <cell r="H746" t="str">
            <v>CHANTHEA</v>
          </cell>
          <cell r="I746" t="str">
            <v>KEOCHANTHEA</v>
          </cell>
          <cell r="J746" t="str">
            <v>ស្រី</v>
          </cell>
          <cell r="K746">
            <v>33791</v>
          </cell>
          <cell r="L746">
            <v>43866</v>
          </cell>
        </row>
        <row r="747">
          <cell r="C747">
            <v>4142</v>
          </cell>
          <cell r="D747" t="str">
            <v>ជា</v>
          </cell>
          <cell r="E747" t="str">
            <v>រដ្ឋា</v>
          </cell>
          <cell r="F747" t="str">
            <v>ជារដ្ឋា</v>
          </cell>
          <cell r="G747" t="str">
            <v>CHEA</v>
          </cell>
          <cell r="H747" t="str">
            <v>RATHA</v>
          </cell>
          <cell r="I747" t="str">
            <v>CHEARATHA</v>
          </cell>
          <cell r="J747" t="str">
            <v>ស្រី</v>
          </cell>
          <cell r="K747">
            <v>34783</v>
          </cell>
          <cell r="L747">
            <v>43866</v>
          </cell>
        </row>
        <row r="748">
          <cell r="C748">
            <v>4017</v>
          </cell>
          <cell r="D748" t="str">
            <v>ឈឿន</v>
          </cell>
          <cell r="E748" t="str">
            <v>ចំរើន</v>
          </cell>
          <cell r="F748" t="str">
            <v>ឈឿនចំរើន</v>
          </cell>
          <cell r="G748" t="str">
            <v>CHHOEURN</v>
          </cell>
          <cell r="H748" t="str">
            <v>CHAMROEUN</v>
          </cell>
          <cell r="I748" t="str">
            <v>CHHOEURNCHAMROEUN</v>
          </cell>
          <cell r="J748" t="str">
            <v>ស្រី</v>
          </cell>
          <cell r="K748">
            <v>30447</v>
          </cell>
          <cell r="L748">
            <v>43867</v>
          </cell>
        </row>
        <row r="749">
          <cell r="C749">
            <v>4016</v>
          </cell>
          <cell r="D749" t="str">
            <v>សេន</v>
          </cell>
          <cell r="E749" t="str">
            <v>ធី</v>
          </cell>
          <cell r="F749" t="str">
            <v>សេនធី</v>
          </cell>
          <cell r="G749" t="str">
            <v>SEN</v>
          </cell>
          <cell r="H749" t="str">
            <v>THY</v>
          </cell>
          <cell r="I749" t="str">
            <v>SENTHY</v>
          </cell>
          <cell r="J749" t="str">
            <v>ស្រី</v>
          </cell>
          <cell r="K749">
            <v>31052</v>
          </cell>
          <cell r="L749">
            <v>43867</v>
          </cell>
        </row>
        <row r="750">
          <cell r="C750">
            <v>3992</v>
          </cell>
          <cell r="D750" t="str">
            <v>ស៊ន</v>
          </cell>
          <cell r="E750" t="str">
            <v>សារិន</v>
          </cell>
          <cell r="F750" t="str">
            <v>ស៊នសារិន</v>
          </cell>
          <cell r="G750" t="str">
            <v>SORN</v>
          </cell>
          <cell r="H750" t="str">
            <v>SARIN</v>
          </cell>
          <cell r="I750" t="str">
            <v>SORNSARIN</v>
          </cell>
          <cell r="J750" t="str">
            <v>ស្រី</v>
          </cell>
          <cell r="K750">
            <v>33220</v>
          </cell>
          <cell r="L750">
            <v>43865</v>
          </cell>
        </row>
        <row r="751">
          <cell r="C751">
            <v>4008</v>
          </cell>
          <cell r="D751" t="str">
            <v>ប៊ុន</v>
          </cell>
          <cell r="E751" t="str">
            <v>ស៊ីណាត</v>
          </cell>
          <cell r="F751" t="str">
            <v>ប៊ុនស៊ីណាត</v>
          </cell>
          <cell r="G751" t="str">
            <v>BUN</v>
          </cell>
          <cell r="H751" t="str">
            <v>SENATH</v>
          </cell>
          <cell r="I751" t="str">
            <v>BUNSENATH</v>
          </cell>
          <cell r="J751" t="str">
            <v>ស្រី</v>
          </cell>
          <cell r="K751">
            <v>28933</v>
          </cell>
          <cell r="L751">
            <v>43866</v>
          </cell>
        </row>
        <row r="752">
          <cell r="C752">
            <v>4010</v>
          </cell>
          <cell r="D752" t="str">
            <v>ខាំ</v>
          </cell>
          <cell r="E752" t="str">
            <v>ស្រីនន់</v>
          </cell>
          <cell r="F752" t="str">
            <v>ខាំស្រីនន់</v>
          </cell>
          <cell r="G752" t="str">
            <v>KAM</v>
          </cell>
          <cell r="H752" t="str">
            <v>SREYNON</v>
          </cell>
          <cell r="I752" t="str">
            <v>KAMSREYNON</v>
          </cell>
          <cell r="J752" t="str">
            <v>ស្រី</v>
          </cell>
          <cell r="K752">
            <v>29957</v>
          </cell>
          <cell r="L752">
            <v>43866</v>
          </cell>
        </row>
        <row r="753">
          <cell r="C753">
            <v>4028</v>
          </cell>
          <cell r="D753" t="str">
            <v>អឿក</v>
          </cell>
          <cell r="E753" t="str">
            <v>សំរិទ្ធិ</v>
          </cell>
          <cell r="F753" t="str">
            <v>អឿកសំរិទ្ធិ</v>
          </cell>
          <cell r="G753" t="str">
            <v>OEURK</v>
          </cell>
          <cell r="H753" t="str">
            <v>SAMRITH</v>
          </cell>
          <cell r="I753" t="str">
            <v>OEURKSAMRITH</v>
          </cell>
          <cell r="J753" t="str">
            <v>ស្រី</v>
          </cell>
          <cell r="K753">
            <v>33760</v>
          </cell>
          <cell r="L753">
            <v>43882</v>
          </cell>
        </row>
        <row r="754">
          <cell r="C754">
            <v>3999</v>
          </cell>
          <cell r="D754" t="str">
            <v>ឆិល</v>
          </cell>
          <cell r="E754" t="str">
            <v>អូន</v>
          </cell>
          <cell r="F754" t="str">
            <v>ឆិលអូន</v>
          </cell>
          <cell r="G754" t="str">
            <v>CHHOEL</v>
          </cell>
          <cell r="H754" t="str">
            <v>AUN</v>
          </cell>
          <cell r="I754" t="str">
            <v>CHHOELAUN</v>
          </cell>
          <cell r="J754" t="str">
            <v>ស្រី</v>
          </cell>
          <cell r="K754">
            <v>35488</v>
          </cell>
          <cell r="L754">
            <v>43865</v>
          </cell>
        </row>
        <row r="755">
          <cell r="C755">
            <v>3995</v>
          </cell>
          <cell r="D755" t="str">
            <v>ដួង</v>
          </cell>
          <cell r="E755" t="str">
            <v>នី</v>
          </cell>
          <cell r="F755" t="str">
            <v>ដួងនី</v>
          </cell>
          <cell r="G755" t="str">
            <v>DOUNG</v>
          </cell>
          <cell r="H755" t="str">
            <v>NY</v>
          </cell>
          <cell r="I755" t="str">
            <v>DOUNGNY</v>
          </cell>
          <cell r="J755" t="str">
            <v>ស្រី</v>
          </cell>
          <cell r="K755">
            <v>29830</v>
          </cell>
          <cell r="L755">
            <v>43865</v>
          </cell>
        </row>
        <row r="756">
          <cell r="C756">
            <v>3970</v>
          </cell>
          <cell r="D756" t="str">
            <v>សារី</v>
          </cell>
          <cell r="E756" t="str">
            <v>ស្រីពៅ</v>
          </cell>
          <cell r="F756" t="str">
            <v>សារីស្រីពៅ</v>
          </cell>
          <cell r="G756" t="str">
            <v>SARY</v>
          </cell>
          <cell r="H756" t="str">
            <v>SREYPAO</v>
          </cell>
          <cell r="I756" t="str">
            <v>SARYSREYPAO</v>
          </cell>
          <cell r="J756" t="str">
            <v>ស្រី</v>
          </cell>
          <cell r="K756">
            <v>34125</v>
          </cell>
          <cell r="L756">
            <v>43862</v>
          </cell>
        </row>
        <row r="757">
          <cell r="C757">
            <v>3971</v>
          </cell>
          <cell r="D757" t="str">
            <v>សរ</v>
          </cell>
          <cell r="E757" t="str">
            <v>ភាព</v>
          </cell>
          <cell r="F757" t="str">
            <v>សរភាព</v>
          </cell>
          <cell r="G757" t="str">
            <v>SOR</v>
          </cell>
          <cell r="H757" t="str">
            <v>PHEAP</v>
          </cell>
          <cell r="I757" t="str">
            <v>SORPHEAP</v>
          </cell>
          <cell r="J757" t="str">
            <v>ប្រុស</v>
          </cell>
          <cell r="K757">
            <v>32660</v>
          </cell>
          <cell r="L757">
            <v>43862</v>
          </cell>
        </row>
        <row r="758">
          <cell r="C758">
            <v>3977</v>
          </cell>
          <cell r="D758" t="str">
            <v>ផ្លុង</v>
          </cell>
          <cell r="E758" t="str">
            <v>សុខណាត</v>
          </cell>
          <cell r="F758" t="str">
            <v>ផ្លុងសុខណាត</v>
          </cell>
          <cell r="G758" t="str">
            <v>PHLONG</v>
          </cell>
          <cell r="H758" t="str">
            <v>SOKNAT</v>
          </cell>
          <cell r="I758" t="str">
            <v>PHLONGSOKNAT</v>
          </cell>
          <cell r="J758" t="str">
            <v>ស្រី</v>
          </cell>
          <cell r="K758">
            <v>31964</v>
          </cell>
          <cell r="L758">
            <v>43862</v>
          </cell>
        </row>
        <row r="759">
          <cell r="C759">
            <v>3994</v>
          </cell>
          <cell r="D759" t="str">
            <v>លន</v>
          </cell>
          <cell r="E759" t="str">
            <v>ស្រីដា</v>
          </cell>
          <cell r="F759" t="str">
            <v>លនស្រីដា</v>
          </cell>
          <cell r="G759" t="str">
            <v>LORN</v>
          </cell>
          <cell r="H759" t="str">
            <v>SREYDA</v>
          </cell>
          <cell r="I759" t="str">
            <v>LORNSREYDA</v>
          </cell>
          <cell r="J759" t="str">
            <v>ស្រី</v>
          </cell>
          <cell r="K759">
            <v>37015</v>
          </cell>
          <cell r="L759">
            <v>43865</v>
          </cell>
        </row>
        <row r="760">
          <cell r="C760">
            <v>3982</v>
          </cell>
          <cell r="D760" t="str">
            <v>សួន</v>
          </cell>
          <cell r="E760" t="str">
            <v>ក្នើយ</v>
          </cell>
          <cell r="F760" t="str">
            <v>សួនក្នើយ</v>
          </cell>
          <cell r="G760" t="str">
            <v>SUON</v>
          </cell>
          <cell r="H760" t="str">
            <v>KNERY</v>
          </cell>
          <cell r="I760" t="str">
            <v>SUONKNERY</v>
          </cell>
          <cell r="J760" t="str">
            <v>ស្រី</v>
          </cell>
          <cell r="K760">
            <v>36970</v>
          </cell>
          <cell r="L760">
            <v>43862</v>
          </cell>
        </row>
        <row r="761">
          <cell r="C761">
            <v>3986</v>
          </cell>
          <cell r="D761" t="str">
            <v>សែម</v>
          </cell>
          <cell r="E761" t="str">
            <v>ស្រីម៉ុម</v>
          </cell>
          <cell r="F761" t="str">
            <v>សែមស្រីម៉ុម</v>
          </cell>
          <cell r="G761" t="str">
            <v>SEM</v>
          </cell>
          <cell r="H761" t="str">
            <v>SREYMOM</v>
          </cell>
          <cell r="I761" t="str">
            <v>SEMSREYMOM</v>
          </cell>
          <cell r="J761" t="str">
            <v>ស្រី</v>
          </cell>
          <cell r="K761">
            <v>31535</v>
          </cell>
          <cell r="L761">
            <v>43864</v>
          </cell>
        </row>
        <row r="762">
          <cell r="C762">
            <v>3987</v>
          </cell>
          <cell r="D762" t="str">
            <v>កែន</v>
          </cell>
          <cell r="E762" t="str">
            <v>និមល</v>
          </cell>
          <cell r="F762" t="str">
            <v>កែននិមល</v>
          </cell>
          <cell r="G762" t="str">
            <v>KEN</v>
          </cell>
          <cell r="H762" t="str">
            <v>NIMUL</v>
          </cell>
          <cell r="I762" t="str">
            <v>KENNIMUL</v>
          </cell>
          <cell r="J762" t="str">
            <v>ស្រី</v>
          </cell>
          <cell r="K762">
            <v>31769</v>
          </cell>
          <cell r="L762">
            <v>43864</v>
          </cell>
        </row>
        <row r="763">
          <cell r="C763">
            <v>4007</v>
          </cell>
          <cell r="D763" t="str">
            <v>ខៀវ</v>
          </cell>
          <cell r="E763" t="str">
            <v>ខី</v>
          </cell>
          <cell r="F763" t="str">
            <v>ខៀវខី</v>
          </cell>
          <cell r="G763" t="str">
            <v>KHIEV</v>
          </cell>
          <cell r="H763" t="str">
            <v>KHEY</v>
          </cell>
          <cell r="I763" t="str">
            <v>KHIEVKHEY</v>
          </cell>
          <cell r="J763" t="str">
            <v>ប្រុស</v>
          </cell>
          <cell r="K763">
            <v>34416</v>
          </cell>
          <cell r="L763">
            <v>43865</v>
          </cell>
        </row>
        <row r="764">
          <cell r="C764">
            <v>4066</v>
          </cell>
          <cell r="D764" t="str">
            <v xml:space="preserve">ប៉ោក </v>
          </cell>
          <cell r="E764" t="str">
            <v>អូន</v>
          </cell>
          <cell r="F764" t="str">
            <v>ប៉ោក អូន</v>
          </cell>
          <cell r="G764" t="str">
            <v xml:space="preserve">POEK </v>
          </cell>
          <cell r="H764" t="str">
            <v>AUN</v>
          </cell>
          <cell r="I764" t="str">
            <v>POEK AUN</v>
          </cell>
          <cell r="J764" t="str">
            <v>ស្រី</v>
          </cell>
          <cell r="K764">
            <v>31330</v>
          </cell>
          <cell r="L764">
            <v>43902</v>
          </cell>
        </row>
        <row r="765">
          <cell r="C765">
            <v>4031</v>
          </cell>
          <cell r="D765" t="str">
            <v>យ៉ាន់</v>
          </cell>
          <cell r="E765" t="str">
            <v>ចាន់</v>
          </cell>
          <cell r="F765" t="str">
            <v>យ៉ាន់ចាន់</v>
          </cell>
          <cell r="G765" t="str">
            <v xml:space="preserve">YAN </v>
          </cell>
          <cell r="H765" t="str">
            <v>CHAN</v>
          </cell>
          <cell r="I765" t="str">
            <v>YAN CHAN</v>
          </cell>
          <cell r="J765" t="str">
            <v>ប្រុស</v>
          </cell>
          <cell r="K765">
            <v>32988</v>
          </cell>
          <cell r="L765">
            <v>43894</v>
          </cell>
        </row>
        <row r="766">
          <cell r="C766">
            <v>4052</v>
          </cell>
          <cell r="D766" t="str">
            <v>ម៉ែន</v>
          </cell>
          <cell r="E766" t="str">
            <v>រ៉ាញ់ទី</v>
          </cell>
          <cell r="F766" t="str">
            <v>ម៉ែនរ៉ាញ់ទី</v>
          </cell>
          <cell r="G766" t="str">
            <v>MEN</v>
          </cell>
          <cell r="H766" t="str">
            <v>RANHTY</v>
          </cell>
          <cell r="I766" t="str">
            <v>MENRANHTY</v>
          </cell>
          <cell r="J766" t="str">
            <v>ស្រី</v>
          </cell>
          <cell r="K766">
            <v>35203</v>
          </cell>
          <cell r="L766">
            <v>43901</v>
          </cell>
        </row>
        <row r="767">
          <cell r="C767">
            <v>4040</v>
          </cell>
          <cell r="D767" t="str">
            <v>នូ</v>
          </cell>
          <cell r="E767" t="str">
            <v>ស្រីនីន</v>
          </cell>
          <cell r="F767" t="str">
            <v>នូស្រីនីន</v>
          </cell>
          <cell r="G767" t="str">
            <v>NOU</v>
          </cell>
          <cell r="H767" t="str">
            <v>SREYNIN</v>
          </cell>
          <cell r="I767" t="str">
            <v>NOUSREYNIN</v>
          </cell>
          <cell r="J767" t="str">
            <v>ស្រី</v>
          </cell>
          <cell r="K767">
            <v>33276</v>
          </cell>
          <cell r="L767">
            <v>43900</v>
          </cell>
        </row>
        <row r="768">
          <cell r="C768">
            <v>4042</v>
          </cell>
          <cell r="D768" t="str">
            <v>គឹម</v>
          </cell>
          <cell r="E768" t="str">
            <v>វ៉ាន់នី</v>
          </cell>
          <cell r="F768" t="str">
            <v>គឹមវ៉ាន់នី</v>
          </cell>
          <cell r="G768" t="str">
            <v>KOEM</v>
          </cell>
          <cell r="H768" t="str">
            <v>VANNY</v>
          </cell>
          <cell r="I768" t="str">
            <v>KOEMVANNY</v>
          </cell>
          <cell r="J768" t="str">
            <v>ស្រី</v>
          </cell>
          <cell r="K768">
            <v>30475</v>
          </cell>
          <cell r="L768">
            <v>43900</v>
          </cell>
        </row>
        <row r="769">
          <cell r="C769">
            <v>4054</v>
          </cell>
          <cell r="D769" t="str">
            <v>ម៉ន</v>
          </cell>
          <cell r="E769" t="str">
            <v>ស្រីម៉ុច</v>
          </cell>
          <cell r="F769" t="str">
            <v>ម៉នស្រីម៉ុច</v>
          </cell>
          <cell r="G769" t="str">
            <v>MORN</v>
          </cell>
          <cell r="H769" t="str">
            <v>SREYMOUCH</v>
          </cell>
          <cell r="I769" t="str">
            <v>MORNSREYMOUCH</v>
          </cell>
          <cell r="J769" t="str">
            <v>ស្រី</v>
          </cell>
          <cell r="K769">
            <v>36201</v>
          </cell>
          <cell r="L769">
            <v>43900</v>
          </cell>
        </row>
        <row r="770">
          <cell r="C770">
            <v>4044</v>
          </cell>
          <cell r="D770" t="str">
            <v>យឹម</v>
          </cell>
          <cell r="E770" t="str">
            <v>សាមេត</v>
          </cell>
          <cell r="F770" t="str">
            <v>យឹមសាមេត</v>
          </cell>
          <cell r="G770" t="str">
            <v>YOEM</v>
          </cell>
          <cell r="H770" t="str">
            <v>SAMETH</v>
          </cell>
          <cell r="I770" t="str">
            <v>YOEMSAMETH</v>
          </cell>
          <cell r="J770" t="str">
            <v>ស្រី</v>
          </cell>
          <cell r="K770">
            <v>33147</v>
          </cell>
          <cell r="L770">
            <v>43901</v>
          </cell>
        </row>
        <row r="771">
          <cell r="C771">
            <v>4059</v>
          </cell>
          <cell r="D771" t="str">
            <v>នូត</v>
          </cell>
          <cell r="E771" t="str">
            <v>មេសា</v>
          </cell>
          <cell r="F771" t="str">
            <v>នូតមេសា</v>
          </cell>
          <cell r="G771" t="str">
            <v>NUTH</v>
          </cell>
          <cell r="H771" t="str">
            <v>MASA</v>
          </cell>
          <cell r="I771" t="str">
            <v>NUTHMASA</v>
          </cell>
          <cell r="J771" t="str">
            <v>ប្រុស</v>
          </cell>
          <cell r="K771">
            <v>33335</v>
          </cell>
          <cell r="L771">
            <v>43900</v>
          </cell>
        </row>
        <row r="772">
          <cell r="C772">
            <v>4064</v>
          </cell>
          <cell r="D772" t="str">
            <v>ឈុន</v>
          </cell>
          <cell r="E772" t="str">
            <v>ស៊ីណាត</v>
          </cell>
          <cell r="F772" t="str">
            <v>ឈុនស៊ីណាត</v>
          </cell>
          <cell r="G772" t="str">
            <v>CHHUN</v>
          </cell>
          <cell r="H772" t="str">
            <v>SINAT</v>
          </cell>
          <cell r="I772" t="str">
            <v>CHHUNSINAT</v>
          </cell>
          <cell r="J772" t="str">
            <v>ស្រី</v>
          </cell>
          <cell r="K772">
            <v>31181</v>
          </cell>
          <cell r="L772">
            <v>43903</v>
          </cell>
        </row>
        <row r="773">
          <cell r="C773">
            <v>4062</v>
          </cell>
          <cell r="D773" t="str">
            <v>ព្រំ</v>
          </cell>
          <cell r="E773" t="str">
            <v>ចាន់ថារី</v>
          </cell>
          <cell r="F773" t="str">
            <v>ព្រំចាន់ថារី</v>
          </cell>
          <cell r="G773" t="str">
            <v>PROM</v>
          </cell>
          <cell r="H773" t="str">
            <v>CHANTHARY</v>
          </cell>
          <cell r="I773" t="str">
            <v>PROMCHANTHARY</v>
          </cell>
          <cell r="J773" t="str">
            <v>ស្រី</v>
          </cell>
          <cell r="K773">
            <v>32045</v>
          </cell>
          <cell r="L773">
            <v>43903</v>
          </cell>
        </row>
        <row r="774">
          <cell r="C774">
            <v>4030</v>
          </cell>
          <cell r="D774" t="str">
            <v xml:space="preserve">ឈីម </v>
          </cell>
          <cell r="E774" t="str">
            <v>សុផល</v>
          </cell>
          <cell r="F774" t="str">
            <v>ឈីម សុផល</v>
          </cell>
          <cell r="G774" t="str">
            <v xml:space="preserve">CHHEM </v>
          </cell>
          <cell r="H774" t="str">
            <v>SOPHOL</v>
          </cell>
          <cell r="I774" t="str">
            <v>CHHEM SOPHOL</v>
          </cell>
          <cell r="J774" t="str">
            <v>ស្រី</v>
          </cell>
          <cell r="K774">
            <v>28740</v>
          </cell>
          <cell r="L774">
            <v>43893</v>
          </cell>
        </row>
        <row r="775">
          <cell r="C775">
            <v>4050</v>
          </cell>
          <cell r="D775" t="str">
            <v>ទូច</v>
          </cell>
          <cell r="E775" t="str">
            <v>អឿយ</v>
          </cell>
          <cell r="F775" t="str">
            <v>ទូចអឿយ</v>
          </cell>
          <cell r="G775" t="str">
            <v>TOUCH</v>
          </cell>
          <cell r="H775" t="str">
            <v>OEUY</v>
          </cell>
          <cell r="I775" t="str">
            <v>TOUCHOEUY</v>
          </cell>
          <cell r="J775" t="str">
            <v>ស្រី</v>
          </cell>
          <cell r="K775">
            <v>34641</v>
          </cell>
          <cell r="L775">
            <v>43901</v>
          </cell>
        </row>
        <row r="776">
          <cell r="C776">
            <v>4034</v>
          </cell>
          <cell r="D776" t="str">
            <v>ហួត</v>
          </cell>
          <cell r="E776" t="str">
            <v>សុគន្ធា</v>
          </cell>
          <cell r="F776" t="str">
            <v>ហួតសុគន្ធា</v>
          </cell>
          <cell r="G776" t="str">
            <v>HOURT</v>
          </cell>
          <cell r="H776" t="str">
            <v>SOKUNTHEA</v>
          </cell>
          <cell r="I776" t="str">
            <v>HOURTSOKUNTHEA</v>
          </cell>
          <cell r="J776" t="str">
            <v>ស្រី</v>
          </cell>
          <cell r="K776">
            <v>32906</v>
          </cell>
          <cell r="L776">
            <v>43897</v>
          </cell>
        </row>
        <row r="777">
          <cell r="C777">
            <v>4033</v>
          </cell>
          <cell r="D777" t="str">
            <v>យ៉ាន់</v>
          </cell>
          <cell r="E777" t="str">
            <v>ស៊ីដេត</v>
          </cell>
          <cell r="F777" t="str">
            <v>យ៉ាន់ស៊ីដេត</v>
          </cell>
          <cell r="G777" t="str">
            <v>YA</v>
          </cell>
          <cell r="H777" t="str">
            <v>SIDETH</v>
          </cell>
          <cell r="I777" t="str">
            <v>YASIDETH</v>
          </cell>
          <cell r="J777" t="str">
            <v>ស្រី</v>
          </cell>
          <cell r="K777">
            <v>32587</v>
          </cell>
          <cell r="L777">
            <v>43897</v>
          </cell>
        </row>
        <row r="778">
          <cell r="C778">
            <v>4041</v>
          </cell>
          <cell r="D778" t="str">
            <v>សោម</v>
          </cell>
          <cell r="E778" t="str">
            <v>សាម៉ុន</v>
          </cell>
          <cell r="F778" t="str">
            <v>សោមសាម៉ុន</v>
          </cell>
          <cell r="G778" t="str">
            <v>SORM</v>
          </cell>
          <cell r="H778" t="str">
            <v>SAMON</v>
          </cell>
          <cell r="I778" t="str">
            <v>SORMSAMON</v>
          </cell>
          <cell r="J778" t="str">
            <v>ស្រី</v>
          </cell>
          <cell r="K778">
            <v>32052</v>
          </cell>
          <cell r="L778">
            <v>43833</v>
          </cell>
        </row>
        <row r="779">
          <cell r="C779">
            <v>4037</v>
          </cell>
          <cell r="D779" t="str">
            <v>នួន</v>
          </cell>
          <cell r="E779" t="str">
            <v>ស្រីថា</v>
          </cell>
          <cell r="F779" t="str">
            <v>នួនស្រីថា</v>
          </cell>
          <cell r="G779" t="str">
            <v>NOUN</v>
          </cell>
          <cell r="H779" t="str">
            <v>SREYTHA</v>
          </cell>
          <cell r="I779" t="str">
            <v>NOUNSREYTHA</v>
          </cell>
          <cell r="J779" t="str">
            <v>ស្រី</v>
          </cell>
          <cell r="K779">
            <v>30353</v>
          </cell>
          <cell r="L779">
            <v>43900</v>
          </cell>
        </row>
        <row r="780">
          <cell r="C780">
            <v>4048</v>
          </cell>
          <cell r="D780" t="str">
            <v>សំអុល</v>
          </cell>
          <cell r="E780" t="str">
            <v>សុដានី</v>
          </cell>
          <cell r="F780" t="str">
            <v>សំអុលសុដានី</v>
          </cell>
          <cell r="G780" t="str">
            <v>SAMOL</v>
          </cell>
          <cell r="H780" t="str">
            <v>SODANY</v>
          </cell>
          <cell r="I780" t="str">
            <v>SAMOLSODANY</v>
          </cell>
          <cell r="J780" t="str">
            <v>ស្រី</v>
          </cell>
          <cell r="K780">
            <v>31934</v>
          </cell>
          <cell r="L780">
            <v>43901</v>
          </cell>
        </row>
        <row r="781">
          <cell r="C781">
            <v>4038</v>
          </cell>
          <cell r="D781" t="str">
            <v>ខន</v>
          </cell>
          <cell r="E781" t="str">
            <v>ម៉ារ័ត្ន</v>
          </cell>
          <cell r="F781" t="str">
            <v>ខនម៉ារ័ត្ន</v>
          </cell>
          <cell r="G781" t="str">
            <v>KHORN</v>
          </cell>
          <cell r="H781" t="str">
            <v>MAROTH</v>
          </cell>
          <cell r="I781" t="str">
            <v>KHORNMAROTH</v>
          </cell>
          <cell r="J781" t="str">
            <v>ស្រី</v>
          </cell>
          <cell r="K781">
            <v>33762</v>
          </cell>
          <cell r="L781">
            <v>43900</v>
          </cell>
        </row>
        <row r="782">
          <cell r="C782">
            <v>4029</v>
          </cell>
          <cell r="D782" t="str">
            <v>លី</v>
          </cell>
          <cell r="E782" t="str">
            <v>បូរ៉ា</v>
          </cell>
          <cell r="F782" t="str">
            <v>លីបូរ៉ា</v>
          </cell>
          <cell r="G782" t="str">
            <v>LY</v>
          </cell>
          <cell r="H782" t="str">
            <v>BORA</v>
          </cell>
          <cell r="I782" t="str">
            <v>LYBORA</v>
          </cell>
          <cell r="J782" t="str">
            <v>ប្រុស</v>
          </cell>
          <cell r="K782">
            <v>33118</v>
          </cell>
          <cell r="L782">
            <v>43893</v>
          </cell>
        </row>
        <row r="783">
          <cell r="C783">
            <v>4077</v>
          </cell>
          <cell r="D783" t="str">
            <v>ស៊ឹម</v>
          </cell>
          <cell r="E783" t="str">
            <v>ចាន់ទី</v>
          </cell>
          <cell r="F783" t="str">
            <v>ស៊ឹមចាន់ទី</v>
          </cell>
          <cell r="G783" t="str">
            <v>SIM</v>
          </cell>
          <cell r="H783" t="str">
            <v>CHANTY</v>
          </cell>
          <cell r="I783" t="str">
            <v>SIMCHANTY</v>
          </cell>
          <cell r="J783" t="str">
            <v>ស្រី</v>
          </cell>
          <cell r="K783">
            <v>30115</v>
          </cell>
          <cell r="L783">
            <v>43910</v>
          </cell>
        </row>
        <row r="784">
          <cell r="C784">
            <v>4069</v>
          </cell>
          <cell r="D784" t="str">
            <v>ជា</v>
          </cell>
          <cell r="E784" t="str">
            <v>សុដា</v>
          </cell>
          <cell r="F784" t="str">
            <v>ជាសុដា</v>
          </cell>
          <cell r="G784" t="str">
            <v>CHEA</v>
          </cell>
          <cell r="H784" t="str">
            <v>SODA</v>
          </cell>
          <cell r="I784" t="str">
            <v>CHEASODA</v>
          </cell>
          <cell r="J784" t="str">
            <v>ស្រី</v>
          </cell>
          <cell r="K784">
            <v>30147</v>
          </cell>
          <cell r="L784">
            <v>43907</v>
          </cell>
        </row>
        <row r="785">
          <cell r="C785">
            <v>4076</v>
          </cell>
          <cell r="D785" t="str">
            <v>យុ</v>
          </cell>
          <cell r="E785" t="str">
            <v>ណារឿន</v>
          </cell>
          <cell r="F785" t="str">
            <v>យុណារឿន</v>
          </cell>
          <cell r="G785" t="str">
            <v>YO</v>
          </cell>
          <cell r="H785" t="str">
            <v>NAROEURN</v>
          </cell>
          <cell r="I785" t="str">
            <v>YONAROEURN</v>
          </cell>
          <cell r="J785" t="str">
            <v>ស្រី</v>
          </cell>
          <cell r="K785">
            <v>35220</v>
          </cell>
          <cell r="L785">
            <v>43910</v>
          </cell>
        </row>
        <row r="786">
          <cell r="C786">
            <v>4060</v>
          </cell>
          <cell r="D786" t="str">
            <v>លី</v>
          </cell>
          <cell r="E786" t="str">
            <v>ឡេងចេង</v>
          </cell>
          <cell r="F786" t="str">
            <v>លីឡេងចេង</v>
          </cell>
          <cell r="G786" t="str">
            <v>LY</v>
          </cell>
          <cell r="H786" t="str">
            <v>LENGCHENG</v>
          </cell>
          <cell r="I786" t="str">
            <v>LYLENGCHENG</v>
          </cell>
          <cell r="J786" t="str">
            <v>ស្រី</v>
          </cell>
          <cell r="K786">
            <v>33159</v>
          </cell>
          <cell r="L786">
            <v>43902</v>
          </cell>
        </row>
        <row r="787">
          <cell r="C787">
            <v>4073</v>
          </cell>
          <cell r="D787" t="str">
            <v>ផល</v>
          </cell>
          <cell r="E787" t="str">
            <v>សុភី</v>
          </cell>
          <cell r="F787" t="str">
            <v>ផលសុភី</v>
          </cell>
          <cell r="G787" t="str">
            <v>PHAL</v>
          </cell>
          <cell r="H787" t="str">
            <v>SOPHY</v>
          </cell>
          <cell r="I787" t="str">
            <v>PHALSOPHY</v>
          </cell>
          <cell r="J787" t="str">
            <v>ស្រី</v>
          </cell>
          <cell r="K787">
            <v>31902</v>
          </cell>
          <cell r="L787">
            <v>43908</v>
          </cell>
        </row>
        <row r="788">
          <cell r="C788">
            <v>4071</v>
          </cell>
          <cell r="D788" t="str">
            <v>សុខ</v>
          </cell>
          <cell r="E788" t="str">
            <v>ឆាយ</v>
          </cell>
          <cell r="F788" t="str">
            <v>សុខឆាយ</v>
          </cell>
          <cell r="G788" t="str">
            <v>SOK</v>
          </cell>
          <cell r="H788" t="str">
            <v>CHHAY</v>
          </cell>
          <cell r="I788" t="str">
            <v>SOKCHHAY</v>
          </cell>
          <cell r="J788" t="str">
            <v>ស្រី</v>
          </cell>
          <cell r="K788">
            <v>30783</v>
          </cell>
          <cell r="L788">
            <v>43908</v>
          </cell>
        </row>
        <row r="789">
          <cell r="C789">
            <v>4067</v>
          </cell>
          <cell r="D789" t="str">
            <v>ហួន</v>
          </cell>
          <cell r="E789" t="str">
            <v>ថាន</v>
          </cell>
          <cell r="F789" t="str">
            <v>ហួនថាន</v>
          </cell>
          <cell r="G789" t="str">
            <v>HUON</v>
          </cell>
          <cell r="H789" t="str">
            <v>THAN</v>
          </cell>
          <cell r="I789" t="str">
            <v>HUONTHAN</v>
          </cell>
          <cell r="J789" t="str">
            <v>ប្រុស</v>
          </cell>
          <cell r="K789">
            <v>37057</v>
          </cell>
          <cell r="L789">
            <v>43906</v>
          </cell>
        </row>
        <row r="790">
          <cell r="C790">
            <v>4070</v>
          </cell>
          <cell r="D790" t="str">
            <v>វិន</v>
          </cell>
          <cell r="E790" t="str">
            <v>ស្រីអូន</v>
          </cell>
          <cell r="F790" t="str">
            <v>វិនស្រីអូន</v>
          </cell>
          <cell r="G790" t="str">
            <v>VIN</v>
          </cell>
          <cell r="H790" t="str">
            <v>SREYOUN</v>
          </cell>
          <cell r="I790" t="str">
            <v>VINSREYOUN</v>
          </cell>
          <cell r="J790" t="str">
            <v>ស្រី</v>
          </cell>
          <cell r="K790">
            <v>30753</v>
          </cell>
          <cell r="L790">
            <v>43907</v>
          </cell>
        </row>
        <row r="791">
          <cell r="C791">
            <v>4079</v>
          </cell>
          <cell r="D791" t="str">
            <v>ចាន់</v>
          </cell>
          <cell r="E791" t="str">
            <v>ស្រៀង</v>
          </cell>
          <cell r="F791" t="str">
            <v>ចាន់ស្រៀង</v>
          </cell>
          <cell r="G791" t="str">
            <v>CHAN</v>
          </cell>
          <cell r="H791" t="str">
            <v>SREANG</v>
          </cell>
          <cell r="I791" t="str">
            <v>CHANSREANG</v>
          </cell>
          <cell r="J791" t="str">
            <v>ប្រុស</v>
          </cell>
          <cell r="K791">
            <v>33487</v>
          </cell>
          <cell r="L791">
            <v>43916</v>
          </cell>
        </row>
        <row r="792">
          <cell r="C792">
            <v>4082</v>
          </cell>
          <cell r="D792" t="str">
            <v>ខែម</v>
          </cell>
          <cell r="E792" t="str">
            <v>សុថា</v>
          </cell>
          <cell r="F792" t="str">
            <v>ខែមសុថា</v>
          </cell>
          <cell r="G792" t="str">
            <v>KHEM</v>
          </cell>
          <cell r="H792" t="str">
            <v>SOTHA</v>
          </cell>
          <cell r="I792" t="str">
            <v>KHEMSOTHA</v>
          </cell>
          <cell r="J792" t="str">
            <v>ប្រុស</v>
          </cell>
          <cell r="K792">
            <v>30877</v>
          </cell>
          <cell r="L792">
            <v>43920</v>
          </cell>
        </row>
        <row r="793">
          <cell r="C793">
            <v>4081</v>
          </cell>
          <cell r="D793" t="str">
            <v>ផន</v>
          </cell>
          <cell r="E793" t="str">
            <v>ណារឺម</v>
          </cell>
          <cell r="F793" t="str">
            <v>ផនណារឺម</v>
          </cell>
          <cell r="G793" t="str">
            <v>PHAN</v>
          </cell>
          <cell r="H793" t="str">
            <v>NARIM</v>
          </cell>
          <cell r="I793" t="str">
            <v>PHANNARIM</v>
          </cell>
          <cell r="J793" t="str">
            <v>ស្រី</v>
          </cell>
          <cell r="K793">
            <v>29596</v>
          </cell>
          <cell r="L793">
            <v>43917</v>
          </cell>
        </row>
        <row r="794">
          <cell r="C794">
            <v>4080</v>
          </cell>
          <cell r="D794" t="str">
            <v>សូ</v>
          </cell>
          <cell r="E794" t="str">
            <v>សុខ</v>
          </cell>
          <cell r="F794" t="str">
            <v>សូសុខ</v>
          </cell>
          <cell r="G794" t="str">
            <v>SO</v>
          </cell>
          <cell r="H794" t="str">
            <v>SOK</v>
          </cell>
          <cell r="I794" t="str">
            <v>SOSOK</v>
          </cell>
          <cell r="J794" t="str">
            <v>ស្រី</v>
          </cell>
          <cell r="K794">
            <v>27847</v>
          </cell>
          <cell r="L794">
            <v>43917</v>
          </cell>
        </row>
        <row r="795">
          <cell r="C795">
            <v>4047</v>
          </cell>
          <cell r="D795" t="str">
            <v>ងយ</v>
          </cell>
          <cell r="E795" t="str">
            <v>ស្រីនាង</v>
          </cell>
          <cell r="F795" t="str">
            <v>ងយស្រីនាង</v>
          </cell>
          <cell r="G795" t="str">
            <v>NGOY</v>
          </cell>
          <cell r="H795" t="str">
            <v>SREYNEANG</v>
          </cell>
          <cell r="I795" t="str">
            <v>NGOYSREYNEANG</v>
          </cell>
          <cell r="J795" t="str">
            <v>ស្រី</v>
          </cell>
          <cell r="K795">
            <v>34474</v>
          </cell>
          <cell r="L795">
            <v>43900</v>
          </cell>
        </row>
        <row r="796">
          <cell r="C796">
            <v>4116</v>
          </cell>
          <cell r="D796" t="str">
            <v>មឹក</v>
          </cell>
          <cell r="E796" t="str">
            <v>អិត</v>
          </cell>
          <cell r="F796" t="str">
            <v>មឹកអិត</v>
          </cell>
          <cell r="G796" t="str">
            <v>MOEK</v>
          </cell>
          <cell r="H796" t="str">
            <v>OET</v>
          </cell>
          <cell r="I796" t="str">
            <v>MOEKOET</v>
          </cell>
          <cell r="J796" t="str">
            <v>ស្រី</v>
          </cell>
          <cell r="K796">
            <v>30349</v>
          </cell>
          <cell r="L796">
            <v>43834</v>
          </cell>
        </row>
        <row r="797">
          <cell r="C797">
            <v>4084</v>
          </cell>
          <cell r="D797" t="str">
            <v>ប៊ិន</v>
          </cell>
          <cell r="E797" t="str">
            <v>ប៊ុនណាត</v>
          </cell>
          <cell r="F797" t="str">
            <v>ប៊ិនប៊ុនណាត</v>
          </cell>
          <cell r="G797" t="str">
            <v>BIN</v>
          </cell>
          <cell r="H797" t="str">
            <v>BUNNAT</v>
          </cell>
          <cell r="I797" t="str">
            <v>BINBUNNAT</v>
          </cell>
          <cell r="J797" t="str">
            <v>ប្រុស</v>
          </cell>
          <cell r="K797">
            <v>29307</v>
          </cell>
          <cell r="L797">
            <v>43997</v>
          </cell>
        </row>
        <row r="798">
          <cell r="C798">
            <v>4085</v>
          </cell>
          <cell r="D798" t="str">
            <v>ចាន់</v>
          </cell>
          <cell r="E798" t="str">
            <v>យូវ៉ាមុន្លី</v>
          </cell>
          <cell r="F798" t="str">
            <v>ចាន់យូវ៉ាមុន្លី</v>
          </cell>
          <cell r="G798" t="str">
            <v xml:space="preserve">CHAN </v>
          </cell>
          <cell r="H798" t="str">
            <v>YOUVAMONY</v>
          </cell>
          <cell r="I798" t="str">
            <v>CHAN YOUVAMONY</v>
          </cell>
          <cell r="J798" t="str">
            <v>ស្រី</v>
          </cell>
          <cell r="K798">
            <v>26141</v>
          </cell>
          <cell r="L798">
            <v>44016</v>
          </cell>
        </row>
        <row r="799">
          <cell r="C799">
            <v>4086</v>
          </cell>
          <cell r="D799" t="str">
            <v>ជន</v>
          </cell>
          <cell r="E799" t="str">
            <v>ស្រីរ័ត្ន</v>
          </cell>
          <cell r="F799" t="str">
            <v>ជនស្រីរ័ត្ន</v>
          </cell>
          <cell r="G799" t="str">
            <v>CHORN</v>
          </cell>
          <cell r="H799" t="str">
            <v>SREYRATH</v>
          </cell>
          <cell r="I799" t="str">
            <v>CHORNSREYRATH</v>
          </cell>
          <cell r="J799" t="str">
            <v>ស្រី</v>
          </cell>
          <cell r="K799">
            <v>36943</v>
          </cell>
          <cell r="L799">
            <v>44033</v>
          </cell>
        </row>
        <row r="800">
          <cell r="C800">
            <v>4089</v>
          </cell>
          <cell r="D800" t="str">
            <v>ណុប​</v>
          </cell>
          <cell r="E800" t="str">
            <v>ដេត</v>
          </cell>
          <cell r="F800" t="str">
            <v>ណុប​ដេត</v>
          </cell>
          <cell r="G800" t="str">
            <v xml:space="preserve">NOP </v>
          </cell>
          <cell r="H800" t="str">
            <v>DET</v>
          </cell>
          <cell r="I800" t="str">
            <v>NOP DET</v>
          </cell>
          <cell r="J800" t="str">
            <v>ប្រុស</v>
          </cell>
          <cell r="K800">
            <v>36506</v>
          </cell>
          <cell r="L800">
            <v>44054</v>
          </cell>
        </row>
        <row r="801">
          <cell r="C801">
            <v>4088</v>
          </cell>
          <cell r="D801" t="str">
            <v>នេត</v>
          </cell>
          <cell r="E801" t="str">
            <v>ស្រីទូច</v>
          </cell>
          <cell r="F801" t="str">
            <v>នេតស្រីទូច</v>
          </cell>
          <cell r="G801" t="str">
            <v>NET</v>
          </cell>
          <cell r="H801" t="str">
            <v>SREY TOUCH</v>
          </cell>
          <cell r="I801" t="str">
            <v>NETSREY TOUCH</v>
          </cell>
          <cell r="J801" t="str">
            <v>ស្រី</v>
          </cell>
          <cell r="K801">
            <v>32435</v>
          </cell>
          <cell r="L801">
            <v>44053</v>
          </cell>
        </row>
        <row r="802">
          <cell r="C802">
            <v>4090</v>
          </cell>
          <cell r="D802" t="str">
            <v>សេង</v>
          </cell>
          <cell r="E802" t="str">
            <v>សុខា</v>
          </cell>
          <cell r="F802" t="str">
            <v>សេងសុខា</v>
          </cell>
          <cell r="G802" t="str">
            <v>SENG</v>
          </cell>
          <cell r="H802" t="str">
            <v>SOKHA</v>
          </cell>
          <cell r="I802" t="str">
            <v>SENGSOKHA</v>
          </cell>
          <cell r="J802" t="str">
            <v>ប្រុស</v>
          </cell>
          <cell r="K802">
            <v>31235</v>
          </cell>
          <cell r="L802">
            <v>44075</v>
          </cell>
        </row>
        <row r="803">
          <cell r="C803">
            <v>4091</v>
          </cell>
          <cell r="D803" t="str">
            <v>ខេង</v>
          </cell>
          <cell r="E803" t="str">
            <v>ផាណា</v>
          </cell>
          <cell r="F803" t="str">
            <v>ខេងផាណា</v>
          </cell>
          <cell r="G803" t="str">
            <v>KHENG</v>
          </cell>
          <cell r="H803" t="str">
            <v>PHANA</v>
          </cell>
          <cell r="I803" t="str">
            <v>KHENGPHANA</v>
          </cell>
          <cell r="J803" t="str">
            <v>ស្រី</v>
          </cell>
          <cell r="K803">
            <v>36529</v>
          </cell>
          <cell r="L803">
            <v>44096</v>
          </cell>
        </row>
        <row r="804">
          <cell r="C804">
            <v>4092</v>
          </cell>
          <cell r="D804" t="str">
            <v>សុខ</v>
          </cell>
          <cell r="E804" t="str">
            <v>សិលា</v>
          </cell>
          <cell r="F804" t="str">
            <v>សុខសិលា</v>
          </cell>
          <cell r="G804" t="str">
            <v>SOK</v>
          </cell>
          <cell r="H804" t="str">
            <v>SELA</v>
          </cell>
          <cell r="I804" t="str">
            <v>SOKSELA</v>
          </cell>
          <cell r="J804" t="str">
            <v>ស្រី</v>
          </cell>
          <cell r="K804">
            <v>37479</v>
          </cell>
          <cell r="L804">
            <v>44097</v>
          </cell>
        </row>
        <row r="805">
          <cell r="C805">
            <v>4093</v>
          </cell>
          <cell r="D805" t="str">
            <v>ចាន់</v>
          </cell>
          <cell r="E805" t="str">
            <v>ផាន់នី</v>
          </cell>
          <cell r="F805" t="str">
            <v>ចាន់ផាន់នី</v>
          </cell>
          <cell r="G805" t="str">
            <v>CHAN</v>
          </cell>
          <cell r="H805" t="str">
            <v>PHANNY</v>
          </cell>
          <cell r="I805" t="str">
            <v>CHANPHANNY</v>
          </cell>
          <cell r="J805" t="str">
            <v>ស្រី</v>
          </cell>
          <cell r="K805">
            <v>33073</v>
          </cell>
          <cell r="L805">
            <v>44099</v>
          </cell>
        </row>
        <row r="806">
          <cell r="C806">
            <v>1522</v>
          </cell>
          <cell r="D806" t="str">
            <v>ប៉ាន់</v>
          </cell>
          <cell r="E806" t="str">
            <v>ស៊ីឌឿន</v>
          </cell>
          <cell r="F806" t="str">
            <v>ប៉ាន់ស៊ីឌឿន</v>
          </cell>
          <cell r="G806" t="str">
            <v>PANN</v>
          </cell>
          <cell r="H806" t="str">
            <v>SIDOEUN</v>
          </cell>
          <cell r="I806" t="str">
            <v>PANNSIDOEUN</v>
          </cell>
          <cell r="J806" t="str">
            <v>ស្រី</v>
          </cell>
          <cell r="K806">
            <v>33351</v>
          </cell>
          <cell r="L806">
            <v>42500</v>
          </cell>
        </row>
        <row r="807">
          <cell r="C807">
            <v>3912</v>
          </cell>
          <cell r="D807" t="str">
            <v>មុត</v>
          </cell>
          <cell r="E807" t="str">
            <v>សុវណ្ណវត្តី</v>
          </cell>
          <cell r="F807" t="str">
            <v>មុតសុវណ្ណវត្តី</v>
          </cell>
          <cell r="G807" t="str">
            <v>MUTH</v>
          </cell>
          <cell r="H807" t="str">
            <v>SOVAN VOTEY</v>
          </cell>
          <cell r="I807" t="str">
            <v>MUTHSOVAN VOTEY</v>
          </cell>
          <cell r="J807" t="str">
            <v>ស្រី</v>
          </cell>
          <cell r="K807">
            <v>37082</v>
          </cell>
          <cell r="L807">
            <v>43833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3"/>
  <sheetViews>
    <sheetView tabSelected="1" zoomScaleNormal="100" workbookViewId="0">
      <pane xSplit="7" ySplit="3" topLeftCell="H4" activePane="bottomRight" state="frozen"/>
      <selection pane="topRight" activeCell="F1" sqref="F1"/>
      <selection pane="bottomLeft" activeCell="A4" sqref="A4"/>
      <selection pane="bottomRight" activeCell="E2" sqref="E2"/>
    </sheetView>
  </sheetViews>
  <sheetFormatPr defaultRowHeight="15.75"/>
  <cols>
    <col min="1" max="1" width="6.7109375" style="5" customWidth="1"/>
    <col min="2" max="3" width="9.140625" style="8"/>
    <col min="4" max="4" width="17.5703125" style="9" bestFit="1" customWidth="1"/>
    <col min="5" max="6" width="12.140625" style="12" customWidth="1"/>
    <col min="7" max="7" width="23.28515625" bestFit="1" customWidth="1"/>
    <col min="8" max="8" width="9.7109375" style="2" bestFit="1" customWidth="1"/>
    <col min="9" max="11" width="9.140625" style="2"/>
    <col min="12" max="12" width="10.5703125" style="2" customWidth="1"/>
    <col min="13" max="13" width="14.5703125" customWidth="1"/>
    <col min="14" max="14" width="10.42578125" bestFit="1" customWidth="1"/>
    <col min="15" max="15" width="12.7109375" customWidth="1"/>
    <col min="20" max="20" width="18" customWidth="1"/>
    <col min="21" max="21" width="9.7109375" style="2" bestFit="1" customWidth="1"/>
    <col min="22" max="24" width="9.140625" style="2"/>
    <col min="25" max="25" width="10.5703125" style="2" customWidth="1"/>
    <col min="26" max="26" width="14.5703125" customWidth="1"/>
    <col min="27" max="27" width="10.42578125" bestFit="1" customWidth="1"/>
    <col min="28" max="28" width="12.7109375" customWidth="1"/>
    <col min="29" max="29" width="9.7109375" bestFit="1" customWidth="1"/>
  </cols>
  <sheetData>
    <row r="1" spans="1:36" ht="20.25" thickBot="1">
      <c r="A1" s="6"/>
      <c r="H1" s="367" t="s">
        <v>6014</v>
      </c>
      <c r="I1" s="368"/>
      <c r="J1" s="368"/>
      <c r="K1" s="368"/>
      <c r="L1" s="368"/>
      <c r="M1" s="368"/>
      <c r="N1" s="368"/>
      <c r="O1" s="369"/>
      <c r="U1" s="341" t="s">
        <v>6015</v>
      </c>
      <c r="V1" s="342"/>
      <c r="W1" s="342"/>
      <c r="X1" s="342"/>
      <c r="Y1" s="342"/>
      <c r="Z1" s="342"/>
      <c r="AA1" s="342"/>
      <c r="AB1" s="343"/>
    </row>
    <row r="2" spans="1:36" ht="22.5" customHeight="1">
      <c r="A2" s="50" t="s">
        <v>1</v>
      </c>
      <c r="B2" s="51" t="s">
        <v>2</v>
      </c>
      <c r="C2" s="344" t="s">
        <v>0</v>
      </c>
      <c r="D2" s="345"/>
      <c r="E2" s="52" t="s">
        <v>4</v>
      </c>
      <c r="F2" s="372" t="s">
        <v>73</v>
      </c>
      <c r="G2" s="340" t="s">
        <v>3</v>
      </c>
      <c r="H2" s="373" t="s">
        <v>74</v>
      </c>
      <c r="I2" s="374" t="s">
        <v>5</v>
      </c>
      <c r="J2" s="374" t="s">
        <v>6</v>
      </c>
      <c r="K2" s="374" t="s">
        <v>3</v>
      </c>
      <c r="L2" s="374" t="s">
        <v>7</v>
      </c>
      <c r="M2" s="375" t="s">
        <v>75</v>
      </c>
      <c r="N2" s="374" t="s">
        <v>127</v>
      </c>
      <c r="O2" s="376" t="s">
        <v>77</v>
      </c>
      <c r="P2" s="359" t="s">
        <v>6096</v>
      </c>
      <c r="Q2" s="360" t="s">
        <v>6097</v>
      </c>
      <c r="R2" s="360" t="s">
        <v>6098</v>
      </c>
      <c r="S2" s="361" t="s">
        <v>6099</v>
      </c>
      <c r="T2" s="362" t="s">
        <v>6100</v>
      </c>
      <c r="U2" s="54" t="s">
        <v>74</v>
      </c>
      <c r="V2" s="55" t="s">
        <v>5</v>
      </c>
      <c r="W2" s="55" t="s">
        <v>6</v>
      </c>
      <c r="X2" s="55" t="s">
        <v>3</v>
      </c>
      <c r="Y2" s="55" t="s">
        <v>7</v>
      </c>
      <c r="Z2" s="56" t="s">
        <v>75</v>
      </c>
      <c r="AA2" s="55" t="s">
        <v>126</v>
      </c>
      <c r="AB2" s="45" t="s">
        <v>77</v>
      </c>
    </row>
    <row r="3" spans="1:36" ht="22.5" customHeight="1" thickBot="1">
      <c r="A3" s="53"/>
      <c r="B3" s="38" t="s">
        <v>118</v>
      </c>
      <c r="C3" s="346" t="s">
        <v>118</v>
      </c>
      <c r="D3" s="347"/>
      <c r="E3" s="39" t="s">
        <v>128</v>
      </c>
      <c r="F3" s="377" t="s">
        <v>6064</v>
      </c>
      <c r="G3" s="43" t="s">
        <v>129</v>
      </c>
      <c r="H3" s="40" t="s">
        <v>119</v>
      </c>
      <c r="I3" s="41" t="s">
        <v>120</v>
      </c>
      <c r="J3" s="41" t="s">
        <v>121</v>
      </c>
      <c r="K3" s="41" t="s">
        <v>122</v>
      </c>
      <c r="L3" s="41" t="s">
        <v>123</v>
      </c>
      <c r="M3" s="42" t="s">
        <v>124</v>
      </c>
      <c r="N3" s="41" t="s">
        <v>125</v>
      </c>
      <c r="O3" s="44" t="s">
        <v>6106</v>
      </c>
      <c r="P3" s="363" t="s">
        <v>6101</v>
      </c>
      <c r="Q3" s="39" t="s">
        <v>6102</v>
      </c>
      <c r="R3" s="39" t="s">
        <v>6103</v>
      </c>
      <c r="S3" s="39" t="s">
        <v>6104</v>
      </c>
      <c r="T3" s="364" t="s">
        <v>6105</v>
      </c>
      <c r="U3" s="40" t="s">
        <v>119</v>
      </c>
      <c r="V3" s="41" t="s">
        <v>120</v>
      </c>
      <c r="W3" s="41" t="s">
        <v>121</v>
      </c>
      <c r="X3" s="41" t="s">
        <v>122</v>
      </c>
      <c r="Y3" s="41" t="s">
        <v>123</v>
      </c>
      <c r="Z3" s="42" t="s">
        <v>124</v>
      </c>
      <c r="AA3" s="41" t="s">
        <v>125</v>
      </c>
      <c r="AB3" s="44" t="s">
        <v>6107</v>
      </c>
    </row>
    <row r="4" spans="1:36" ht="21.75" customHeight="1">
      <c r="A4" s="48">
        <f>1</f>
        <v>1</v>
      </c>
      <c r="B4" s="331">
        <v>3233</v>
      </c>
      <c r="C4" s="370" t="str">
        <f>VLOOKUP(B4,[1]Sheet2!$C$4:$L$9000,5,FALSE)</f>
        <v>HANG</v>
      </c>
      <c r="D4" s="370" t="str">
        <f>VLOOKUP(B4,[1]Sheet2!$C$4:$L$9000,6,FALSE)</f>
        <v>CHIN</v>
      </c>
      <c r="E4" s="332">
        <v>43745</v>
      </c>
      <c r="F4" s="332" t="s">
        <v>6024</v>
      </c>
      <c r="G4" s="49" t="s">
        <v>6095</v>
      </c>
      <c r="H4" s="47">
        <v>190</v>
      </c>
      <c r="I4" s="47">
        <v>0</v>
      </c>
      <c r="J4" s="47">
        <v>20</v>
      </c>
      <c r="K4" s="47">
        <v>60</v>
      </c>
      <c r="L4" s="47">
        <v>150</v>
      </c>
      <c r="M4" s="371">
        <v>7</v>
      </c>
      <c r="N4" s="371">
        <v>10</v>
      </c>
      <c r="O4" s="320">
        <f>SUM(H4:N4)</f>
        <v>437</v>
      </c>
      <c r="P4" s="365"/>
      <c r="Q4" s="366"/>
      <c r="R4" s="365"/>
      <c r="S4" s="365"/>
      <c r="T4" s="365"/>
      <c r="U4" s="20">
        <f>H4+2</f>
        <v>192</v>
      </c>
      <c r="V4" s="20">
        <f>I4</f>
        <v>0</v>
      </c>
      <c r="W4" s="20">
        <f t="shared" ref="W4:W61" si="0">J4</f>
        <v>20</v>
      </c>
      <c r="X4" s="20">
        <f t="shared" ref="X4:X61" si="1">K4</f>
        <v>60</v>
      </c>
      <c r="Y4" s="20">
        <f t="shared" ref="Y4:Y61" si="2">L4</f>
        <v>150</v>
      </c>
      <c r="Z4" s="20">
        <f t="shared" ref="Z4:Z61" si="3">M4</f>
        <v>7</v>
      </c>
      <c r="AA4" s="20">
        <f t="shared" ref="AA4:AA61" si="4">N4</f>
        <v>10</v>
      </c>
      <c r="AB4" s="320">
        <f>SUM(U4:AA4)</f>
        <v>439</v>
      </c>
      <c r="AC4" s="58">
        <f>U4-H4</f>
        <v>2</v>
      </c>
      <c r="AD4" s="58">
        <f>V4-I4</f>
        <v>0</v>
      </c>
      <c r="AE4" s="58">
        <f>W4-J4</f>
        <v>0</v>
      </c>
      <c r="AF4" s="58">
        <f>X4-K4</f>
        <v>0</v>
      </c>
      <c r="AG4" s="58">
        <f>Y4-L4</f>
        <v>0</v>
      </c>
      <c r="AH4" s="58">
        <f>Z4-M4</f>
        <v>0</v>
      </c>
      <c r="AI4" s="58">
        <f>AA4-N4</f>
        <v>0</v>
      </c>
      <c r="AJ4" s="58">
        <f>AB4-O4</f>
        <v>2</v>
      </c>
    </row>
    <row r="5" spans="1:36" ht="21.75" customHeight="1">
      <c r="A5" s="1">
        <f t="shared" ref="A5:A61" si="5">1+A4</f>
        <v>2</v>
      </c>
      <c r="B5" s="10">
        <v>3227</v>
      </c>
      <c r="C5" s="93" t="str">
        <f>VLOOKUP(B5,[1]Sheet2!$C$4:$L$9000,5,FALSE)</f>
        <v>SEUN</v>
      </c>
      <c r="D5" s="93" t="str">
        <f>VLOOKUP(B5,[1]Sheet2!$C$4:$L$9000,6,FALSE)</f>
        <v>SAMNA</v>
      </c>
      <c r="E5" s="83">
        <v>43742</v>
      </c>
      <c r="F5" s="83" t="s">
        <v>6041</v>
      </c>
      <c r="G5" s="4" t="s">
        <v>6044</v>
      </c>
      <c r="H5" s="20">
        <v>190</v>
      </c>
      <c r="I5" s="20">
        <v>0</v>
      </c>
      <c r="J5" s="20">
        <v>20</v>
      </c>
      <c r="K5" s="20">
        <v>30</v>
      </c>
      <c r="L5" s="20">
        <v>0</v>
      </c>
      <c r="M5" s="29">
        <v>7</v>
      </c>
      <c r="N5" s="29">
        <v>10</v>
      </c>
      <c r="O5" s="320">
        <f t="shared" ref="O5:O61" si="6">SUM(H5:N5)</f>
        <v>257</v>
      </c>
      <c r="P5" s="3"/>
      <c r="Q5" s="3"/>
      <c r="R5" s="3"/>
      <c r="S5" s="3"/>
      <c r="T5" s="3"/>
      <c r="U5" s="20">
        <f t="shared" ref="U5:U61" si="7">H5+2</f>
        <v>192</v>
      </c>
      <c r="V5" s="20">
        <f t="shared" ref="V5:V61" si="8">I5</f>
        <v>0</v>
      </c>
      <c r="W5" s="20">
        <f t="shared" si="0"/>
        <v>20</v>
      </c>
      <c r="X5" s="20">
        <f t="shared" si="1"/>
        <v>30</v>
      </c>
      <c r="Y5" s="20">
        <f t="shared" si="2"/>
        <v>0</v>
      </c>
      <c r="Z5" s="20">
        <f t="shared" si="3"/>
        <v>7</v>
      </c>
      <c r="AA5" s="20">
        <f t="shared" si="4"/>
        <v>10</v>
      </c>
      <c r="AB5" s="320">
        <f t="shared" ref="AB5:AB19" si="9">SUM(U5:AA5)</f>
        <v>259</v>
      </c>
      <c r="AC5" s="58">
        <f t="shared" ref="AC5:AC61" si="10">U5-H5</f>
        <v>2</v>
      </c>
      <c r="AD5" s="58">
        <f t="shared" ref="AD5:AD61" si="11">V5-I5</f>
        <v>0</v>
      </c>
      <c r="AE5" s="58">
        <f t="shared" ref="AE5:AE61" si="12">W5-J5</f>
        <v>0</v>
      </c>
      <c r="AF5" s="58">
        <f t="shared" ref="AF5:AF61" si="13">X5-K5</f>
        <v>0</v>
      </c>
      <c r="AG5" s="58">
        <f t="shared" ref="AG5:AG61" si="14">Y5-L5</f>
        <v>0</v>
      </c>
      <c r="AH5" s="58">
        <f t="shared" ref="AH5:AH61" si="15">Z5-M5</f>
        <v>0</v>
      </c>
      <c r="AI5" s="58">
        <f t="shared" ref="AI5:AI61" si="16">AA5-N5</f>
        <v>0</v>
      </c>
      <c r="AJ5" s="58">
        <f t="shared" ref="AJ5:AJ60" si="17">AB5-O5</f>
        <v>2</v>
      </c>
    </row>
    <row r="6" spans="1:36" ht="21.75" customHeight="1">
      <c r="A6" s="1">
        <f t="shared" si="5"/>
        <v>3</v>
      </c>
      <c r="B6" s="10">
        <v>3577</v>
      </c>
      <c r="C6" s="93" t="str">
        <f>VLOOKUP(B6,[1]Sheet2!$C$4:$L$9000,5,FALSE)</f>
        <v>KHUON</v>
      </c>
      <c r="D6" s="93" t="str">
        <f>VLOOKUP(B6,[1]Sheet2!$C$4:$L$9000,6,FALSE)</f>
        <v>CHAMROEN</v>
      </c>
      <c r="E6" s="83">
        <v>43746</v>
      </c>
      <c r="F6" s="83" t="s">
        <v>6041</v>
      </c>
      <c r="G6" s="3" t="s">
        <v>6042</v>
      </c>
      <c r="H6" s="20">
        <v>190</v>
      </c>
      <c r="I6" s="20">
        <v>0</v>
      </c>
      <c r="J6" s="20">
        <v>20</v>
      </c>
      <c r="K6" s="20">
        <v>10</v>
      </c>
      <c r="L6" s="20">
        <v>0</v>
      </c>
      <c r="M6" s="29">
        <v>7</v>
      </c>
      <c r="N6" s="29">
        <v>10</v>
      </c>
      <c r="O6" s="320">
        <f t="shared" si="6"/>
        <v>237</v>
      </c>
      <c r="P6" s="3"/>
      <c r="Q6" s="3"/>
      <c r="R6" s="3"/>
      <c r="S6" s="3"/>
      <c r="T6" s="3"/>
      <c r="U6" s="20">
        <f t="shared" si="7"/>
        <v>192</v>
      </c>
      <c r="V6" s="20">
        <f t="shared" si="8"/>
        <v>0</v>
      </c>
      <c r="W6" s="20">
        <f t="shared" si="0"/>
        <v>20</v>
      </c>
      <c r="X6" s="20">
        <f t="shared" si="1"/>
        <v>10</v>
      </c>
      <c r="Y6" s="20">
        <f t="shared" si="2"/>
        <v>0</v>
      </c>
      <c r="Z6" s="20">
        <f t="shared" si="3"/>
        <v>7</v>
      </c>
      <c r="AA6" s="20">
        <f t="shared" si="4"/>
        <v>10</v>
      </c>
      <c r="AB6" s="320">
        <f t="shared" si="9"/>
        <v>239</v>
      </c>
      <c r="AC6" s="58">
        <f t="shared" si="10"/>
        <v>2</v>
      </c>
      <c r="AD6" s="58">
        <f t="shared" si="11"/>
        <v>0</v>
      </c>
      <c r="AE6" s="58">
        <f t="shared" si="12"/>
        <v>0</v>
      </c>
      <c r="AF6" s="58">
        <f t="shared" si="13"/>
        <v>0</v>
      </c>
      <c r="AG6" s="58">
        <f t="shared" si="14"/>
        <v>0</v>
      </c>
      <c r="AH6" s="58">
        <f t="shared" si="15"/>
        <v>0</v>
      </c>
      <c r="AI6" s="58">
        <f t="shared" si="16"/>
        <v>0</v>
      </c>
      <c r="AJ6" s="58">
        <f t="shared" si="17"/>
        <v>2</v>
      </c>
    </row>
    <row r="7" spans="1:36" ht="21.75" customHeight="1">
      <c r="A7" s="1">
        <f t="shared" si="5"/>
        <v>4</v>
      </c>
      <c r="B7" s="10">
        <v>3960</v>
      </c>
      <c r="C7" s="93" t="str">
        <f>VLOOKUP(B7,[1]Sheet2!$C$4:$L$9000,5,FALSE)</f>
        <v>HANG</v>
      </c>
      <c r="D7" s="93" t="str">
        <f>VLOOKUP(B7,[1]Sheet2!$C$4:$L$9000,6,FALSE)</f>
        <v>CHANNY</v>
      </c>
      <c r="E7" s="83">
        <v>43851</v>
      </c>
      <c r="F7" s="83" t="s">
        <v>6070</v>
      </c>
      <c r="G7" s="4" t="s">
        <v>6068</v>
      </c>
      <c r="H7" s="20">
        <v>190</v>
      </c>
      <c r="I7" s="20">
        <v>0</v>
      </c>
      <c r="J7" s="20">
        <v>20</v>
      </c>
      <c r="K7" s="20">
        <v>30</v>
      </c>
      <c r="L7" s="20">
        <v>0</v>
      </c>
      <c r="M7" s="29">
        <v>7</v>
      </c>
      <c r="N7" s="29">
        <v>10</v>
      </c>
      <c r="O7" s="320">
        <f t="shared" si="6"/>
        <v>257</v>
      </c>
      <c r="P7" s="3"/>
      <c r="Q7" s="3"/>
      <c r="R7" s="3"/>
      <c r="S7" s="3"/>
      <c r="T7" s="3"/>
      <c r="U7" s="20">
        <f t="shared" si="7"/>
        <v>192</v>
      </c>
      <c r="V7" s="20">
        <f t="shared" si="8"/>
        <v>0</v>
      </c>
      <c r="W7" s="20">
        <f t="shared" si="0"/>
        <v>20</v>
      </c>
      <c r="X7" s="20">
        <f t="shared" si="1"/>
        <v>30</v>
      </c>
      <c r="Y7" s="20">
        <f t="shared" si="2"/>
        <v>0</v>
      </c>
      <c r="Z7" s="20">
        <f t="shared" si="3"/>
        <v>7</v>
      </c>
      <c r="AA7" s="20">
        <f t="shared" si="4"/>
        <v>10</v>
      </c>
      <c r="AB7" s="320">
        <f t="shared" si="9"/>
        <v>259</v>
      </c>
      <c r="AC7" s="58">
        <f t="shared" si="10"/>
        <v>2</v>
      </c>
      <c r="AD7" s="58">
        <f t="shared" si="11"/>
        <v>0</v>
      </c>
      <c r="AE7" s="58">
        <f t="shared" si="12"/>
        <v>0</v>
      </c>
      <c r="AF7" s="58">
        <f t="shared" si="13"/>
        <v>0</v>
      </c>
      <c r="AG7" s="58">
        <f t="shared" si="14"/>
        <v>0</v>
      </c>
      <c r="AH7" s="58">
        <f t="shared" si="15"/>
        <v>0</v>
      </c>
      <c r="AI7" s="58">
        <f t="shared" si="16"/>
        <v>0</v>
      </c>
      <c r="AJ7" s="58">
        <f t="shared" si="17"/>
        <v>2</v>
      </c>
    </row>
    <row r="8" spans="1:36" ht="21.75" customHeight="1">
      <c r="A8" s="1">
        <f t="shared" si="5"/>
        <v>5</v>
      </c>
      <c r="B8" s="10">
        <v>3964</v>
      </c>
      <c r="C8" s="93" t="str">
        <f>VLOOKUP(B8,[1]Sheet2!$C$4:$L$9000,5,FALSE)</f>
        <v>HIN</v>
      </c>
      <c r="D8" s="93" t="str">
        <f>VLOOKUP(B8,[1]Sheet2!$C$4:$L$9000,6,FALSE)</f>
        <v>RITH</v>
      </c>
      <c r="E8" s="83">
        <v>43852</v>
      </c>
      <c r="F8" s="83" t="s">
        <v>6070</v>
      </c>
      <c r="G8" s="3" t="s">
        <v>6069</v>
      </c>
      <c r="H8" s="20">
        <v>190</v>
      </c>
      <c r="I8" s="20">
        <v>0</v>
      </c>
      <c r="J8" s="20">
        <v>20</v>
      </c>
      <c r="K8" s="20">
        <v>10</v>
      </c>
      <c r="L8" s="20">
        <v>0</v>
      </c>
      <c r="M8" s="29">
        <v>7</v>
      </c>
      <c r="N8" s="29">
        <v>10</v>
      </c>
      <c r="O8" s="320">
        <f t="shared" si="6"/>
        <v>237</v>
      </c>
      <c r="P8" s="3"/>
      <c r="Q8" s="3"/>
      <c r="R8" s="3"/>
      <c r="S8" s="3"/>
      <c r="T8" s="3"/>
      <c r="U8" s="20">
        <f t="shared" si="7"/>
        <v>192</v>
      </c>
      <c r="V8" s="20">
        <f t="shared" si="8"/>
        <v>0</v>
      </c>
      <c r="W8" s="20">
        <f t="shared" si="0"/>
        <v>20</v>
      </c>
      <c r="X8" s="20">
        <f t="shared" si="1"/>
        <v>10</v>
      </c>
      <c r="Y8" s="20">
        <f t="shared" si="2"/>
        <v>0</v>
      </c>
      <c r="Z8" s="20">
        <f t="shared" si="3"/>
        <v>7</v>
      </c>
      <c r="AA8" s="20">
        <f t="shared" si="4"/>
        <v>10</v>
      </c>
      <c r="AB8" s="320">
        <f t="shared" si="9"/>
        <v>239</v>
      </c>
      <c r="AC8" s="58">
        <f t="shared" si="10"/>
        <v>2</v>
      </c>
      <c r="AD8" s="58">
        <f t="shared" si="11"/>
        <v>0</v>
      </c>
      <c r="AE8" s="58">
        <f t="shared" si="12"/>
        <v>0</v>
      </c>
      <c r="AF8" s="58">
        <f t="shared" si="13"/>
        <v>0</v>
      </c>
      <c r="AG8" s="58">
        <f t="shared" si="14"/>
        <v>0</v>
      </c>
      <c r="AH8" s="58">
        <f t="shared" si="15"/>
        <v>0</v>
      </c>
      <c r="AI8" s="58">
        <f t="shared" si="16"/>
        <v>0</v>
      </c>
      <c r="AJ8" s="58">
        <f t="shared" si="17"/>
        <v>2</v>
      </c>
    </row>
    <row r="9" spans="1:36" ht="21.75" customHeight="1">
      <c r="A9" s="1">
        <f t="shared" si="5"/>
        <v>6</v>
      </c>
      <c r="B9" s="10">
        <v>5052</v>
      </c>
      <c r="C9" s="93" t="s">
        <v>1007</v>
      </c>
      <c r="D9" s="93" t="s">
        <v>6081</v>
      </c>
      <c r="E9" s="170">
        <v>44141</v>
      </c>
      <c r="F9" s="37" t="s">
        <v>6078</v>
      </c>
      <c r="G9" s="4" t="s">
        <v>6079</v>
      </c>
      <c r="H9" s="20">
        <v>190</v>
      </c>
      <c r="I9" s="20">
        <v>0</v>
      </c>
      <c r="J9" s="20">
        <v>0</v>
      </c>
      <c r="K9" s="20">
        <v>0</v>
      </c>
      <c r="L9" s="20">
        <v>0</v>
      </c>
      <c r="M9" s="29">
        <v>7</v>
      </c>
      <c r="N9" s="29">
        <v>10</v>
      </c>
      <c r="O9" s="320">
        <f t="shared" si="6"/>
        <v>207</v>
      </c>
      <c r="P9" s="3"/>
      <c r="Q9" s="3"/>
      <c r="R9" s="3"/>
      <c r="S9" s="3"/>
      <c r="T9" s="3"/>
      <c r="U9" s="20">
        <f t="shared" si="7"/>
        <v>192</v>
      </c>
      <c r="V9" s="20">
        <f t="shared" si="8"/>
        <v>0</v>
      </c>
      <c r="W9" s="20">
        <f t="shared" si="0"/>
        <v>0</v>
      </c>
      <c r="X9" s="20">
        <f t="shared" si="1"/>
        <v>0</v>
      </c>
      <c r="Y9" s="20">
        <f t="shared" si="2"/>
        <v>0</v>
      </c>
      <c r="Z9" s="20">
        <f t="shared" si="3"/>
        <v>7</v>
      </c>
      <c r="AA9" s="20">
        <f t="shared" si="4"/>
        <v>10</v>
      </c>
      <c r="AB9" s="320">
        <f t="shared" si="9"/>
        <v>209</v>
      </c>
      <c r="AC9" s="58">
        <f t="shared" si="10"/>
        <v>2</v>
      </c>
      <c r="AD9" s="58">
        <f t="shared" si="11"/>
        <v>0</v>
      </c>
      <c r="AE9" s="58">
        <f t="shared" si="12"/>
        <v>0</v>
      </c>
      <c r="AF9" s="58">
        <f t="shared" si="13"/>
        <v>0</v>
      </c>
      <c r="AG9" s="58">
        <f t="shared" si="14"/>
        <v>0</v>
      </c>
      <c r="AH9" s="58">
        <f t="shared" si="15"/>
        <v>0</v>
      </c>
      <c r="AI9" s="58">
        <f t="shared" si="16"/>
        <v>0</v>
      </c>
      <c r="AJ9" s="58">
        <f t="shared" si="17"/>
        <v>2</v>
      </c>
    </row>
    <row r="10" spans="1:36" ht="21.75" customHeight="1">
      <c r="A10" s="1">
        <f t="shared" si="5"/>
        <v>7</v>
      </c>
      <c r="B10" s="10">
        <v>5008</v>
      </c>
      <c r="C10" s="93" t="s">
        <v>6082</v>
      </c>
      <c r="D10" s="93" t="s">
        <v>6083</v>
      </c>
      <c r="E10" s="37">
        <v>43784</v>
      </c>
      <c r="F10" s="37" t="s">
        <v>6078</v>
      </c>
      <c r="G10" s="3" t="s">
        <v>6080</v>
      </c>
      <c r="H10" s="22">
        <v>185</v>
      </c>
      <c r="I10" s="22">
        <v>0</v>
      </c>
      <c r="J10" s="22">
        <v>0</v>
      </c>
      <c r="K10" s="22">
        <v>10</v>
      </c>
      <c r="L10" s="20">
        <v>0</v>
      </c>
      <c r="M10" s="29">
        <v>7</v>
      </c>
      <c r="N10" s="29">
        <v>10</v>
      </c>
      <c r="O10" s="320">
        <f t="shared" si="6"/>
        <v>212</v>
      </c>
      <c r="P10" s="3"/>
      <c r="Q10" s="3"/>
      <c r="R10" s="3"/>
      <c r="S10" s="3"/>
      <c r="T10" s="3"/>
      <c r="U10" s="20">
        <f t="shared" si="7"/>
        <v>187</v>
      </c>
      <c r="V10" s="20">
        <f t="shared" si="8"/>
        <v>0</v>
      </c>
      <c r="W10" s="20">
        <f t="shared" si="0"/>
        <v>0</v>
      </c>
      <c r="X10" s="20">
        <f t="shared" si="1"/>
        <v>10</v>
      </c>
      <c r="Y10" s="20">
        <f t="shared" si="2"/>
        <v>0</v>
      </c>
      <c r="Z10" s="20">
        <f t="shared" si="3"/>
        <v>7</v>
      </c>
      <c r="AA10" s="20">
        <f t="shared" si="4"/>
        <v>10</v>
      </c>
      <c r="AB10" s="320">
        <f t="shared" si="9"/>
        <v>214</v>
      </c>
      <c r="AC10" s="58">
        <f t="shared" si="10"/>
        <v>2</v>
      </c>
      <c r="AD10" s="58">
        <f t="shared" si="11"/>
        <v>0</v>
      </c>
      <c r="AE10" s="58">
        <f t="shared" si="12"/>
        <v>0</v>
      </c>
      <c r="AF10" s="58">
        <f t="shared" si="13"/>
        <v>0</v>
      </c>
      <c r="AG10" s="58">
        <f t="shared" si="14"/>
        <v>0</v>
      </c>
      <c r="AH10" s="58">
        <f t="shared" si="15"/>
        <v>0</v>
      </c>
      <c r="AI10" s="58">
        <f t="shared" si="16"/>
        <v>0</v>
      </c>
      <c r="AJ10" s="58">
        <f t="shared" si="17"/>
        <v>2</v>
      </c>
    </row>
    <row r="11" spans="1:36" ht="21.75" customHeight="1">
      <c r="A11" s="1">
        <f t="shared" si="5"/>
        <v>8</v>
      </c>
      <c r="B11" s="327">
        <v>10</v>
      </c>
      <c r="C11" s="329" t="str">
        <f>VLOOKUP(B11,[1]Sheet2!$C$4:$L$9000,5,FALSE)</f>
        <v>NHEL</v>
      </c>
      <c r="D11" s="329" t="str">
        <f>VLOOKUP(B11,[1]Sheet2!$C$4:$L$9000,6,FALSE)</f>
        <v>CHANTHEA</v>
      </c>
      <c r="E11" s="330">
        <v>41575</v>
      </c>
      <c r="F11" s="330" t="s">
        <v>6024</v>
      </c>
      <c r="G11" s="4" t="s">
        <v>6095</v>
      </c>
      <c r="H11" s="20">
        <v>190</v>
      </c>
      <c r="I11" s="20">
        <v>7</v>
      </c>
      <c r="J11" s="20">
        <v>20</v>
      </c>
      <c r="K11" s="20">
        <v>170</v>
      </c>
      <c r="L11" s="20">
        <v>75</v>
      </c>
      <c r="M11" s="29">
        <v>7</v>
      </c>
      <c r="N11" s="29">
        <v>10</v>
      </c>
      <c r="O11" s="320">
        <f t="shared" si="6"/>
        <v>479</v>
      </c>
      <c r="P11" s="3"/>
      <c r="Q11" s="3"/>
      <c r="R11" s="3"/>
      <c r="S11" s="3"/>
      <c r="T11" s="3"/>
      <c r="U11" s="20">
        <f t="shared" si="7"/>
        <v>192</v>
      </c>
      <c r="V11" s="20">
        <f t="shared" si="8"/>
        <v>7</v>
      </c>
      <c r="W11" s="20">
        <f t="shared" si="0"/>
        <v>20</v>
      </c>
      <c r="X11" s="20">
        <f t="shared" si="1"/>
        <v>170</v>
      </c>
      <c r="Y11" s="20">
        <f t="shared" si="2"/>
        <v>75</v>
      </c>
      <c r="Z11" s="20">
        <f t="shared" si="3"/>
        <v>7</v>
      </c>
      <c r="AA11" s="20">
        <f t="shared" si="4"/>
        <v>10</v>
      </c>
      <c r="AB11" s="320">
        <f t="shared" si="9"/>
        <v>481</v>
      </c>
      <c r="AC11" s="58">
        <f t="shared" si="10"/>
        <v>2</v>
      </c>
      <c r="AD11" s="58">
        <f t="shared" si="11"/>
        <v>0</v>
      </c>
      <c r="AE11" s="58">
        <f t="shared" si="12"/>
        <v>0</v>
      </c>
      <c r="AF11" s="58">
        <f t="shared" si="13"/>
        <v>0</v>
      </c>
      <c r="AG11" s="58">
        <f t="shared" si="14"/>
        <v>0</v>
      </c>
      <c r="AH11" s="58">
        <f t="shared" si="15"/>
        <v>0</v>
      </c>
      <c r="AI11" s="58">
        <f t="shared" si="16"/>
        <v>0</v>
      </c>
      <c r="AJ11" s="58">
        <f t="shared" si="17"/>
        <v>2</v>
      </c>
    </row>
    <row r="12" spans="1:36" ht="21.75" customHeight="1">
      <c r="A12" s="1">
        <f t="shared" si="5"/>
        <v>9</v>
      </c>
      <c r="B12" s="10">
        <v>1689</v>
      </c>
      <c r="C12" s="93" t="str">
        <f>VLOOKUP(B12,[1]Sheet2!$C$4:$L$9000,5,FALSE)</f>
        <v>YEM</v>
      </c>
      <c r="D12" s="93" t="str">
        <f>VLOOKUP(B12,[1]Sheet2!$C$4:$L$9000,6,FALSE)</f>
        <v>CHAN VEASNA</v>
      </c>
      <c r="E12" s="83">
        <v>42657</v>
      </c>
      <c r="F12" s="83" t="s">
        <v>6020</v>
      </c>
      <c r="G12" s="3" t="s">
        <v>6030</v>
      </c>
      <c r="H12" s="20">
        <v>190</v>
      </c>
      <c r="I12" s="20">
        <v>4</v>
      </c>
      <c r="J12" s="20">
        <v>20</v>
      </c>
      <c r="K12" s="20">
        <v>30</v>
      </c>
      <c r="L12" s="20">
        <v>0</v>
      </c>
      <c r="M12" s="29">
        <v>7</v>
      </c>
      <c r="N12" s="29">
        <v>10</v>
      </c>
      <c r="O12" s="320">
        <f t="shared" si="6"/>
        <v>261</v>
      </c>
      <c r="P12" s="3"/>
      <c r="Q12" s="3"/>
      <c r="R12" s="3"/>
      <c r="S12" s="3"/>
      <c r="T12" s="3"/>
      <c r="U12" s="20">
        <f t="shared" si="7"/>
        <v>192</v>
      </c>
      <c r="V12" s="20">
        <f t="shared" si="8"/>
        <v>4</v>
      </c>
      <c r="W12" s="20">
        <f t="shared" si="0"/>
        <v>20</v>
      </c>
      <c r="X12" s="20">
        <f t="shared" si="1"/>
        <v>30</v>
      </c>
      <c r="Y12" s="20">
        <f t="shared" si="2"/>
        <v>0</v>
      </c>
      <c r="Z12" s="20">
        <f t="shared" si="3"/>
        <v>7</v>
      </c>
      <c r="AA12" s="20">
        <f t="shared" si="4"/>
        <v>10</v>
      </c>
      <c r="AB12" s="320">
        <f t="shared" si="9"/>
        <v>263</v>
      </c>
      <c r="AC12" s="58">
        <f t="shared" si="10"/>
        <v>2</v>
      </c>
      <c r="AD12" s="58">
        <f t="shared" si="11"/>
        <v>0</v>
      </c>
      <c r="AE12" s="58">
        <f t="shared" si="12"/>
        <v>0</v>
      </c>
      <c r="AF12" s="58">
        <f t="shared" si="13"/>
        <v>0</v>
      </c>
      <c r="AG12" s="58">
        <f t="shared" si="14"/>
        <v>0</v>
      </c>
      <c r="AH12" s="58">
        <f t="shared" si="15"/>
        <v>0</v>
      </c>
      <c r="AI12" s="58">
        <f t="shared" si="16"/>
        <v>0</v>
      </c>
      <c r="AJ12" s="58">
        <f t="shared" si="17"/>
        <v>2</v>
      </c>
    </row>
    <row r="13" spans="1:36" ht="21.75" customHeight="1">
      <c r="A13" s="1">
        <f t="shared" si="5"/>
        <v>10</v>
      </c>
      <c r="B13" s="10">
        <v>2403</v>
      </c>
      <c r="C13" s="93" t="str">
        <f>VLOOKUP(B13,[1]Sheet2!$C$4:$L$9000,5,FALSE)</f>
        <v>PHAN</v>
      </c>
      <c r="D13" s="93" t="str">
        <f>VLOOKUP(B13,[1]Sheet2!$C$4:$L$9000,6,FALSE)</f>
        <v>SOKLAIY</v>
      </c>
      <c r="E13" s="83">
        <v>43891</v>
      </c>
      <c r="F13" s="83" t="s">
        <v>6020</v>
      </c>
      <c r="G13" s="4" t="s">
        <v>6047</v>
      </c>
      <c r="H13" s="20">
        <v>190</v>
      </c>
      <c r="I13" s="20">
        <v>0</v>
      </c>
      <c r="J13" s="20">
        <v>20</v>
      </c>
      <c r="K13" s="20">
        <v>10</v>
      </c>
      <c r="L13" s="20">
        <v>0</v>
      </c>
      <c r="M13" s="29">
        <v>7</v>
      </c>
      <c r="N13" s="29">
        <v>10</v>
      </c>
      <c r="O13" s="320">
        <f t="shared" si="6"/>
        <v>237</v>
      </c>
      <c r="P13" s="3"/>
      <c r="Q13" s="3"/>
      <c r="R13" s="3"/>
      <c r="S13" s="3"/>
      <c r="T13" s="3"/>
      <c r="U13" s="20">
        <f t="shared" si="7"/>
        <v>192</v>
      </c>
      <c r="V13" s="20">
        <f t="shared" si="8"/>
        <v>0</v>
      </c>
      <c r="W13" s="20">
        <f t="shared" si="0"/>
        <v>20</v>
      </c>
      <c r="X13" s="20">
        <f t="shared" si="1"/>
        <v>10</v>
      </c>
      <c r="Y13" s="20">
        <f t="shared" si="2"/>
        <v>0</v>
      </c>
      <c r="Z13" s="20">
        <f t="shared" si="3"/>
        <v>7</v>
      </c>
      <c r="AA13" s="20">
        <f t="shared" si="4"/>
        <v>10</v>
      </c>
      <c r="AB13" s="320">
        <f t="shared" si="9"/>
        <v>239</v>
      </c>
      <c r="AC13" s="58">
        <f t="shared" si="10"/>
        <v>2</v>
      </c>
      <c r="AD13" s="58">
        <f t="shared" si="11"/>
        <v>0</v>
      </c>
      <c r="AE13" s="58">
        <f t="shared" si="12"/>
        <v>0</v>
      </c>
      <c r="AF13" s="58">
        <f t="shared" si="13"/>
        <v>0</v>
      </c>
      <c r="AG13" s="58">
        <f t="shared" si="14"/>
        <v>0</v>
      </c>
      <c r="AH13" s="58">
        <f t="shared" si="15"/>
        <v>0</v>
      </c>
      <c r="AI13" s="58">
        <f t="shared" si="16"/>
        <v>0</v>
      </c>
      <c r="AJ13" s="58">
        <f t="shared" si="17"/>
        <v>2</v>
      </c>
    </row>
    <row r="14" spans="1:36" ht="21.75" customHeight="1">
      <c r="A14" s="1">
        <f t="shared" si="5"/>
        <v>11</v>
      </c>
      <c r="B14" s="10">
        <v>3022</v>
      </c>
      <c r="C14" s="93" t="str">
        <f>VLOOKUP(B14,[1]Sheet2!$C$4:$L$9000,5,FALSE)</f>
        <v>In</v>
      </c>
      <c r="D14" s="93" t="str">
        <f>VLOOKUP(B14,[1]Sheet2!$C$4:$L$9000,6,FALSE)</f>
        <v>Sophea</v>
      </c>
      <c r="E14" s="83">
        <v>44044</v>
      </c>
      <c r="F14" s="83" t="s">
        <v>6075</v>
      </c>
      <c r="G14" s="3" t="s">
        <v>6076</v>
      </c>
      <c r="H14" s="20">
        <v>190</v>
      </c>
      <c r="I14" s="20">
        <v>0</v>
      </c>
      <c r="J14" s="20">
        <v>20</v>
      </c>
      <c r="K14" s="20">
        <v>30</v>
      </c>
      <c r="L14" s="20">
        <v>0</v>
      </c>
      <c r="M14" s="29">
        <v>7</v>
      </c>
      <c r="N14" s="29">
        <v>10</v>
      </c>
      <c r="O14" s="320">
        <f t="shared" si="6"/>
        <v>257</v>
      </c>
      <c r="P14" s="3"/>
      <c r="Q14" s="3"/>
      <c r="R14" s="3"/>
      <c r="S14" s="3"/>
      <c r="T14" s="3"/>
      <c r="U14" s="20">
        <f t="shared" si="7"/>
        <v>192</v>
      </c>
      <c r="V14" s="20">
        <f t="shared" si="8"/>
        <v>0</v>
      </c>
      <c r="W14" s="20">
        <f t="shared" si="0"/>
        <v>20</v>
      </c>
      <c r="X14" s="20">
        <f t="shared" si="1"/>
        <v>30</v>
      </c>
      <c r="Y14" s="20">
        <f t="shared" si="2"/>
        <v>0</v>
      </c>
      <c r="Z14" s="20">
        <f t="shared" si="3"/>
        <v>7</v>
      </c>
      <c r="AA14" s="20">
        <f t="shared" si="4"/>
        <v>10</v>
      </c>
      <c r="AB14" s="320">
        <f t="shared" si="9"/>
        <v>259</v>
      </c>
      <c r="AC14" s="58">
        <f t="shared" si="10"/>
        <v>2</v>
      </c>
      <c r="AD14" s="58">
        <f t="shared" si="11"/>
        <v>0</v>
      </c>
      <c r="AE14" s="58">
        <f t="shared" si="12"/>
        <v>0</v>
      </c>
      <c r="AF14" s="58">
        <f t="shared" si="13"/>
        <v>0</v>
      </c>
      <c r="AG14" s="58">
        <f t="shared" si="14"/>
        <v>0</v>
      </c>
      <c r="AH14" s="58">
        <f t="shared" si="15"/>
        <v>0</v>
      </c>
      <c r="AI14" s="58">
        <f t="shared" si="16"/>
        <v>0</v>
      </c>
      <c r="AJ14" s="58">
        <f t="shared" si="17"/>
        <v>2</v>
      </c>
    </row>
    <row r="15" spans="1:36" ht="21.75" customHeight="1">
      <c r="A15" s="1">
        <f t="shared" si="5"/>
        <v>12</v>
      </c>
      <c r="B15" s="10">
        <v>1727</v>
      </c>
      <c r="C15" s="93" t="str">
        <f>VLOOKUP(B15,[1]Sheet2!$C$4:$L$9000,5,FALSE)</f>
        <v>SUN</v>
      </c>
      <c r="D15" s="93" t="str">
        <f>VLOOKUP(B15,[1]Sheet2!$C$4:$L$9000,6,FALSE)</f>
        <v>RATHA</v>
      </c>
      <c r="E15" s="83">
        <v>42676</v>
      </c>
      <c r="F15" s="83" t="s">
        <v>6075</v>
      </c>
      <c r="G15" s="4" t="s">
        <v>6077</v>
      </c>
      <c r="H15" s="20">
        <v>190</v>
      </c>
      <c r="I15" s="20">
        <v>4</v>
      </c>
      <c r="J15" s="20">
        <v>20</v>
      </c>
      <c r="K15" s="20">
        <v>10</v>
      </c>
      <c r="L15" s="20">
        <v>0</v>
      </c>
      <c r="M15" s="29">
        <v>7</v>
      </c>
      <c r="N15" s="29">
        <v>10</v>
      </c>
      <c r="O15" s="320">
        <f t="shared" si="6"/>
        <v>241</v>
      </c>
      <c r="P15" s="3"/>
      <c r="Q15" s="3"/>
      <c r="R15" s="3"/>
      <c r="S15" s="3"/>
      <c r="T15" s="3"/>
      <c r="U15" s="20">
        <f t="shared" si="7"/>
        <v>192</v>
      </c>
      <c r="V15" s="20">
        <f t="shared" si="8"/>
        <v>4</v>
      </c>
      <c r="W15" s="20">
        <f t="shared" si="0"/>
        <v>20</v>
      </c>
      <c r="X15" s="20">
        <f t="shared" si="1"/>
        <v>10</v>
      </c>
      <c r="Y15" s="20">
        <f t="shared" si="2"/>
        <v>0</v>
      </c>
      <c r="Z15" s="20">
        <f t="shared" si="3"/>
        <v>7</v>
      </c>
      <c r="AA15" s="20">
        <f t="shared" si="4"/>
        <v>10</v>
      </c>
      <c r="AB15" s="320">
        <f t="shared" si="9"/>
        <v>243</v>
      </c>
      <c r="AC15" s="58">
        <f t="shared" si="10"/>
        <v>2</v>
      </c>
      <c r="AD15" s="58">
        <f t="shared" si="11"/>
        <v>0</v>
      </c>
      <c r="AE15" s="58">
        <f t="shared" si="12"/>
        <v>0</v>
      </c>
      <c r="AF15" s="58">
        <f t="shared" si="13"/>
        <v>0</v>
      </c>
      <c r="AG15" s="58">
        <f t="shared" si="14"/>
        <v>0</v>
      </c>
      <c r="AH15" s="58">
        <f t="shared" si="15"/>
        <v>0</v>
      </c>
      <c r="AI15" s="58">
        <f t="shared" si="16"/>
        <v>0</v>
      </c>
      <c r="AJ15" s="58">
        <f t="shared" si="17"/>
        <v>2</v>
      </c>
    </row>
    <row r="16" spans="1:36" ht="21.75" customHeight="1">
      <c r="A16" s="1">
        <f t="shared" si="5"/>
        <v>13</v>
      </c>
      <c r="B16" s="10">
        <v>1166</v>
      </c>
      <c r="C16" s="93" t="str">
        <f>VLOOKUP(B16,[1]Sheet2!$C$4:$L$9000,5,FALSE)</f>
        <v>AUM</v>
      </c>
      <c r="D16" s="93" t="str">
        <f>VLOOKUP(B16,[1]Sheet2!$C$4:$L$9000,6,FALSE)</f>
        <v>CHANTHOU</v>
      </c>
      <c r="E16" s="83">
        <v>42280</v>
      </c>
      <c r="F16" s="83" t="s">
        <v>6016</v>
      </c>
      <c r="G16" s="3" t="s">
        <v>6033</v>
      </c>
      <c r="H16" s="20">
        <v>190</v>
      </c>
      <c r="I16" s="20">
        <v>5</v>
      </c>
      <c r="J16" s="20">
        <v>20</v>
      </c>
      <c r="K16" s="20">
        <v>32</v>
      </c>
      <c r="L16" s="20">
        <v>0</v>
      </c>
      <c r="M16" s="29">
        <v>7</v>
      </c>
      <c r="N16" s="29">
        <v>10</v>
      </c>
      <c r="O16" s="320">
        <f t="shared" si="6"/>
        <v>264</v>
      </c>
      <c r="P16" s="3"/>
      <c r="Q16" s="3"/>
      <c r="R16" s="3"/>
      <c r="S16" s="3"/>
      <c r="T16" s="3"/>
      <c r="U16" s="20">
        <f t="shared" si="7"/>
        <v>192</v>
      </c>
      <c r="V16" s="20">
        <f t="shared" si="8"/>
        <v>5</v>
      </c>
      <c r="W16" s="20">
        <f t="shared" si="0"/>
        <v>20</v>
      </c>
      <c r="X16" s="20">
        <f t="shared" si="1"/>
        <v>32</v>
      </c>
      <c r="Y16" s="20">
        <f t="shared" si="2"/>
        <v>0</v>
      </c>
      <c r="Z16" s="20">
        <f t="shared" si="3"/>
        <v>7</v>
      </c>
      <c r="AA16" s="20">
        <f t="shared" si="4"/>
        <v>10</v>
      </c>
      <c r="AB16" s="320">
        <f t="shared" si="9"/>
        <v>266</v>
      </c>
      <c r="AC16" s="58">
        <f t="shared" si="10"/>
        <v>2</v>
      </c>
      <c r="AD16" s="58">
        <f t="shared" si="11"/>
        <v>0</v>
      </c>
      <c r="AE16" s="58">
        <f t="shared" si="12"/>
        <v>0</v>
      </c>
      <c r="AF16" s="58">
        <f t="shared" si="13"/>
        <v>0</v>
      </c>
      <c r="AG16" s="58">
        <f t="shared" si="14"/>
        <v>0</v>
      </c>
      <c r="AH16" s="58">
        <f t="shared" si="15"/>
        <v>0</v>
      </c>
      <c r="AI16" s="58">
        <f t="shared" si="16"/>
        <v>0</v>
      </c>
      <c r="AJ16" s="58">
        <f t="shared" si="17"/>
        <v>2</v>
      </c>
    </row>
    <row r="17" spans="1:36" ht="21.75" customHeight="1">
      <c r="A17" s="1">
        <f t="shared" si="5"/>
        <v>14</v>
      </c>
      <c r="B17" s="10">
        <v>44</v>
      </c>
      <c r="C17" s="93" t="str">
        <f>VLOOKUP(B17,[1]Sheet2!$C$4:$L$9000,5,FALSE)</f>
        <v>Bun</v>
      </c>
      <c r="D17" s="93" t="str">
        <f>VLOOKUP(B17,[1]Sheet2!$C$4:$L$9000,6,FALSE)</f>
        <v>Kimse</v>
      </c>
      <c r="E17" s="83">
        <v>41579</v>
      </c>
      <c r="F17" s="83" t="s">
        <v>6016</v>
      </c>
      <c r="G17" s="4" t="s">
        <v>6036</v>
      </c>
      <c r="H17" s="20">
        <v>190</v>
      </c>
      <c r="I17" s="20">
        <v>7</v>
      </c>
      <c r="J17" s="20">
        <v>20</v>
      </c>
      <c r="K17" s="20">
        <v>30</v>
      </c>
      <c r="L17" s="20">
        <v>10</v>
      </c>
      <c r="M17" s="29">
        <v>7</v>
      </c>
      <c r="N17" s="29">
        <v>10</v>
      </c>
      <c r="O17" s="320">
        <f t="shared" si="6"/>
        <v>274</v>
      </c>
      <c r="P17" s="3"/>
      <c r="Q17" s="3"/>
      <c r="R17" s="3"/>
      <c r="S17" s="3"/>
      <c r="T17" s="3"/>
      <c r="U17" s="20">
        <f t="shared" si="7"/>
        <v>192</v>
      </c>
      <c r="V17" s="20">
        <f t="shared" si="8"/>
        <v>7</v>
      </c>
      <c r="W17" s="20">
        <f t="shared" si="0"/>
        <v>20</v>
      </c>
      <c r="X17" s="20">
        <f t="shared" si="1"/>
        <v>30</v>
      </c>
      <c r="Y17" s="20">
        <f t="shared" si="2"/>
        <v>10</v>
      </c>
      <c r="Z17" s="20">
        <f t="shared" si="3"/>
        <v>7</v>
      </c>
      <c r="AA17" s="20">
        <f t="shared" si="4"/>
        <v>10</v>
      </c>
      <c r="AB17" s="320">
        <f t="shared" si="9"/>
        <v>276</v>
      </c>
      <c r="AC17" s="58">
        <f t="shared" si="10"/>
        <v>2</v>
      </c>
      <c r="AD17" s="58">
        <f t="shared" si="11"/>
        <v>0</v>
      </c>
      <c r="AE17" s="58">
        <f t="shared" si="12"/>
        <v>0</v>
      </c>
      <c r="AF17" s="58">
        <f t="shared" si="13"/>
        <v>0</v>
      </c>
      <c r="AG17" s="58">
        <f t="shared" si="14"/>
        <v>0</v>
      </c>
      <c r="AH17" s="58">
        <f t="shared" si="15"/>
        <v>0</v>
      </c>
      <c r="AI17" s="58">
        <f t="shared" si="16"/>
        <v>0</v>
      </c>
      <c r="AJ17" s="58">
        <f t="shared" si="17"/>
        <v>2</v>
      </c>
    </row>
    <row r="18" spans="1:36" ht="21.75" customHeight="1">
      <c r="A18" s="1">
        <f t="shared" si="5"/>
        <v>15</v>
      </c>
      <c r="B18" s="10">
        <v>1153</v>
      </c>
      <c r="C18" s="93" t="str">
        <f>VLOOKUP(B18,[1]Sheet2!$C$4:$L$9000,5,FALSE)</f>
        <v>SOTH</v>
      </c>
      <c r="D18" s="93" t="str">
        <f>VLOOKUP(B18,[1]Sheet2!$C$4:$L$9000,6,FALSE)</f>
        <v>SEANGHAK</v>
      </c>
      <c r="E18" s="83">
        <v>42271</v>
      </c>
      <c r="F18" s="83" t="s">
        <v>6018</v>
      </c>
      <c r="G18" s="3" t="s">
        <v>6038</v>
      </c>
      <c r="H18" s="20">
        <v>190</v>
      </c>
      <c r="I18" s="20">
        <v>5</v>
      </c>
      <c r="J18" s="20">
        <v>20</v>
      </c>
      <c r="K18" s="20">
        <v>30</v>
      </c>
      <c r="L18" s="20">
        <v>0</v>
      </c>
      <c r="M18" s="29">
        <v>7</v>
      </c>
      <c r="N18" s="29">
        <v>10</v>
      </c>
      <c r="O18" s="320">
        <f t="shared" si="6"/>
        <v>262</v>
      </c>
      <c r="P18" s="3"/>
      <c r="Q18" s="3"/>
      <c r="R18" s="3"/>
      <c r="S18" s="3"/>
      <c r="T18" s="3"/>
      <c r="U18" s="20">
        <f t="shared" si="7"/>
        <v>192</v>
      </c>
      <c r="V18" s="20">
        <f t="shared" si="8"/>
        <v>5</v>
      </c>
      <c r="W18" s="20">
        <f t="shared" si="0"/>
        <v>20</v>
      </c>
      <c r="X18" s="20">
        <f t="shared" si="1"/>
        <v>30</v>
      </c>
      <c r="Y18" s="20">
        <f t="shared" si="2"/>
        <v>0</v>
      </c>
      <c r="Z18" s="20">
        <f t="shared" si="3"/>
        <v>7</v>
      </c>
      <c r="AA18" s="20">
        <f t="shared" si="4"/>
        <v>10</v>
      </c>
      <c r="AB18" s="320">
        <f t="shared" si="9"/>
        <v>264</v>
      </c>
      <c r="AC18" s="58">
        <f t="shared" si="10"/>
        <v>2</v>
      </c>
      <c r="AD18" s="58">
        <f t="shared" si="11"/>
        <v>0</v>
      </c>
      <c r="AE18" s="58">
        <f t="shared" si="12"/>
        <v>0</v>
      </c>
      <c r="AF18" s="58">
        <f t="shared" si="13"/>
        <v>0</v>
      </c>
      <c r="AG18" s="58">
        <f t="shared" si="14"/>
        <v>0</v>
      </c>
      <c r="AH18" s="58">
        <f t="shared" si="15"/>
        <v>0</v>
      </c>
      <c r="AI18" s="58">
        <f t="shared" si="16"/>
        <v>0</v>
      </c>
      <c r="AJ18" s="58">
        <f t="shared" si="17"/>
        <v>2</v>
      </c>
    </row>
    <row r="19" spans="1:36" ht="21.75" customHeight="1">
      <c r="A19" s="1">
        <f t="shared" si="5"/>
        <v>16</v>
      </c>
      <c r="B19" s="10">
        <v>1711</v>
      </c>
      <c r="C19" s="93" t="str">
        <f>VLOOKUP(B19,[1]Sheet2!$C$4:$L$9000,5,FALSE)</f>
        <v>UNG</v>
      </c>
      <c r="D19" s="93" t="str">
        <f>VLOOKUP(B19,[1]Sheet2!$C$4:$L$9000,6,FALSE)</f>
        <v>PHET</v>
      </c>
      <c r="E19" s="83">
        <v>42665</v>
      </c>
      <c r="F19" s="83" t="s">
        <v>6018</v>
      </c>
      <c r="G19" s="3" t="s">
        <v>6035</v>
      </c>
      <c r="H19" s="20">
        <v>190</v>
      </c>
      <c r="I19" s="20">
        <v>4</v>
      </c>
      <c r="J19" s="20">
        <v>20</v>
      </c>
      <c r="K19" s="20">
        <v>15</v>
      </c>
      <c r="L19" s="20">
        <v>0</v>
      </c>
      <c r="M19" s="29">
        <v>7</v>
      </c>
      <c r="N19" s="29">
        <v>10</v>
      </c>
      <c r="O19" s="320">
        <f t="shared" si="6"/>
        <v>246</v>
      </c>
      <c r="P19" s="3"/>
      <c r="Q19" s="3"/>
      <c r="R19" s="3"/>
      <c r="S19" s="3"/>
      <c r="T19" s="3"/>
      <c r="U19" s="20">
        <f t="shared" si="7"/>
        <v>192</v>
      </c>
      <c r="V19" s="20">
        <f t="shared" si="8"/>
        <v>4</v>
      </c>
      <c r="W19" s="20">
        <f t="shared" si="0"/>
        <v>20</v>
      </c>
      <c r="X19" s="20">
        <f t="shared" si="1"/>
        <v>15</v>
      </c>
      <c r="Y19" s="20">
        <f t="shared" si="2"/>
        <v>0</v>
      </c>
      <c r="Z19" s="20">
        <f t="shared" si="3"/>
        <v>7</v>
      </c>
      <c r="AA19" s="20">
        <f t="shared" si="4"/>
        <v>10</v>
      </c>
      <c r="AB19" s="320">
        <f t="shared" si="9"/>
        <v>248</v>
      </c>
      <c r="AC19" s="58">
        <f t="shared" si="10"/>
        <v>2</v>
      </c>
      <c r="AD19" s="58">
        <f t="shared" si="11"/>
        <v>0</v>
      </c>
      <c r="AE19" s="58">
        <f t="shared" si="12"/>
        <v>0</v>
      </c>
      <c r="AF19" s="58">
        <f t="shared" si="13"/>
        <v>0</v>
      </c>
      <c r="AG19" s="58">
        <f t="shared" si="14"/>
        <v>0</v>
      </c>
      <c r="AH19" s="58">
        <f t="shared" si="15"/>
        <v>0</v>
      </c>
      <c r="AI19" s="58">
        <f t="shared" si="16"/>
        <v>0</v>
      </c>
      <c r="AJ19" s="58">
        <f t="shared" si="17"/>
        <v>2</v>
      </c>
    </row>
    <row r="20" spans="1:36" ht="21.75" customHeight="1">
      <c r="A20" s="1">
        <f t="shared" si="5"/>
        <v>17</v>
      </c>
      <c r="B20" s="10">
        <v>74</v>
      </c>
      <c r="C20" s="93" t="str">
        <f>VLOOKUP(B20,[1]Sheet2!$C$4:$L$9000,5,FALSE)</f>
        <v>Pich</v>
      </c>
      <c r="D20" s="93" t="str">
        <f>VLOOKUP(B20,[1]Sheet2!$C$4:$L$9000,6,FALSE)</f>
        <v>Sophea</v>
      </c>
      <c r="E20" s="83">
        <v>41598</v>
      </c>
      <c r="F20" s="83" t="s">
        <v>6022</v>
      </c>
      <c r="G20" s="3" t="s">
        <v>6032</v>
      </c>
      <c r="H20" s="20">
        <v>190</v>
      </c>
      <c r="I20" s="20">
        <v>7</v>
      </c>
      <c r="J20" s="20">
        <v>20</v>
      </c>
      <c r="K20" s="20">
        <v>32</v>
      </c>
      <c r="L20" s="20">
        <v>15</v>
      </c>
      <c r="M20" s="29">
        <v>7</v>
      </c>
      <c r="N20" s="29">
        <v>10</v>
      </c>
      <c r="O20" s="320">
        <f t="shared" si="6"/>
        <v>281</v>
      </c>
      <c r="P20" s="3"/>
      <c r="Q20" s="3"/>
      <c r="R20" s="3"/>
      <c r="S20" s="3"/>
      <c r="T20" s="3"/>
      <c r="U20" s="20">
        <f t="shared" si="7"/>
        <v>192</v>
      </c>
      <c r="V20" s="20">
        <f t="shared" si="8"/>
        <v>7</v>
      </c>
      <c r="W20" s="20">
        <f t="shared" si="0"/>
        <v>20</v>
      </c>
      <c r="X20" s="20">
        <f t="shared" si="1"/>
        <v>32</v>
      </c>
      <c r="Y20" s="20">
        <f t="shared" si="2"/>
        <v>15</v>
      </c>
      <c r="Z20" s="20">
        <f t="shared" si="3"/>
        <v>7</v>
      </c>
      <c r="AA20" s="20">
        <f t="shared" si="4"/>
        <v>10</v>
      </c>
      <c r="AB20" s="320">
        <f t="shared" ref="AB20:AB61" si="18">SUM(U20:AA20)</f>
        <v>283</v>
      </c>
      <c r="AC20" s="58">
        <f t="shared" ref="AC20:AC57" si="19">U20-H20</f>
        <v>2</v>
      </c>
      <c r="AD20" s="58">
        <f t="shared" ref="AD20:AD57" si="20">V20-I20</f>
        <v>0</v>
      </c>
      <c r="AE20" s="58">
        <f t="shared" ref="AE20:AE57" si="21">W20-J20</f>
        <v>0</v>
      </c>
      <c r="AF20" s="58">
        <f t="shared" ref="AF20:AF57" si="22">X20-K20</f>
        <v>0</v>
      </c>
      <c r="AG20" s="58">
        <f t="shared" ref="AG20:AG57" si="23">Y20-L20</f>
        <v>0</v>
      </c>
      <c r="AH20" s="58">
        <f t="shared" ref="AH20:AH57" si="24">Z20-M20</f>
        <v>0</v>
      </c>
      <c r="AI20" s="58">
        <f t="shared" ref="AI20:AI57" si="25">AA20-N20</f>
        <v>0</v>
      </c>
      <c r="AJ20" s="58">
        <f t="shared" ref="AJ20:AJ57" si="26">AB20-O20</f>
        <v>2</v>
      </c>
    </row>
    <row r="21" spans="1:36" ht="21.75" customHeight="1">
      <c r="A21" s="1">
        <f t="shared" si="5"/>
        <v>18</v>
      </c>
      <c r="B21" s="10">
        <v>3486</v>
      </c>
      <c r="C21" s="93" t="str">
        <f>VLOOKUP(B21,[1]Sheet2!$C$4:$L$9000,5,FALSE)</f>
        <v>SEK</v>
      </c>
      <c r="D21" s="93" t="str">
        <f>VLOOKUP(B21,[1]Sheet2!$C$4:$L$9000,6,FALSE)</f>
        <v>SAMPHOIS</v>
      </c>
      <c r="E21" s="83">
        <v>43816</v>
      </c>
      <c r="F21" s="83" t="s">
        <v>6022</v>
      </c>
      <c r="G21" s="3" t="s">
        <v>6027</v>
      </c>
      <c r="H21" s="20">
        <v>190</v>
      </c>
      <c r="I21" s="20">
        <v>0</v>
      </c>
      <c r="J21" s="20">
        <v>20</v>
      </c>
      <c r="K21" s="20">
        <v>0</v>
      </c>
      <c r="L21" s="20">
        <v>0</v>
      </c>
      <c r="M21" s="29">
        <v>7</v>
      </c>
      <c r="N21" s="29">
        <v>10</v>
      </c>
      <c r="O21" s="320">
        <f t="shared" si="6"/>
        <v>227</v>
      </c>
      <c r="P21" s="3"/>
      <c r="Q21" s="3"/>
      <c r="R21" s="3"/>
      <c r="S21" s="3"/>
      <c r="T21" s="3"/>
      <c r="U21" s="20">
        <f t="shared" si="7"/>
        <v>192</v>
      </c>
      <c r="V21" s="20">
        <f t="shared" si="8"/>
        <v>0</v>
      </c>
      <c r="W21" s="20">
        <f t="shared" si="0"/>
        <v>20</v>
      </c>
      <c r="X21" s="20">
        <f t="shared" si="1"/>
        <v>0</v>
      </c>
      <c r="Y21" s="20">
        <f t="shared" si="2"/>
        <v>0</v>
      </c>
      <c r="Z21" s="20">
        <f t="shared" si="3"/>
        <v>7</v>
      </c>
      <c r="AA21" s="20">
        <f t="shared" si="4"/>
        <v>10</v>
      </c>
      <c r="AB21" s="320">
        <f t="shared" si="18"/>
        <v>229</v>
      </c>
      <c r="AC21" s="58">
        <f t="shared" si="19"/>
        <v>2</v>
      </c>
      <c r="AD21" s="58">
        <f t="shared" si="20"/>
        <v>0</v>
      </c>
      <c r="AE21" s="58">
        <f t="shared" si="21"/>
        <v>0</v>
      </c>
      <c r="AF21" s="58">
        <f t="shared" si="22"/>
        <v>0</v>
      </c>
      <c r="AG21" s="58">
        <f t="shared" si="23"/>
        <v>0</v>
      </c>
      <c r="AH21" s="58">
        <f t="shared" si="24"/>
        <v>0</v>
      </c>
      <c r="AI21" s="58">
        <f t="shared" si="25"/>
        <v>0</v>
      </c>
      <c r="AJ21" s="58">
        <f t="shared" si="26"/>
        <v>2</v>
      </c>
    </row>
    <row r="22" spans="1:36" ht="21.75" customHeight="1">
      <c r="A22" s="1">
        <f t="shared" si="5"/>
        <v>19</v>
      </c>
      <c r="B22" s="10">
        <v>3147</v>
      </c>
      <c r="C22" s="93" t="str">
        <f>VLOOKUP(B22,[1]Sheet2!$C$4:$L$9000,5,FALSE)</f>
        <v>VORN</v>
      </c>
      <c r="D22" s="93" t="str">
        <f>VLOOKUP(B22,[1]Sheet2!$C$4:$L$9000,6,FALSE)</f>
        <v>SREYMOCH</v>
      </c>
      <c r="E22" s="83">
        <v>43740</v>
      </c>
      <c r="F22" s="83" t="s">
        <v>6021</v>
      </c>
      <c r="G22" s="3" t="s">
        <v>6031</v>
      </c>
      <c r="H22" s="20">
        <v>190</v>
      </c>
      <c r="I22" s="20">
        <v>0</v>
      </c>
      <c r="J22" s="20">
        <v>20</v>
      </c>
      <c r="K22" s="20">
        <v>30</v>
      </c>
      <c r="L22" s="20">
        <v>0</v>
      </c>
      <c r="M22" s="29">
        <v>7</v>
      </c>
      <c r="N22" s="29">
        <v>10</v>
      </c>
      <c r="O22" s="320">
        <f t="shared" si="6"/>
        <v>257</v>
      </c>
      <c r="P22" s="3"/>
      <c r="Q22" s="3"/>
      <c r="R22" s="3"/>
      <c r="S22" s="3"/>
      <c r="T22" s="3"/>
      <c r="U22" s="20">
        <f t="shared" si="7"/>
        <v>192</v>
      </c>
      <c r="V22" s="20">
        <f t="shared" si="8"/>
        <v>0</v>
      </c>
      <c r="W22" s="20">
        <f t="shared" si="0"/>
        <v>20</v>
      </c>
      <c r="X22" s="20">
        <f t="shared" si="1"/>
        <v>30</v>
      </c>
      <c r="Y22" s="20">
        <f t="shared" si="2"/>
        <v>0</v>
      </c>
      <c r="Z22" s="20">
        <f t="shared" si="3"/>
        <v>7</v>
      </c>
      <c r="AA22" s="20">
        <f t="shared" si="4"/>
        <v>10</v>
      </c>
      <c r="AB22" s="320">
        <f t="shared" si="18"/>
        <v>259</v>
      </c>
      <c r="AC22" s="58">
        <f t="shared" si="19"/>
        <v>2</v>
      </c>
      <c r="AD22" s="58">
        <f t="shared" si="20"/>
        <v>0</v>
      </c>
      <c r="AE22" s="58">
        <f t="shared" si="21"/>
        <v>0</v>
      </c>
      <c r="AF22" s="58">
        <f t="shared" si="22"/>
        <v>0</v>
      </c>
      <c r="AG22" s="58">
        <f t="shared" si="23"/>
        <v>0</v>
      </c>
      <c r="AH22" s="58">
        <f t="shared" si="24"/>
        <v>0</v>
      </c>
      <c r="AI22" s="58">
        <f t="shared" si="25"/>
        <v>0</v>
      </c>
      <c r="AJ22" s="58">
        <f t="shared" si="26"/>
        <v>2</v>
      </c>
    </row>
    <row r="23" spans="1:36" ht="21.75" customHeight="1">
      <c r="A23" s="1">
        <f t="shared" si="5"/>
        <v>20</v>
      </c>
      <c r="B23" s="10">
        <v>3214</v>
      </c>
      <c r="C23" s="93" t="str">
        <f>VLOOKUP(B23,[1]Sheet2!$C$4:$L$9000,5,FALSE)</f>
        <v>KONG</v>
      </c>
      <c r="D23" s="93" t="str">
        <f>VLOOKUP(B23,[1]Sheet2!$C$4:$L$9000,6,FALSE)</f>
        <v>SREYKEANG</v>
      </c>
      <c r="E23" s="83">
        <v>43741</v>
      </c>
      <c r="F23" s="83" t="s">
        <v>6021</v>
      </c>
      <c r="G23" s="3" t="s">
        <v>6034</v>
      </c>
      <c r="H23" s="20">
        <v>190</v>
      </c>
      <c r="I23" s="20">
        <v>0</v>
      </c>
      <c r="J23" s="20">
        <v>20</v>
      </c>
      <c r="K23" s="20">
        <v>0</v>
      </c>
      <c r="L23" s="20">
        <v>0</v>
      </c>
      <c r="M23" s="29">
        <v>7</v>
      </c>
      <c r="N23" s="29">
        <v>10</v>
      </c>
      <c r="O23" s="320">
        <f>SUM(H23:N23)</f>
        <v>227</v>
      </c>
      <c r="P23" s="3"/>
      <c r="Q23" s="3"/>
      <c r="R23" s="3"/>
      <c r="S23" s="3"/>
      <c r="T23" s="3"/>
      <c r="U23" s="20">
        <f>H23+2</f>
        <v>192</v>
      </c>
      <c r="V23" s="20">
        <f>I23</f>
        <v>0</v>
      </c>
      <c r="W23" s="20">
        <f>J23</f>
        <v>20</v>
      </c>
      <c r="X23" s="20">
        <f>K23</f>
        <v>0</v>
      </c>
      <c r="Y23" s="20">
        <f>L23</f>
        <v>0</v>
      </c>
      <c r="Z23" s="20">
        <f>M23</f>
        <v>7</v>
      </c>
      <c r="AA23" s="20">
        <f>N23</f>
        <v>10</v>
      </c>
      <c r="AB23" s="320">
        <f>SUM(U23:AA23)</f>
        <v>229</v>
      </c>
      <c r="AC23" s="58">
        <f>U23-H23</f>
        <v>2</v>
      </c>
      <c r="AD23" s="58">
        <f>V23-I23</f>
        <v>0</v>
      </c>
      <c r="AE23" s="58">
        <f>W23-J23</f>
        <v>0</v>
      </c>
      <c r="AF23" s="58">
        <f>X23-K23</f>
        <v>0</v>
      </c>
      <c r="AG23" s="58">
        <f>Y23-L23</f>
        <v>0</v>
      </c>
      <c r="AH23" s="58">
        <f>Z23-M23</f>
        <v>0</v>
      </c>
      <c r="AI23" s="58">
        <f>AA23-N23</f>
        <v>0</v>
      </c>
      <c r="AJ23" s="58">
        <f>AB23-O23</f>
        <v>2</v>
      </c>
    </row>
    <row r="24" spans="1:36" ht="21.75" customHeight="1">
      <c r="A24" s="1">
        <f t="shared" si="5"/>
        <v>21</v>
      </c>
      <c r="B24" s="327">
        <v>30</v>
      </c>
      <c r="C24" s="329" t="str">
        <f>VLOOKUP(B24,[1]Sheet2!$C$4:$L$9000,5,FALSE)</f>
        <v>Phouk</v>
      </c>
      <c r="D24" s="329" t="str">
        <f>VLOOKUP(B24,[1]Sheet2!$C$4:$L$9000,6,FALSE)</f>
        <v>Sina</v>
      </c>
      <c r="E24" s="330">
        <v>41579</v>
      </c>
      <c r="F24" s="330" t="s">
        <v>6024</v>
      </c>
      <c r="G24" s="3" t="s">
        <v>6095</v>
      </c>
      <c r="H24" s="20">
        <v>190</v>
      </c>
      <c r="I24" s="20">
        <v>7</v>
      </c>
      <c r="J24" s="20">
        <v>20</v>
      </c>
      <c r="K24" s="20">
        <v>150</v>
      </c>
      <c r="L24" s="20">
        <v>75</v>
      </c>
      <c r="M24" s="29">
        <v>7</v>
      </c>
      <c r="N24" s="29">
        <v>10</v>
      </c>
      <c r="O24" s="320">
        <f t="shared" si="6"/>
        <v>459</v>
      </c>
      <c r="P24" s="3"/>
      <c r="Q24" s="3"/>
      <c r="R24" s="3"/>
      <c r="S24" s="3"/>
      <c r="T24" s="3"/>
      <c r="U24" s="20">
        <f t="shared" si="7"/>
        <v>192</v>
      </c>
      <c r="V24" s="20">
        <f t="shared" si="8"/>
        <v>7</v>
      </c>
      <c r="W24" s="20">
        <f t="shared" si="0"/>
        <v>20</v>
      </c>
      <c r="X24" s="20">
        <f t="shared" si="1"/>
        <v>150</v>
      </c>
      <c r="Y24" s="20">
        <f t="shared" si="2"/>
        <v>75</v>
      </c>
      <c r="Z24" s="20">
        <f t="shared" si="3"/>
        <v>7</v>
      </c>
      <c r="AA24" s="20">
        <f t="shared" si="4"/>
        <v>10</v>
      </c>
      <c r="AB24" s="320">
        <f t="shared" si="18"/>
        <v>461</v>
      </c>
      <c r="AC24" s="58">
        <f t="shared" si="19"/>
        <v>2</v>
      </c>
      <c r="AD24" s="58">
        <f t="shared" si="20"/>
        <v>0</v>
      </c>
      <c r="AE24" s="58">
        <f t="shared" si="21"/>
        <v>0</v>
      </c>
      <c r="AF24" s="58">
        <f t="shared" si="22"/>
        <v>0</v>
      </c>
      <c r="AG24" s="58">
        <f t="shared" si="23"/>
        <v>0</v>
      </c>
      <c r="AH24" s="58">
        <f t="shared" si="24"/>
        <v>0</v>
      </c>
      <c r="AI24" s="58">
        <f t="shared" si="25"/>
        <v>0</v>
      </c>
      <c r="AJ24" s="58">
        <f t="shared" si="26"/>
        <v>2</v>
      </c>
    </row>
    <row r="25" spans="1:36" ht="21.75" customHeight="1">
      <c r="A25" s="1">
        <f t="shared" si="5"/>
        <v>22</v>
      </c>
      <c r="B25" s="10">
        <v>161</v>
      </c>
      <c r="C25" s="93" t="str">
        <f>VLOOKUP(B25,[1]Sheet2!$C$4:$L$9000,5,FALSE)</f>
        <v>Set</v>
      </c>
      <c r="D25" s="93" t="str">
        <f>VLOOKUP(B25,[1]Sheet2!$C$4:$L$9000,6,FALSE)</f>
        <v>moeun</v>
      </c>
      <c r="E25" s="83">
        <v>41674</v>
      </c>
      <c r="F25" s="83" t="s">
        <v>6028</v>
      </c>
      <c r="G25" s="3" t="s">
        <v>6029</v>
      </c>
      <c r="H25" s="20">
        <v>190</v>
      </c>
      <c r="I25" s="20">
        <v>7</v>
      </c>
      <c r="J25" s="20">
        <v>20</v>
      </c>
      <c r="K25" s="20">
        <v>30</v>
      </c>
      <c r="L25" s="20">
        <v>0</v>
      </c>
      <c r="M25" s="29">
        <v>7</v>
      </c>
      <c r="N25" s="29">
        <v>10</v>
      </c>
      <c r="O25" s="320">
        <f t="shared" si="6"/>
        <v>264</v>
      </c>
      <c r="P25" s="3"/>
      <c r="Q25" s="3"/>
      <c r="R25" s="3"/>
      <c r="S25" s="3"/>
      <c r="T25" s="3"/>
      <c r="U25" s="20">
        <f t="shared" si="7"/>
        <v>192</v>
      </c>
      <c r="V25" s="20">
        <f t="shared" si="8"/>
        <v>7</v>
      </c>
      <c r="W25" s="20">
        <f t="shared" si="0"/>
        <v>20</v>
      </c>
      <c r="X25" s="20">
        <f t="shared" si="1"/>
        <v>30</v>
      </c>
      <c r="Y25" s="20">
        <f t="shared" si="2"/>
        <v>0</v>
      </c>
      <c r="Z25" s="20">
        <f t="shared" si="3"/>
        <v>7</v>
      </c>
      <c r="AA25" s="20">
        <f t="shared" si="4"/>
        <v>10</v>
      </c>
      <c r="AB25" s="320">
        <f t="shared" si="18"/>
        <v>266</v>
      </c>
      <c r="AC25" s="58">
        <f t="shared" si="19"/>
        <v>2</v>
      </c>
      <c r="AD25" s="58">
        <f t="shared" si="20"/>
        <v>0</v>
      </c>
      <c r="AE25" s="58">
        <f t="shared" si="21"/>
        <v>0</v>
      </c>
      <c r="AF25" s="58">
        <f t="shared" si="22"/>
        <v>0</v>
      </c>
      <c r="AG25" s="58">
        <f t="shared" si="23"/>
        <v>0</v>
      </c>
      <c r="AH25" s="58">
        <f t="shared" si="24"/>
        <v>0</v>
      </c>
      <c r="AI25" s="58">
        <f t="shared" si="25"/>
        <v>0</v>
      </c>
      <c r="AJ25" s="58">
        <f t="shared" si="26"/>
        <v>2</v>
      </c>
    </row>
    <row r="26" spans="1:36" ht="21.75" customHeight="1">
      <c r="A26" s="1">
        <f t="shared" si="5"/>
        <v>23</v>
      </c>
      <c r="B26" s="10">
        <v>3055</v>
      </c>
      <c r="C26" s="93" t="str">
        <f>VLOOKUP(B26,[1]Sheet2!$C$4:$L$9000,5,FALSE)</f>
        <v>Vannak</v>
      </c>
      <c r="D26" s="93" t="str">
        <f>VLOOKUP(B26,[1]Sheet2!$C$4:$L$9000,6,FALSE)</f>
        <v>Vanna</v>
      </c>
      <c r="E26" s="83">
        <v>44044</v>
      </c>
      <c r="F26" s="83" t="s">
        <v>6028</v>
      </c>
      <c r="G26" s="3" t="s">
        <v>6039</v>
      </c>
      <c r="H26" s="20">
        <v>190</v>
      </c>
      <c r="I26" s="20">
        <v>0</v>
      </c>
      <c r="J26" s="20">
        <v>20</v>
      </c>
      <c r="K26" s="20">
        <v>10</v>
      </c>
      <c r="L26" s="20">
        <v>0</v>
      </c>
      <c r="M26" s="29">
        <v>7</v>
      </c>
      <c r="N26" s="29">
        <v>10</v>
      </c>
      <c r="O26" s="320">
        <f t="shared" si="6"/>
        <v>237</v>
      </c>
      <c r="P26" s="3"/>
      <c r="Q26" s="3"/>
      <c r="R26" s="3"/>
      <c r="S26" s="3"/>
      <c r="T26" s="3"/>
      <c r="U26" s="20">
        <f t="shared" si="7"/>
        <v>192</v>
      </c>
      <c r="V26" s="20">
        <f t="shared" si="8"/>
        <v>0</v>
      </c>
      <c r="W26" s="20">
        <f t="shared" si="0"/>
        <v>20</v>
      </c>
      <c r="X26" s="20">
        <f t="shared" si="1"/>
        <v>10</v>
      </c>
      <c r="Y26" s="20">
        <f t="shared" si="2"/>
        <v>0</v>
      </c>
      <c r="Z26" s="20">
        <f t="shared" si="3"/>
        <v>7</v>
      </c>
      <c r="AA26" s="20">
        <f t="shared" si="4"/>
        <v>10</v>
      </c>
      <c r="AB26" s="320">
        <f t="shared" si="18"/>
        <v>239</v>
      </c>
      <c r="AC26" s="58">
        <f t="shared" si="19"/>
        <v>2</v>
      </c>
      <c r="AD26" s="58">
        <f t="shared" si="20"/>
        <v>0</v>
      </c>
      <c r="AE26" s="58">
        <f t="shared" si="21"/>
        <v>0</v>
      </c>
      <c r="AF26" s="58">
        <f t="shared" si="22"/>
        <v>0</v>
      </c>
      <c r="AG26" s="58">
        <f t="shared" si="23"/>
        <v>0</v>
      </c>
      <c r="AH26" s="58">
        <f t="shared" si="24"/>
        <v>0</v>
      </c>
      <c r="AI26" s="58">
        <f t="shared" si="25"/>
        <v>0</v>
      </c>
      <c r="AJ26" s="58">
        <f t="shared" si="26"/>
        <v>2</v>
      </c>
    </row>
    <row r="27" spans="1:36" ht="21.75" customHeight="1">
      <c r="A27" s="1">
        <f t="shared" si="5"/>
        <v>24</v>
      </c>
      <c r="B27" s="10">
        <v>521</v>
      </c>
      <c r="C27" s="15" t="s">
        <v>596</v>
      </c>
      <c r="D27" s="16" t="s">
        <v>597</v>
      </c>
      <c r="E27" s="25">
        <v>41825</v>
      </c>
      <c r="F27" s="83" t="s">
        <v>6017</v>
      </c>
      <c r="G27" s="3" t="s">
        <v>6037</v>
      </c>
      <c r="H27" s="22">
        <v>190</v>
      </c>
      <c r="I27" s="22">
        <v>7</v>
      </c>
      <c r="J27" s="22">
        <v>20</v>
      </c>
      <c r="K27" s="22">
        <v>30</v>
      </c>
      <c r="L27" s="20">
        <v>0</v>
      </c>
      <c r="M27" s="29">
        <v>7</v>
      </c>
      <c r="N27" s="29">
        <v>10</v>
      </c>
      <c r="O27" s="320">
        <f t="shared" si="6"/>
        <v>264</v>
      </c>
      <c r="P27" s="3"/>
      <c r="Q27" s="3"/>
      <c r="R27" s="3"/>
      <c r="S27" s="3"/>
      <c r="T27" s="3"/>
      <c r="U27" s="20">
        <f t="shared" ref="U27" si="27">H27+2</f>
        <v>192</v>
      </c>
      <c r="V27" s="20">
        <f t="shared" ref="V27" si="28">I27</f>
        <v>7</v>
      </c>
      <c r="W27" s="20">
        <f t="shared" ref="W27" si="29">J27</f>
        <v>20</v>
      </c>
      <c r="X27" s="20">
        <f t="shared" ref="X27" si="30">K27</f>
        <v>30</v>
      </c>
      <c r="Y27" s="20">
        <f t="shared" ref="Y27" si="31">L27</f>
        <v>0</v>
      </c>
      <c r="Z27" s="20">
        <f t="shared" ref="Z27" si="32">M27</f>
        <v>7</v>
      </c>
      <c r="AA27" s="20">
        <f t="shared" ref="AA27" si="33">N27</f>
        <v>10</v>
      </c>
      <c r="AB27" s="320">
        <f t="shared" ref="AB27" si="34">SUM(U27:AA27)</f>
        <v>266</v>
      </c>
      <c r="AC27" s="58">
        <f t="shared" ref="AC27:AC36" si="35">U27-H27</f>
        <v>2</v>
      </c>
      <c r="AD27" s="58">
        <f t="shared" ref="AD27:AD36" si="36">V27-I27</f>
        <v>0</v>
      </c>
      <c r="AE27" s="58">
        <f t="shared" ref="AE27:AE36" si="37">W27-J27</f>
        <v>0</v>
      </c>
      <c r="AF27" s="58">
        <f t="shared" ref="AF27:AF36" si="38">X27-K27</f>
        <v>0</v>
      </c>
      <c r="AG27" s="58">
        <f t="shared" ref="AG27:AG36" si="39">Y27-L27</f>
        <v>0</v>
      </c>
      <c r="AH27" s="58">
        <f t="shared" ref="AH27:AH36" si="40">Z27-M27</f>
        <v>0</v>
      </c>
      <c r="AI27" s="58">
        <f t="shared" ref="AI27:AI36" si="41">AA27-N27</f>
        <v>0</v>
      </c>
      <c r="AJ27" s="58">
        <f t="shared" ref="AJ27:AJ36" si="42">AB27-O27</f>
        <v>2</v>
      </c>
    </row>
    <row r="28" spans="1:36" ht="21.75" customHeight="1">
      <c r="A28" s="1">
        <f t="shared" si="5"/>
        <v>25</v>
      </c>
      <c r="B28" s="10">
        <v>3001</v>
      </c>
      <c r="C28" s="93" t="str">
        <f>VLOOKUP(B28,[1]Sheet2!$C$4:$L$9000,5,FALSE)</f>
        <v>Lim</v>
      </c>
      <c r="D28" s="93" t="str">
        <f>VLOOKUP(B28,[1]Sheet2!$C$4:$L$9000,6,FALSE)</f>
        <v>Phalla</v>
      </c>
      <c r="E28" s="83">
        <v>44044</v>
      </c>
      <c r="F28" s="83" t="s">
        <v>6074</v>
      </c>
      <c r="G28" s="3" t="s">
        <v>6023</v>
      </c>
      <c r="H28" s="20">
        <v>190</v>
      </c>
      <c r="I28" s="20">
        <v>0</v>
      </c>
      <c r="J28" s="20">
        <v>20</v>
      </c>
      <c r="K28" s="20">
        <v>30</v>
      </c>
      <c r="L28" s="20">
        <v>0</v>
      </c>
      <c r="M28" s="29">
        <v>7</v>
      </c>
      <c r="N28" s="29">
        <v>10</v>
      </c>
      <c r="O28" s="320">
        <f t="shared" si="6"/>
        <v>257</v>
      </c>
      <c r="P28" s="3"/>
      <c r="Q28" s="3"/>
      <c r="R28" s="3"/>
      <c r="S28" s="3"/>
      <c r="T28" s="3"/>
      <c r="U28" s="20">
        <f t="shared" si="7"/>
        <v>192</v>
      </c>
      <c r="V28" s="20">
        <f t="shared" si="8"/>
        <v>0</v>
      </c>
      <c r="W28" s="20">
        <f t="shared" si="0"/>
        <v>20</v>
      </c>
      <c r="X28" s="20">
        <f t="shared" si="1"/>
        <v>30</v>
      </c>
      <c r="Y28" s="20">
        <f t="shared" si="2"/>
        <v>0</v>
      </c>
      <c r="Z28" s="20">
        <f t="shared" si="3"/>
        <v>7</v>
      </c>
      <c r="AA28" s="20">
        <f t="shared" si="4"/>
        <v>10</v>
      </c>
      <c r="AB28" s="320">
        <f t="shared" si="18"/>
        <v>259</v>
      </c>
      <c r="AC28" s="58">
        <f t="shared" si="35"/>
        <v>2</v>
      </c>
      <c r="AD28" s="58">
        <f t="shared" si="36"/>
        <v>0</v>
      </c>
      <c r="AE28" s="58">
        <f t="shared" si="37"/>
        <v>0</v>
      </c>
      <c r="AF28" s="58">
        <f t="shared" si="38"/>
        <v>0</v>
      </c>
      <c r="AG28" s="58">
        <f t="shared" si="39"/>
        <v>0</v>
      </c>
      <c r="AH28" s="58">
        <f t="shared" si="40"/>
        <v>0</v>
      </c>
      <c r="AI28" s="58">
        <f t="shared" si="41"/>
        <v>0</v>
      </c>
      <c r="AJ28" s="58">
        <f t="shared" si="42"/>
        <v>2</v>
      </c>
    </row>
    <row r="29" spans="1:36" ht="21.75" customHeight="1">
      <c r="A29" s="1">
        <f t="shared" si="5"/>
        <v>26</v>
      </c>
      <c r="B29" s="10">
        <v>5013</v>
      </c>
      <c r="C29" s="15" t="s">
        <v>6084</v>
      </c>
      <c r="D29" s="16" t="s">
        <v>6085</v>
      </c>
      <c r="E29" s="170">
        <v>44140</v>
      </c>
      <c r="F29" s="83" t="s">
        <v>6074</v>
      </c>
      <c r="G29" s="3" t="s">
        <v>6049</v>
      </c>
      <c r="H29" s="22">
        <v>190</v>
      </c>
      <c r="I29" s="22">
        <v>0</v>
      </c>
      <c r="J29" s="22">
        <v>0</v>
      </c>
      <c r="K29" s="22">
        <v>10</v>
      </c>
      <c r="L29" s="22">
        <v>0</v>
      </c>
      <c r="M29" s="29">
        <v>7</v>
      </c>
      <c r="N29" s="29">
        <v>10</v>
      </c>
      <c r="O29" s="320">
        <f t="shared" ref="O29" si="43">SUM(H29:N29)</f>
        <v>217</v>
      </c>
      <c r="P29" s="3"/>
      <c r="Q29" s="3"/>
      <c r="R29" s="3"/>
      <c r="S29" s="3"/>
      <c r="T29" s="3"/>
      <c r="U29" s="20">
        <f t="shared" ref="U29" si="44">H29+2</f>
        <v>192</v>
      </c>
      <c r="V29" s="20">
        <f t="shared" ref="V29" si="45">I29</f>
        <v>0</v>
      </c>
      <c r="W29" s="20">
        <f t="shared" ref="W29" si="46">J29</f>
        <v>0</v>
      </c>
      <c r="X29" s="20">
        <f t="shared" ref="X29" si="47">K29</f>
        <v>10</v>
      </c>
      <c r="Y29" s="20">
        <f t="shared" ref="Y29" si="48">L29</f>
        <v>0</v>
      </c>
      <c r="Z29" s="20">
        <f t="shared" ref="Z29" si="49">M29</f>
        <v>7</v>
      </c>
      <c r="AA29" s="20">
        <f t="shared" ref="AA29" si="50">N29</f>
        <v>10</v>
      </c>
      <c r="AB29" s="320">
        <f t="shared" ref="AB29" si="51">SUM(U29:AA29)</f>
        <v>219</v>
      </c>
      <c r="AC29" s="58">
        <f t="shared" si="35"/>
        <v>2</v>
      </c>
      <c r="AD29" s="58">
        <f t="shared" si="36"/>
        <v>0</v>
      </c>
      <c r="AE29" s="58">
        <f t="shared" si="37"/>
        <v>0</v>
      </c>
      <c r="AF29" s="58">
        <f t="shared" si="38"/>
        <v>0</v>
      </c>
      <c r="AG29" s="58">
        <f t="shared" si="39"/>
        <v>0</v>
      </c>
      <c r="AH29" s="58">
        <f t="shared" si="40"/>
        <v>0</v>
      </c>
      <c r="AI29" s="58">
        <f t="shared" si="41"/>
        <v>0</v>
      </c>
      <c r="AJ29" s="58">
        <f t="shared" si="42"/>
        <v>2</v>
      </c>
    </row>
    <row r="30" spans="1:36" ht="21.75" customHeight="1">
      <c r="A30" s="1">
        <f t="shared" si="5"/>
        <v>27</v>
      </c>
      <c r="B30" s="10">
        <v>3076</v>
      </c>
      <c r="C30" s="93" t="str">
        <f>VLOOKUP(B30,[1]Sheet2!$C$4:$L$9000,5,FALSE)</f>
        <v>Yoem</v>
      </c>
      <c r="D30" s="93" t="str">
        <f>VLOOKUP(B30,[1]Sheet2!$C$4:$L$9000,6,FALSE)</f>
        <v>Sarath</v>
      </c>
      <c r="E30" s="83">
        <v>43711</v>
      </c>
      <c r="F30" s="83" t="s">
        <v>6017</v>
      </c>
      <c r="G30" s="3" t="s">
        <v>6040</v>
      </c>
      <c r="H30" s="20">
        <v>190</v>
      </c>
      <c r="I30" s="20">
        <v>2</v>
      </c>
      <c r="J30" s="20">
        <v>20</v>
      </c>
      <c r="K30" s="20">
        <v>10</v>
      </c>
      <c r="L30" s="20">
        <v>0</v>
      </c>
      <c r="M30" s="29">
        <v>7</v>
      </c>
      <c r="N30" s="29">
        <v>10</v>
      </c>
      <c r="O30" s="320">
        <f t="shared" si="6"/>
        <v>239</v>
      </c>
      <c r="P30" s="3"/>
      <c r="Q30" s="3"/>
      <c r="R30" s="3"/>
      <c r="S30" s="3"/>
      <c r="T30" s="3"/>
      <c r="U30" s="20">
        <f t="shared" si="7"/>
        <v>192</v>
      </c>
      <c r="V30" s="20">
        <f t="shared" si="8"/>
        <v>2</v>
      </c>
      <c r="W30" s="20">
        <f t="shared" si="0"/>
        <v>20</v>
      </c>
      <c r="X30" s="20">
        <f t="shared" si="1"/>
        <v>10</v>
      </c>
      <c r="Y30" s="20">
        <f t="shared" si="2"/>
        <v>0</v>
      </c>
      <c r="Z30" s="20">
        <f t="shared" si="3"/>
        <v>7</v>
      </c>
      <c r="AA30" s="20">
        <f t="shared" si="4"/>
        <v>10</v>
      </c>
      <c r="AB30" s="320">
        <f t="shared" si="18"/>
        <v>241</v>
      </c>
      <c r="AC30" s="58">
        <f t="shared" si="35"/>
        <v>2</v>
      </c>
      <c r="AD30" s="58">
        <f t="shared" si="36"/>
        <v>0</v>
      </c>
      <c r="AE30" s="58">
        <f t="shared" si="37"/>
        <v>0</v>
      </c>
      <c r="AF30" s="58">
        <f t="shared" si="38"/>
        <v>0</v>
      </c>
      <c r="AG30" s="58">
        <f t="shared" si="39"/>
        <v>0</v>
      </c>
      <c r="AH30" s="58">
        <f t="shared" si="40"/>
        <v>0</v>
      </c>
      <c r="AI30" s="58">
        <f t="shared" si="41"/>
        <v>0</v>
      </c>
      <c r="AJ30" s="58">
        <f t="shared" si="42"/>
        <v>2</v>
      </c>
    </row>
    <row r="31" spans="1:36" ht="21.75" customHeight="1">
      <c r="A31" s="1">
        <f t="shared" si="5"/>
        <v>28</v>
      </c>
      <c r="B31" s="10">
        <v>24</v>
      </c>
      <c r="C31" s="93" t="str">
        <f>VLOOKUP(B31,[1]Sheet2!$C$4:$L$9000,5,FALSE)</f>
        <v>Im</v>
      </c>
      <c r="D31" s="93" t="str">
        <f>VLOOKUP(B31,[1]Sheet2!$C$4:$L$9000,6,FALSE)</f>
        <v>Phany</v>
      </c>
      <c r="E31" s="83">
        <v>41579</v>
      </c>
      <c r="F31" s="83" t="s">
        <v>6019</v>
      </c>
      <c r="G31" s="3" t="s">
        <v>6025</v>
      </c>
      <c r="H31" s="20">
        <v>190</v>
      </c>
      <c r="I31" s="20">
        <v>7</v>
      </c>
      <c r="J31" s="20">
        <v>20</v>
      </c>
      <c r="K31" s="20">
        <v>37</v>
      </c>
      <c r="L31" s="20">
        <v>15</v>
      </c>
      <c r="M31" s="29">
        <v>7</v>
      </c>
      <c r="N31" s="29">
        <v>10</v>
      </c>
      <c r="O31" s="320">
        <f t="shared" si="6"/>
        <v>286</v>
      </c>
      <c r="P31" s="3"/>
      <c r="Q31" s="3"/>
      <c r="R31" s="3"/>
      <c r="S31" s="3"/>
      <c r="T31" s="3"/>
      <c r="U31" s="20">
        <f t="shared" si="7"/>
        <v>192</v>
      </c>
      <c r="V31" s="20">
        <f t="shared" si="8"/>
        <v>7</v>
      </c>
      <c r="W31" s="20">
        <f t="shared" si="0"/>
        <v>20</v>
      </c>
      <c r="X31" s="20">
        <f t="shared" si="1"/>
        <v>37</v>
      </c>
      <c r="Y31" s="20">
        <f t="shared" si="2"/>
        <v>15</v>
      </c>
      <c r="Z31" s="20">
        <f t="shared" si="3"/>
        <v>7</v>
      </c>
      <c r="AA31" s="20">
        <f t="shared" si="4"/>
        <v>10</v>
      </c>
      <c r="AB31" s="320">
        <f t="shared" si="18"/>
        <v>288</v>
      </c>
      <c r="AC31" s="58">
        <f t="shared" si="35"/>
        <v>2</v>
      </c>
      <c r="AD31" s="58">
        <f t="shared" si="36"/>
        <v>0</v>
      </c>
      <c r="AE31" s="58">
        <f t="shared" si="37"/>
        <v>0</v>
      </c>
      <c r="AF31" s="58">
        <f t="shared" si="38"/>
        <v>0</v>
      </c>
      <c r="AG31" s="58">
        <f t="shared" si="39"/>
        <v>0</v>
      </c>
      <c r="AH31" s="58">
        <f t="shared" si="40"/>
        <v>0</v>
      </c>
      <c r="AI31" s="58">
        <f t="shared" si="41"/>
        <v>0</v>
      </c>
      <c r="AJ31" s="58">
        <f t="shared" si="42"/>
        <v>2</v>
      </c>
    </row>
    <row r="32" spans="1:36" ht="21.75" customHeight="1">
      <c r="A32" s="1">
        <f t="shared" si="5"/>
        <v>29</v>
      </c>
      <c r="B32" s="10">
        <v>603</v>
      </c>
      <c r="C32" s="15" t="s">
        <v>644</v>
      </c>
      <c r="D32" s="16" t="s">
        <v>645</v>
      </c>
      <c r="E32" s="25">
        <v>41837</v>
      </c>
      <c r="F32" s="83" t="s">
        <v>6019</v>
      </c>
      <c r="G32" s="3" t="s">
        <v>6067</v>
      </c>
      <c r="H32" s="22">
        <v>190</v>
      </c>
      <c r="I32" s="22">
        <v>7</v>
      </c>
      <c r="J32" s="22">
        <v>20</v>
      </c>
      <c r="K32" s="22">
        <v>10</v>
      </c>
      <c r="L32" s="22">
        <v>0</v>
      </c>
      <c r="M32" s="22">
        <v>7</v>
      </c>
      <c r="N32" s="22">
        <v>10</v>
      </c>
      <c r="O32" s="320">
        <f t="shared" si="6"/>
        <v>244</v>
      </c>
      <c r="P32" s="3"/>
      <c r="Q32" s="3"/>
      <c r="R32" s="3"/>
      <c r="S32" s="3"/>
      <c r="T32" s="3"/>
      <c r="U32" s="20">
        <f t="shared" ref="U32" si="52">H32+2</f>
        <v>192</v>
      </c>
      <c r="V32" s="20">
        <f t="shared" ref="V32" si="53">I32</f>
        <v>7</v>
      </c>
      <c r="W32" s="20">
        <f t="shared" ref="W32" si="54">J32</f>
        <v>20</v>
      </c>
      <c r="X32" s="20">
        <f t="shared" ref="X32" si="55">K32</f>
        <v>10</v>
      </c>
      <c r="Y32" s="20">
        <f t="shared" ref="Y32" si="56">L32</f>
        <v>0</v>
      </c>
      <c r="Z32" s="20">
        <f t="shared" ref="Z32" si="57">M32</f>
        <v>7</v>
      </c>
      <c r="AA32" s="20">
        <f t="shared" ref="AA32" si="58">N32</f>
        <v>10</v>
      </c>
      <c r="AB32" s="320">
        <f t="shared" ref="AB32" si="59">SUM(U32:AA32)</f>
        <v>246</v>
      </c>
      <c r="AC32" s="58">
        <f t="shared" si="35"/>
        <v>2</v>
      </c>
      <c r="AD32" s="58">
        <f t="shared" si="36"/>
        <v>0</v>
      </c>
      <c r="AE32" s="58">
        <f t="shared" si="37"/>
        <v>0</v>
      </c>
      <c r="AF32" s="58">
        <f t="shared" si="38"/>
        <v>0</v>
      </c>
      <c r="AG32" s="58">
        <f t="shared" si="39"/>
        <v>0</v>
      </c>
      <c r="AH32" s="58">
        <f t="shared" si="40"/>
        <v>0</v>
      </c>
      <c r="AI32" s="58">
        <f t="shared" si="41"/>
        <v>0</v>
      </c>
      <c r="AJ32" s="58">
        <f t="shared" si="42"/>
        <v>2</v>
      </c>
    </row>
    <row r="33" spans="1:36" ht="21.75" customHeight="1">
      <c r="A33" s="1">
        <f t="shared" si="5"/>
        <v>30</v>
      </c>
      <c r="B33" s="10">
        <v>176</v>
      </c>
      <c r="C33" s="93" t="str">
        <f>VLOOKUP(B33,[1]Sheet2!$C$4:$L$9000,5,FALSE)</f>
        <v>khom</v>
      </c>
      <c r="D33" s="93" t="str">
        <f>VLOOKUP(B33,[1]Sheet2!$C$4:$L$9000,6,FALSE)</f>
        <v>pholy</v>
      </c>
      <c r="E33" s="83">
        <v>41683</v>
      </c>
      <c r="F33" s="83" t="s">
        <v>6043</v>
      </c>
      <c r="G33" s="3" t="s">
        <v>6045</v>
      </c>
      <c r="H33" s="20">
        <v>190</v>
      </c>
      <c r="I33" s="20">
        <v>7</v>
      </c>
      <c r="J33" s="20">
        <v>20</v>
      </c>
      <c r="K33" s="20">
        <v>30</v>
      </c>
      <c r="L33" s="20">
        <v>0</v>
      </c>
      <c r="M33" s="29">
        <v>7</v>
      </c>
      <c r="N33" s="29">
        <v>10</v>
      </c>
      <c r="O33" s="320">
        <f t="shared" si="6"/>
        <v>264</v>
      </c>
      <c r="P33" s="3"/>
      <c r="Q33" s="3"/>
      <c r="R33" s="3"/>
      <c r="S33" s="3"/>
      <c r="T33" s="3"/>
      <c r="U33" s="20">
        <f t="shared" si="7"/>
        <v>192</v>
      </c>
      <c r="V33" s="20">
        <f t="shared" si="8"/>
        <v>7</v>
      </c>
      <c r="W33" s="20">
        <f t="shared" si="0"/>
        <v>20</v>
      </c>
      <c r="X33" s="20">
        <f t="shared" si="1"/>
        <v>30</v>
      </c>
      <c r="Y33" s="20">
        <f t="shared" si="2"/>
        <v>0</v>
      </c>
      <c r="Z33" s="20">
        <f t="shared" si="3"/>
        <v>7</v>
      </c>
      <c r="AA33" s="20">
        <f t="shared" si="4"/>
        <v>10</v>
      </c>
      <c r="AB33" s="320">
        <f t="shared" si="18"/>
        <v>266</v>
      </c>
      <c r="AC33" s="58">
        <f t="shared" si="35"/>
        <v>2</v>
      </c>
      <c r="AD33" s="58">
        <f t="shared" si="36"/>
        <v>0</v>
      </c>
      <c r="AE33" s="58">
        <f t="shared" si="37"/>
        <v>0</v>
      </c>
      <c r="AF33" s="58">
        <f t="shared" si="38"/>
        <v>0</v>
      </c>
      <c r="AG33" s="58">
        <f t="shared" si="39"/>
        <v>0</v>
      </c>
      <c r="AH33" s="58">
        <f t="shared" si="40"/>
        <v>0</v>
      </c>
      <c r="AI33" s="58">
        <f t="shared" si="41"/>
        <v>0</v>
      </c>
      <c r="AJ33" s="58">
        <f t="shared" si="42"/>
        <v>2</v>
      </c>
    </row>
    <row r="34" spans="1:36" ht="21.75" customHeight="1">
      <c r="A34" s="1">
        <f t="shared" si="5"/>
        <v>31</v>
      </c>
      <c r="B34" s="10">
        <v>3056</v>
      </c>
      <c r="C34" s="93" t="str">
        <f>VLOOKUP(B34,[1]Sheet2!$C$4:$L$9000,5,FALSE)</f>
        <v>khorn</v>
      </c>
      <c r="D34" s="93" t="str">
        <f>VLOOKUP(B34,[1]Sheet2!$C$4:$L$9000,6,FALSE)</f>
        <v>Chan Thoeurn</v>
      </c>
      <c r="E34" s="83">
        <v>44044</v>
      </c>
      <c r="F34" s="83" t="s">
        <v>6071</v>
      </c>
      <c r="G34" s="3" t="s">
        <v>6073</v>
      </c>
      <c r="H34" s="20">
        <v>190</v>
      </c>
      <c r="I34" s="20">
        <v>0</v>
      </c>
      <c r="J34" s="20">
        <v>20</v>
      </c>
      <c r="K34" s="20">
        <v>10</v>
      </c>
      <c r="L34" s="20">
        <v>0</v>
      </c>
      <c r="M34" s="29">
        <v>7</v>
      </c>
      <c r="N34" s="29">
        <v>10</v>
      </c>
      <c r="O34" s="320">
        <f t="shared" si="6"/>
        <v>237</v>
      </c>
      <c r="P34" s="3"/>
      <c r="Q34" s="3"/>
      <c r="R34" s="3"/>
      <c r="S34" s="3"/>
      <c r="T34" s="3"/>
      <c r="U34" s="20">
        <f t="shared" si="7"/>
        <v>192</v>
      </c>
      <c r="V34" s="20">
        <f t="shared" si="8"/>
        <v>0</v>
      </c>
      <c r="W34" s="20">
        <f t="shared" si="0"/>
        <v>20</v>
      </c>
      <c r="X34" s="20">
        <f t="shared" si="1"/>
        <v>10</v>
      </c>
      <c r="Y34" s="20">
        <f t="shared" si="2"/>
        <v>0</v>
      </c>
      <c r="Z34" s="20">
        <f t="shared" si="3"/>
        <v>7</v>
      </c>
      <c r="AA34" s="20">
        <f t="shared" si="4"/>
        <v>10</v>
      </c>
      <c r="AB34" s="320">
        <f t="shared" si="18"/>
        <v>239</v>
      </c>
      <c r="AC34" s="58">
        <f t="shared" si="35"/>
        <v>2</v>
      </c>
      <c r="AD34" s="58">
        <f t="shared" si="36"/>
        <v>0</v>
      </c>
      <c r="AE34" s="58">
        <f t="shared" si="37"/>
        <v>0</v>
      </c>
      <c r="AF34" s="58">
        <f t="shared" si="38"/>
        <v>0</v>
      </c>
      <c r="AG34" s="58">
        <f t="shared" si="39"/>
        <v>0</v>
      </c>
      <c r="AH34" s="58">
        <f t="shared" si="40"/>
        <v>0</v>
      </c>
      <c r="AI34" s="58">
        <f t="shared" si="41"/>
        <v>0</v>
      </c>
      <c r="AJ34" s="58">
        <f t="shared" si="42"/>
        <v>2</v>
      </c>
    </row>
    <row r="35" spans="1:36" ht="21.75" customHeight="1">
      <c r="A35" s="1">
        <f t="shared" si="5"/>
        <v>32</v>
      </c>
      <c r="B35" s="10">
        <v>3359</v>
      </c>
      <c r="C35" s="93" t="str">
        <f>VLOOKUP(B35,[1]Sheet2!$C$4:$L$9000,5,FALSE)</f>
        <v>CHHOEM</v>
      </c>
      <c r="D35" s="93" t="str">
        <f>VLOOKUP(B35,[1]Sheet2!$C$4:$L$9000,6,FALSE)</f>
        <v>DANY</v>
      </c>
      <c r="E35" s="83">
        <v>43755</v>
      </c>
      <c r="F35" s="83" t="s">
        <v>6071</v>
      </c>
      <c r="G35" s="3" t="s">
        <v>6072</v>
      </c>
      <c r="H35" s="20">
        <v>190</v>
      </c>
      <c r="I35" s="20">
        <v>0</v>
      </c>
      <c r="J35" s="20">
        <v>20</v>
      </c>
      <c r="K35" s="20">
        <v>30</v>
      </c>
      <c r="L35" s="20">
        <v>0</v>
      </c>
      <c r="M35" s="29">
        <v>7</v>
      </c>
      <c r="N35" s="29">
        <v>10</v>
      </c>
      <c r="O35" s="320">
        <f t="shared" si="6"/>
        <v>257</v>
      </c>
      <c r="P35" s="3"/>
      <c r="Q35" s="3"/>
      <c r="R35" s="3"/>
      <c r="S35" s="3"/>
      <c r="T35" s="3"/>
      <c r="U35" s="20">
        <f t="shared" si="7"/>
        <v>192</v>
      </c>
      <c r="V35" s="20">
        <f t="shared" si="8"/>
        <v>0</v>
      </c>
      <c r="W35" s="20">
        <f t="shared" si="0"/>
        <v>20</v>
      </c>
      <c r="X35" s="20">
        <f t="shared" si="1"/>
        <v>30</v>
      </c>
      <c r="Y35" s="20">
        <f t="shared" si="2"/>
        <v>0</v>
      </c>
      <c r="Z35" s="20">
        <f t="shared" si="3"/>
        <v>7</v>
      </c>
      <c r="AA35" s="20">
        <f t="shared" si="4"/>
        <v>10</v>
      </c>
      <c r="AB35" s="320">
        <f t="shared" si="18"/>
        <v>259</v>
      </c>
      <c r="AC35" s="58">
        <f t="shared" si="35"/>
        <v>2</v>
      </c>
      <c r="AD35" s="58">
        <f t="shared" si="36"/>
        <v>0</v>
      </c>
      <c r="AE35" s="58">
        <f t="shared" si="37"/>
        <v>0</v>
      </c>
      <c r="AF35" s="58">
        <f t="shared" si="38"/>
        <v>0</v>
      </c>
      <c r="AG35" s="58">
        <f t="shared" si="39"/>
        <v>0</v>
      </c>
      <c r="AH35" s="58">
        <f t="shared" si="40"/>
        <v>0</v>
      </c>
      <c r="AI35" s="58">
        <f t="shared" si="41"/>
        <v>0</v>
      </c>
      <c r="AJ35" s="58">
        <f t="shared" si="42"/>
        <v>2</v>
      </c>
    </row>
    <row r="36" spans="1:36" ht="21.75" customHeight="1">
      <c r="A36" s="1">
        <f t="shared" si="5"/>
        <v>33</v>
      </c>
      <c r="B36" s="333">
        <v>32</v>
      </c>
      <c r="C36" s="334" t="str">
        <f>VLOOKUP(B36,[1]Sheet2!$C$4:$L$9000,5,FALSE)</f>
        <v>Hear</v>
      </c>
      <c r="D36" s="334" t="str">
        <f>VLOOKUP(B36,[1]Sheet2!$C$4:$L$9000,6,FALSE)</f>
        <v>Hoeung</v>
      </c>
      <c r="E36" s="335">
        <v>41579</v>
      </c>
      <c r="F36" s="335" t="s">
        <v>6024</v>
      </c>
      <c r="G36" s="336" t="s">
        <v>6026</v>
      </c>
      <c r="H36" s="20">
        <v>190</v>
      </c>
      <c r="I36" s="20">
        <v>7</v>
      </c>
      <c r="J36" s="20">
        <v>0</v>
      </c>
      <c r="K36" s="20">
        <v>235</v>
      </c>
      <c r="L36" s="20">
        <v>50</v>
      </c>
      <c r="M36" s="29">
        <v>7</v>
      </c>
      <c r="N36" s="29">
        <v>10</v>
      </c>
      <c r="O36" s="320">
        <f t="shared" si="6"/>
        <v>499</v>
      </c>
      <c r="P36" s="3"/>
      <c r="Q36" s="3"/>
      <c r="R36" s="3"/>
      <c r="S36" s="3"/>
      <c r="T36" s="3"/>
      <c r="U36" s="20">
        <f t="shared" si="7"/>
        <v>192</v>
      </c>
      <c r="V36" s="20">
        <f t="shared" si="8"/>
        <v>7</v>
      </c>
      <c r="W36" s="20">
        <f t="shared" si="0"/>
        <v>0</v>
      </c>
      <c r="X36" s="20">
        <f t="shared" si="1"/>
        <v>235</v>
      </c>
      <c r="Y36" s="20">
        <f t="shared" si="2"/>
        <v>50</v>
      </c>
      <c r="Z36" s="20">
        <f t="shared" si="3"/>
        <v>7</v>
      </c>
      <c r="AA36" s="20">
        <f t="shared" si="4"/>
        <v>10</v>
      </c>
      <c r="AB36" s="320">
        <f t="shared" si="18"/>
        <v>501</v>
      </c>
      <c r="AC36" s="58">
        <f t="shared" si="35"/>
        <v>2</v>
      </c>
      <c r="AD36" s="58">
        <f t="shared" si="36"/>
        <v>0</v>
      </c>
      <c r="AE36" s="58">
        <f t="shared" si="37"/>
        <v>0</v>
      </c>
      <c r="AF36" s="58">
        <f t="shared" si="38"/>
        <v>0</v>
      </c>
      <c r="AG36" s="58">
        <f t="shared" si="39"/>
        <v>0</v>
      </c>
      <c r="AH36" s="58">
        <f t="shared" si="40"/>
        <v>0</v>
      </c>
      <c r="AI36" s="58">
        <f t="shared" si="41"/>
        <v>0</v>
      </c>
      <c r="AJ36" s="58">
        <f t="shared" si="42"/>
        <v>2</v>
      </c>
    </row>
    <row r="37" spans="1:36" ht="21.75" customHeight="1">
      <c r="A37" s="1">
        <f t="shared" si="5"/>
        <v>34</v>
      </c>
      <c r="B37" s="333">
        <v>762</v>
      </c>
      <c r="C37" s="334" t="str">
        <f>VLOOKUP(B37,[1]Sheet2!$C$4:$L$9000,5,FALSE)</f>
        <v>MEY</v>
      </c>
      <c r="D37" s="334" t="str">
        <f>VLOOKUP(B37,[1]Sheet2!$C$4:$L$9000,6,FALSE)</f>
        <v>LEAKHENA</v>
      </c>
      <c r="E37" s="335">
        <v>41981</v>
      </c>
      <c r="F37" s="335" t="s">
        <v>6090</v>
      </c>
      <c r="G37" s="336" t="s">
        <v>6091</v>
      </c>
      <c r="H37" s="20">
        <v>190</v>
      </c>
      <c r="I37" s="20">
        <v>6</v>
      </c>
      <c r="J37" s="20">
        <v>20</v>
      </c>
      <c r="K37" s="20">
        <v>20</v>
      </c>
      <c r="L37" s="20">
        <v>0</v>
      </c>
      <c r="M37" s="29">
        <v>7</v>
      </c>
      <c r="N37" s="29">
        <v>10</v>
      </c>
      <c r="O37" s="320">
        <f t="shared" si="6"/>
        <v>253</v>
      </c>
      <c r="P37" s="3"/>
      <c r="Q37" s="3"/>
      <c r="R37" s="3"/>
      <c r="S37" s="3"/>
      <c r="T37" s="3"/>
      <c r="U37" s="20">
        <f t="shared" si="7"/>
        <v>192</v>
      </c>
      <c r="V37" s="20">
        <f t="shared" si="8"/>
        <v>6</v>
      </c>
      <c r="W37" s="20">
        <f t="shared" si="0"/>
        <v>20</v>
      </c>
      <c r="X37" s="20">
        <f t="shared" si="1"/>
        <v>20</v>
      </c>
      <c r="Y37" s="20">
        <f t="shared" si="2"/>
        <v>0</v>
      </c>
      <c r="Z37" s="20">
        <f t="shared" si="3"/>
        <v>7</v>
      </c>
      <c r="AA37" s="20">
        <f t="shared" si="4"/>
        <v>10</v>
      </c>
      <c r="AB37" s="320">
        <f t="shared" si="18"/>
        <v>255</v>
      </c>
      <c r="AC37" s="58">
        <f t="shared" si="19"/>
        <v>2</v>
      </c>
      <c r="AD37" s="58">
        <f t="shared" si="20"/>
        <v>0</v>
      </c>
      <c r="AE37" s="58">
        <f t="shared" si="21"/>
        <v>0</v>
      </c>
      <c r="AF37" s="58">
        <f t="shared" si="22"/>
        <v>0</v>
      </c>
      <c r="AG37" s="58">
        <f t="shared" si="23"/>
        <v>0</v>
      </c>
      <c r="AH37" s="58">
        <f t="shared" si="24"/>
        <v>0</v>
      </c>
      <c r="AI37" s="58">
        <f t="shared" si="25"/>
        <v>0</v>
      </c>
      <c r="AJ37" s="58">
        <f t="shared" si="26"/>
        <v>2</v>
      </c>
    </row>
    <row r="38" spans="1:36" ht="21.75" customHeight="1">
      <c r="A38" s="1">
        <f t="shared" si="5"/>
        <v>35</v>
      </c>
      <c r="B38" s="333">
        <v>3263</v>
      </c>
      <c r="C38" s="334" t="str">
        <f>VLOOKUP(B38,[1]Sheet2!$C$4:$L$9000,5,FALSE)</f>
        <v>KHOU</v>
      </c>
      <c r="D38" s="334" t="str">
        <f>VLOOKUP(B38,[1]Sheet2!$C$4:$L$9000,6,FALSE)</f>
        <v>CHANTOLA</v>
      </c>
      <c r="E38" s="335">
        <v>43746</v>
      </c>
      <c r="F38" s="335" t="s">
        <v>6090</v>
      </c>
      <c r="G38" s="336" t="s">
        <v>6092</v>
      </c>
      <c r="H38" s="20">
        <v>190</v>
      </c>
      <c r="I38" s="20">
        <v>0</v>
      </c>
      <c r="J38" s="20">
        <v>20</v>
      </c>
      <c r="K38" s="20">
        <v>10</v>
      </c>
      <c r="L38" s="20">
        <v>0</v>
      </c>
      <c r="M38" s="29">
        <v>7</v>
      </c>
      <c r="N38" s="29">
        <v>10</v>
      </c>
      <c r="O38" s="320">
        <f t="shared" si="6"/>
        <v>237</v>
      </c>
      <c r="P38" s="3"/>
      <c r="Q38" s="3"/>
      <c r="R38" s="3"/>
      <c r="S38" s="3"/>
      <c r="T38" s="3"/>
      <c r="U38" s="20">
        <f t="shared" si="7"/>
        <v>192</v>
      </c>
      <c r="V38" s="20">
        <f t="shared" si="8"/>
        <v>0</v>
      </c>
      <c r="W38" s="20">
        <f t="shared" si="0"/>
        <v>20</v>
      </c>
      <c r="X38" s="20">
        <f t="shared" si="1"/>
        <v>10</v>
      </c>
      <c r="Y38" s="20">
        <f t="shared" si="2"/>
        <v>0</v>
      </c>
      <c r="Z38" s="20">
        <f t="shared" si="3"/>
        <v>7</v>
      </c>
      <c r="AA38" s="20">
        <f t="shared" si="4"/>
        <v>10</v>
      </c>
      <c r="AB38" s="320">
        <f t="shared" si="18"/>
        <v>239</v>
      </c>
      <c r="AC38" s="58">
        <f t="shared" si="19"/>
        <v>2</v>
      </c>
      <c r="AD38" s="58">
        <f t="shared" si="20"/>
        <v>0</v>
      </c>
      <c r="AE38" s="58">
        <f t="shared" si="21"/>
        <v>0</v>
      </c>
      <c r="AF38" s="58">
        <f t="shared" si="22"/>
        <v>0</v>
      </c>
      <c r="AG38" s="58">
        <f t="shared" si="23"/>
        <v>0</v>
      </c>
      <c r="AH38" s="58">
        <f t="shared" si="24"/>
        <v>0</v>
      </c>
      <c r="AI38" s="58">
        <f t="shared" si="25"/>
        <v>0</v>
      </c>
      <c r="AJ38" s="58">
        <f t="shared" si="26"/>
        <v>2</v>
      </c>
    </row>
    <row r="39" spans="1:36" ht="21.75" customHeight="1">
      <c r="A39" s="1">
        <f t="shared" si="5"/>
        <v>36</v>
      </c>
      <c r="B39" s="333">
        <v>909</v>
      </c>
      <c r="C39" s="334" t="str">
        <f>VLOOKUP(B39,[1]Sheet2!$C$4:$L$9000,5,FALSE)</f>
        <v>PHOEM</v>
      </c>
      <c r="D39" s="334" t="str">
        <f>VLOOKUP(B39,[1]Sheet2!$C$4:$L$9000,6,FALSE)</f>
        <v>LAN</v>
      </c>
      <c r="E39" s="335">
        <v>42122</v>
      </c>
      <c r="F39" s="335" t="s">
        <v>6088</v>
      </c>
      <c r="G39" s="336" t="s">
        <v>6089</v>
      </c>
      <c r="H39" s="20">
        <v>190</v>
      </c>
      <c r="I39" s="20">
        <v>6</v>
      </c>
      <c r="J39" s="20">
        <v>20</v>
      </c>
      <c r="K39" s="20">
        <v>20</v>
      </c>
      <c r="L39" s="20">
        <v>0</v>
      </c>
      <c r="M39" s="29">
        <v>7</v>
      </c>
      <c r="N39" s="29">
        <v>10</v>
      </c>
      <c r="O39" s="320">
        <f t="shared" si="6"/>
        <v>253</v>
      </c>
      <c r="P39" s="3"/>
      <c r="Q39" s="3"/>
      <c r="R39" s="3"/>
      <c r="S39" s="3"/>
      <c r="T39" s="3"/>
      <c r="U39" s="20">
        <f t="shared" si="7"/>
        <v>192</v>
      </c>
      <c r="V39" s="20">
        <f t="shared" si="8"/>
        <v>6</v>
      </c>
      <c r="W39" s="20">
        <f t="shared" si="0"/>
        <v>20</v>
      </c>
      <c r="X39" s="20">
        <f t="shared" si="1"/>
        <v>20</v>
      </c>
      <c r="Y39" s="20">
        <f t="shared" si="2"/>
        <v>0</v>
      </c>
      <c r="Z39" s="20">
        <f t="shared" si="3"/>
        <v>7</v>
      </c>
      <c r="AA39" s="20">
        <f t="shared" si="4"/>
        <v>10</v>
      </c>
      <c r="AB39" s="320">
        <f t="shared" si="18"/>
        <v>255</v>
      </c>
      <c r="AC39" s="58">
        <f t="shared" si="19"/>
        <v>2</v>
      </c>
      <c r="AD39" s="58">
        <f t="shared" si="20"/>
        <v>0</v>
      </c>
      <c r="AE39" s="58">
        <f t="shared" si="21"/>
        <v>0</v>
      </c>
      <c r="AF39" s="58">
        <f t="shared" si="22"/>
        <v>0</v>
      </c>
      <c r="AG39" s="58">
        <f t="shared" si="23"/>
        <v>0</v>
      </c>
      <c r="AH39" s="58">
        <f t="shared" si="24"/>
        <v>0</v>
      </c>
      <c r="AI39" s="58">
        <f t="shared" si="25"/>
        <v>0</v>
      </c>
      <c r="AJ39" s="58">
        <f t="shared" si="26"/>
        <v>2</v>
      </c>
    </row>
    <row r="40" spans="1:36" ht="21.75" customHeight="1">
      <c r="A40" s="1">
        <f t="shared" si="5"/>
        <v>37</v>
      </c>
      <c r="B40" s="333">
        <v>5036</v>
      </c>
      <c r="C40" s="337" t="s">
        <v>949</v>
      </c>
      <c r="D40" s="338" t="s">
        <v>6093</v>
      </c>
      <c r="E40" s="339">
        <v>44140</v>
      </c>
      <c r="F40" s="335" t="s">
        <v>6088</v>
      </c>
      <c r="G40" s="336" t="s">
        <v>6094</v>
      </c>
      <c r="H40" s="22">
        <v>190</v>
      </c>
      <c r="I40" s="22">
        <v>0</v>
      </c>
      <c r="J40" s="22">
        <v>0</v>
      </c>
      <c r="K40" s="22">
        <v>0</v>
      </c>
      <c r="L40" s="20">
        <v>0</v>
      </c>
      <c r="M40" s="29">
        <v>7</v>
      </c>
      <c r="N40" s="29">
        <v>10</v>
      </c>
      <c r="O40" s="320">
        <f t="shared" ref="O40" si="60">SUM(H40:N40)</f>
        <v>207</v>
      </c>
      <c r="P40" s="3"/>
      <c r="Q40" s="3"/>
      <c r="R40" s="3"/>
      <c r="S40" s="3"/>
      <c r="T40" s="3"/>
      <c r="U40" s="20">
        <f t="shared" ref="U40" si="61">H40+2</f>
        <v>192</v>
      </c>
      <c r="V40" s="20">
        <f t="shared" ref="V40" si="62">I40</f>
        <v>0</v>
      </c>
      <c r="W40" s="20">
        <f t="shared" ref="W40" si="63">J40</f>
        <v>0</v>
      </c>
      <c r="X40" s="20">
        <f t="shared" ref="X40" si="64">K40</f>
        <v>0</v>
      </c>
      <c r="Y40" s="20">
        <f t="shared" ref="Y40" si="65">L40</f>
        <v>0</v>
      </c>
      <c r="Z40" s="20">
        <f t="shared" ref="Z40" si="66">M40</f>
        <v>7</v>
      </c>
      <c r="AA40" s="20">
        <f t="shared" ref="AA40" si="67">N40</f>
        <v>10</v>
      </c>
      <c r="AB40" s="320">
        <f t="shared" ref="AB40" si="68">SUM(U40:AA40)</f>
        <v>209</v>
      </c>
      <c r="AC40" s="58">
        <f t="shared" ref="AC40" si="69">U40-H40</f>
        <v>2</v>
      </c>
      <c r="AD40" s="58">
        <f t="shared" ref="AD40" si="70">V40-I40</f>
        <v>0</v>
      </c>
      <c r="AE40" s="58">
        <f t="shared" ref="AE40" si="71">W40-J40</f>
        <v>0</v>
      </c>
      <c r="AF40" s="58">
        <f t="shared" ref="AF40" si="72">X40-K40</f>
        <v>0</v>
      </c>
      <c r="AG40" s="58">
        <f t="shared" ref="AG40" si="73">Y40-L40</f>
        <v>0</v>
      </c>
      <c r="AH40" s="58">
        <f t="shared" ref="AH40" si="74">Z40-M40</f>
        <v>0</v>
      </c>
      <c r="AI40" s="58">
        <f t="shared" ref="AI40" si="75">AA40-N40</f>
        <v>0</v>
      </c>
      <c r="AJ40" s="58">
        <f t="shared" ref="AJ40" si="76">AB40-O40</f>
        <v>2</v>
      </c>
    </row>
    <row r="41" spans="1:36" ht="21.75" customHeight="1">
      <c r="A41" s="1">
        <f t="shared" si="5"/>
        <v>38</v>
      </c>
      <c r="B41" s="333">
        <v>3047</v>
      </c>
      <c r="C41" s="334" t="str">
        <f>VLOOKUP(B41,[1]Sheet2!$C$4:$L$9000,5,FALSE)</f>
        <v>Em</v>
      </c>
      <c r="D41" s="334" t="str">
        <f>VLOOKUP(B41,[1]Sheet2!$C$4:$L$9000,6,FALSE)</f>
        <v>Mach</v>
      </c>
      <c r="E41" s="335">
        <v>44044</v>
      </c>
      <c r="F41" s="335" t="s">
        <v>6086</v>
      </c>
      <c r="G41" s="336" t="s">
        <v>6050</v>
      </c>
      <c r="H41" s="20">
        <v>190</v>
      </c>
      <c r="I41" s="20">
        <v>0</v>
      </c>
      <c r="J41" s="20">
        <v>20</v>
      </c>
      <c r="K41" s="20">
        <v>30</v>
      </c>
      <c r="L41" s="20">
        <v>0</v>
      </c>
      <c r="M41" s="29">
        <v>7</v>
      </c>
      <c r="N41" s="29">
        <v>10</v>
      </c>
      <c r="O41" s="320">
        <f t="shared" si="6"/>
        <v>257</v>
      </c>
      <c r="P41" s="3"/>
      <c r="Q41" s="3"/>
      <c r="R41" s="3"/>
      <c r="S41" s="3"/>
      <c r="T41" s="3"/>
      <c r="U41" s="20">
        <f t="shared" si="7"/>
        <v>192</v>
      </c>
      <c r="V41" s="20">
        <f t="shared" si="8"/>
        <v>0</v>
      </c>
      <c r="W41" s="20">
        <f t="shared" si="0"/>
        <v>20</v>
      </c>
      <c r="X41" s="20">
        <f t="shared" si="1"/>
        <v>30</v>
      </c>
      <c r="Y41" s="20">
        <f t="shared" si="2"/>
        <v>0</v>
      </c>
      <c r="Z41" s="20">
        <f t="shared" si="3"/>
        <v>7</v>
      </c>
      <c r="AA41" s="20">
        <f t="shared" si="4"/>
        <v>10</v>
      </c>
      <c r="AB41" s="320">
        <f t="shared" si="18"/>
        <v>259</v>
      </c>
      <c r="AC41" s="58">
        <f t="shared" si="19"/>
        <v>2</v>
      </c>
      <c r="AD41" s="58">
        <f t="shared" si="20"/>
        <v>0</v>
      </c>
      <c r="AE41" s="58">
        <f t="shared" si="21"/>
        <v>0</v>
      </c>
      <c r="AF41" s="58">
        <f t="shared" si="22"/>
        <v>0</v>
      </c>
      <c r="AG41" s="58">
        <f t="shared" si="23"/>
        <v>0</v>
      </c>
      <c r="AH41" s="58">
        <f t="shared" si="24"/>
        <v>0</v>
      </c>
      <c r="AI41" s="58">
        <f t="shared" si="25"/>
        <v>0</v>
      </c>
      <c r="AJ41" s="58">
        <f t="shared" si="26"/>
        <v>2</v>
      </c>
    </row>
    <row r="42" spans="1:36" ht="21.75" customHeight="1">
      <c r="A42" s="1">
        <f t="shared" si="5"/>
        <v>39</v>
      </c>
      <c r="B42" s="333">
        <v>2940</v>
      </c>
      <c r="C42" s="334" t="str">
        <f>VLOOKUP(B42,[1]Sheet2!$C$4:$L$9000,5,FALSE)</f>
        <v>Try</v>
      </c>
      <c r="D42" s="334" t="str">
        <f>VLOOKUP(B42,[1]Sheet2!$C$4:$L$9000,6,FALSE)</f>
        <v>SeakMeng</v>
      </c>
      <c r="E42" s="335">
        <v>43983</v>
      </c>
      <c r="F42" s="335" t="s">
        <v>6086</v>
      </c>
      <c r="G42" s="336" t="s">
        <v>6051</v>
      </c>
      <c r="H42" s="20">
        <v>190</v>
      </c>
      <c r="I42" s="20">
        <v>0</v>
      </c>
      <c r="J42" s="20">
        <v>20</v>
      </c>
      <c r="K42" s="20">
        <v>10</v>
      </c>
      <c r="L42" s="20">
        <v>0</v>
      </c>
      <c r="M42" s="29">
        <v>7</v>
      </c>
      <c r="N42" s="29">
        <v>10</v>
      </c>
      <c r="O42" s="320">
        <f t="shared" si="6"/>
        <v>237</v>
      </c>
      <c r="P42" s="3"/>
      <c r="Q42" s="3"/>
      <c r="R42" s="3"/>
      <c r="S42" s="3"/>
      <c r="T42" s="3"/>
      <c r="U42" s="20">
        <f t="shared" si="7"/>
        <v>192</v>
      </c>
      <c r="V42" s="20">
        <f t="shared" si="8"/>
        <v>0</v>
      </c>
      <c r="W42" s="20">
        <f t="shared" si="0"/>
        <v>20</v>
      </c>
      <c r="X42" s="20">
        <f t="shared" si="1"/>
        <v>10</v>
      </c>
      <c r="Y42" s="20">
        <f t="shared" si="2"/>
        <v>0</v>
      </c>
      <c r="Z42" s="20">
        <f t="shared" si="3"/>
        <v>7</v>
      </c>
      <c r="AA42" s="20">
        <f t="shared" si="4"/>
        <v>10</v>
      </c>
      <c r="AB42" s="320">
        <f t="shared" si="18"/>
        <v>239</v>
      </c>
      <c r="AC42" s="58">
        <f t="shared" si="19"/>
        <v>2</v>
      </c>
      <c r="AD42" s="58">
        <f t="shared" si="20"/>
        <v>0</v>
      </c>
      <c r="AE42" s="58">
        <f t="shared" si="21"/>
        <v>0</v>
      </c>
      <c r="AF42" s="58">
        <f t="shared" si="22"/>
        <v>0</v>
      </c>
      <c r="AG42" s="58">
        <f t="shared" si="23"/>
        <v>0</v>
      </c>
      <c r="AH42" s="58">
        <f t="shared" si="24"/>
        <v>0</v>
      </c>
      <c r="AI42" s="58">
        <f t="shared" si="25"/>
        <v>0</v>
      </c>
      <c r="AJ42" s="58">
        <f t="shared" si="26"/>
        <v>2</v>
      </c>
    </row>
    <row r="43" spans="1:36" ht="21.75" customHeight="1">
      <c r="A43" s="1">
        <f t="shared" si="5"/>
        <v>40</v>
      </c>
      <c r="B43" s="333">
        <v>1569</v>
      </c>
      <c r="C43" s="334" t="str">
        <f>VLOOKUP(B43,[1]Sheet2!$C$4:$L$9000,5,FALSE)</f>
        <v>SORN</v>
      </c>
      <c r="D43" s="334" t="str">
        <f>VLOOKUP(B43,[1]Sheet2!$C$4:$L$9000,6,FALSE)</f>
        <v>SINAT</v>
      </c>
      <c r="E43" s="335">
        <v>42565</v>
      </c>
      <c r="F43" s="335" t="s">
        <v>6087</v>
      </c>
      <c r="G43" s="336" t="s">
        <v>6046</v>
      </c>
      <c r="H43" s="20">
        <v>190</v>
      </c>
      <c r="I43" s="20">
        <v>5</v>
      </c>
      <c r="J43" s="20">
        <v>20</v>
      </c>
      <c r="K43" s="20">
        <v>30</v>
      </c>
      <c r="L43" s="20">
        <v>0</v>
      </c>
      <c r="M43" s="29">
        <v>7</v>
      </c>
      <c r="N43" s="29">
        <v>10</v>
      </c>
      <c r="O43" s="320">
        <f t="shared" si="6"/>
        <v>262</v>
      </c>
      <c r="P43" s="365"/>
      <c r="Q43" s="365"/>
      <c r="R43" s="365"/>
      <c r="S43" s="365"/>
      <c r="T43" s="365"/>
      <c r="U43" s="20">
        <f t="shared" si="7"/>
        <v>192</v>
      </c>
      <c r="V43" s="20">
        <f t="shared" si="8"/>
        <v>5</v>
      </c>
      <c r="W43" s="20">
        <f t="shared" si="0"/>
        <v>20</v>
      </c>
      <c r="X43" s="20">
        <f t="shared" si="1"/>
        <v>30</v>
      </c>
      <c r="Y43" s="20">
        <f t="shared" si="2"/>
        <v>0</v>
      </c>
      <c r="Z43" s="20">
        <f t="shared" si="3"/>
        <v>7</v>
      </c>
      <c r="AA43" s="20">
        <f t="shared" si="4"/>
        <v>10</v>
      </c>
      <c r="AB43" s="320">
        <f t="shared" si="18"/>
        <v>264</v>
      </c>
      <c r="AC43" s="58">
        <f t="shared" si="19"/>
        <v>2</v>
      </c>
      <c r="AD43" s="58">
        <f t="shared" si="20"/>
        <v>0</v>
      </c>
      <c r="AE43" s="58">
        <f t="shared" si="21"/>
        <v>0</v>
      </c>
      <c r="AF43" s="58">
        <f t="shared" si="22"/>
        <v>0</v>
      </c>
      <c r="AG43" s="58">
        <f t="shared" si="23"/>
        <v>0</v>
      </c>
      <c r="AH43" s="58">
        <f t="shared" si="24"/>
        <v>0</v>
      </c>
      <c r="AI43" s="58">
        <f t="shared" si="25"/>
        <v>0</v>
      </c>
      <c r="AJ43" s="58">
        <f t="shared" si="26"/>
        <v>2</v>
      </c>
    </row>
    <row r="44" spans="1:36" ht="21.75" customHeight="1">
      <c r="A44" s="1">
        <f t="shared" si="5"/>
        <v>41</v>
      </c>
      <c r="B44" s="333">
        <v>2043</v>
      </c>
      <c r="C44" s="334" t="str">
        <f>VLOOKUP(B44,[1]Sheet2!$C$4:$L$9000,5,FALSE)</f>
        <v>CHONG</v>
      </c>
      <c r="D44" s="334" t="str">
        <f>VLOOKUP(B44,[1]Sheet2!$C$4:$L$9000,6,FALSE)</f>
        <v>SOCHEA</v>
      </c>
      <c r="E44" s="335">
        <v>43709</v>
      </c>
      <c r="F44" s="335" t="s">
        <v>6087</v>
      </c>
      <c r="G44" s="336" t="s">
        <v>6048</v>
      </c>
      <c r="H44" s="20">
        <v>190</v>
      </c>
      <c r="I44" s="20">
        <v>2</v>
      </c>
      <c r="J44" s="20">
        <v>20</v>
      </c>
      <c r="K44" s="20">
        <v>10</v>
      </c>
      <c r="L44" s="20">
        <v>0</v>
      </c>
      <c r="M44" s="29">
        <v>7</v>
      </c>
      <c r="N44" s="29">
        <v>10</v>
      </c>
      <c r="O44" s="320">
        <f t="shared" si="6"/>
        <v>239</v>
      </c>
      <c r="P44" s="3"/>
      <c r="Q44" s="3"/>
      <c r="R44" s="3"/>
      <c r="S44" s="3"/>
      <c r="T44" s="3"/>
      <c r="U44" s="20">
        <f t="shared" si="7"/>
        <v>192</v>
      </c>
      <c r="V44" s="20">
        <f t="shared" si="8"/>
        <v>2</v>
      </c>
      <c r="W44" s="20">
        <f t="shared" si="0"/>
        <v>20</v>
      </c>
      <c r="X44" s="20">
        <f t="shared" si="1"/>
        <v>10</v>
      </c>
      <c r="Y44" s="20">
        <f t="shared" si="2"/>
        <v>0</v>
      </c>
      <c r="Z44" s="20">
        <f t="shared" si="3"/>
        <v>7</v>
      </c>
      <c r="AA44" s="20">
        <f t="shared" si="4"/>
        <v>10</v>
      </c>
      <c r="AB44" s="320">
        <f t="shared" si="18"/>
        <v>241</v>
      </c>
      <c r="AC44" s="58">
        <f t="shared" si="19"/>
        <v>2</v>
      </c>
      <c r="AD44" s="58">
        <f t="shared" si="20"/>
        <v>0</v>
      </c>
      <c r="AE44" s="58">
        <f t="shared" si="21"/>
        <v>0</v>
      </c>
      <c r="AF44" s="58">
        <f t="shared" si="22"/>
        <v>0</v>
      </c>
      <c r="AG44" s="58">
        <f t="shared" si="23"/>
        <v>0</v>
      </c>
      <c r="AH44" s="58">
        <f t="shared" si="24"/>
        <v>0</v>
      </c>
      <c r="AI44" s="58">
        <f t="shared" si="25"/>
        <v>0</v>
      </c>
      <c r="AJ44" s="58">
        <f t="shared" si="26"/>
        <v>2</v>
      </c>
    </row>
    <row r="45" spans="1:36" ht="21.75" customHeight="1">
      <c r="A45" s="1">
        <f t="shared" si="5"/>
        <v>42</v>
      </c>
      <c r="B45" s="239">
        <v>4030</v>
      </c>
      <c r="C45" s="249" t="s">
        <v>6065</v>
      </c>
      <c r="D45" s="249" t="s">
        <v>6066</v>
      </c>
      <c r="E45" s="250">
        <v>43893</v>
      </c>
      <c r="F45" s="238" t="s">
        <v>402</v>
      </c>
      <c r="G45" s="10" t="s">
        <v>10</v>
      </c>
      <c r="H45" s="22">
        <v>190</v>
      </c>
      <c r="I45" s="22">
        <v>0</v>
      </c>
      <c r="J45" s="22">
        <v>20</v>
      </c>
      <c r="K45" s="22">
        <v>30</v>
      </c>
      <c r="L45" s="22">
        <v>0</v>
      </c>
      <c r="M45" s="22">
        <v>7</v>
      </c>
      <c r="N45" s="22">
        <v>10</v>
      </c>
      <c r="O45" s="320">
        <f t="shared" si="6"/>
        <v>257</v>
      </c>
      <c r="P45" s="3"/>
      <c r="Q45" s="3"/>
      <c r="R45" s="3"/>
      <c r="S45" s="3"/>
      <c r="T45" s="3"/>
      <c r="U45" s="20">
        <f t="shared" ref="U45" si="77">H45+2</f>
        <v>192</v>
      </c>
      <c r="V45" s="20">
        <f t="shared" ref="V45" si="78">I45</f>
        <v>0</v>
      </c>
      <c r="W45" s="20">
        <f t="shared" ref="W45" si="79">J45</f>
        <v>20</v>
      </c>
      <c r="X45" s="20">
        <f t="shared" ref="X45" si="80">K45</f>
        <v>30</v>
      </c>
      <c r="Y45" s="20">
        <f t="shared" ref="Y45" si="81">L45</f>
        <v>0</v>
      </c>
      <c r="Z45" s="20">
        <f t="shared" ref="Z45" si="82">M45</f>
        <v>7</v>
      </c>
      <c r="AA45" s="20">
        <f t="shared" ref="AA45" si="83">N45</f>
        <v>10</v>
      </c>
      <c r="AB45" s="320">
        <f t="shared" si="18"/>
        <v>259</v>
      </c>
      <c r="AC45" s="58">
        <f t="shared" ref="AC45" si="84">U45-H45</f>
        <v>2</v>
      </c>
      <c r="AD45" s="58">
        <f t="shared" ref="AD45" si="85">V45-I45</f>
        <v>0</v>
      </c>
      <c r="AE45" s="58">
        <f t="shared" ref="AE45" si="86">W45-J45</f>
        <v>0</v>
      </c>
      <c r="AF45" s="58">
        <f t="shared" ref="AF45" si="87">X45-K45</f>
        <v>0</v>
      </c>
      <c r="AG45" s="58">
        <f t="shared" ref="AG45" si="88">Y45-L45</f>
        <v>0</v>
      </c>
      <c r="AH45" s="58">
        <f t="shared" ref="AH45" si="89">Z45-M45</f>
        <v>0</v>
      </c>
      <c r="AI45" s="58">
        <f t="shared" ref="AI45" si="90">AA45-N45</f>
        <v>0</v>
      </c>
      <c r="AJ45" s="58">
        <f t="shared" ref="AJ45" si="91">AB45-O45</f>
        <v>2</v>
      </c>
    </row>
    <row r="46" spans="1:36" ht="21.75" customHeight="1">
      <c r="A46" s="1">
        <f t="shared" si="5"/>
        <v>43</v>
      </c>
      <c r="B46" s="322">
        <v>1353</v>
      </c>
      <c r="C46" s="46" t="str">
        <f>VLOOKUP(B46,[1]Sheet2!$C$4:$L$9000,5,FALSE)</f>
        <v>PHOU</v>
      </c>
      <c r="D46" s="46" t="str">
        <f>VLOOKUP(B46,[1]Sheet2!$C$4:$L$9000,6,FALSE)</f>
        <v>PUTREA</v>
      </c>
      <c r="E46" s="83">
        <v>42321</v>
      </c>
      <c r="F46" s="83" t="s">
        <v>14</v>
      </c>
      <c r="G46" s="3" t="s">
        <v>8</v>
      </c>
      <c r="H46" s="47">
        <v>190</v>
      </c>
      <c r="I46" s="47">
        <v>5</v>
      </c>
      <c r="J46" s="47">
        <v>20</v>
      </c>
      <c r="K46" s="47">
        <v>123</v>
      </c>
      <c r="L46" s="47">
        <v>20</v>
      </c>
      <c r="M46" s="47">
        <v>7</v>
      </c>
      <c r="N46" s="47">
        <v>10</v>
      </c>
      <c r="O46" s="320">
        <f t="shared" si="6"/>
        <v>375</v>
      </c>
      <c r="P46" s="365"/>
      <c r="Q46" s="365"/>
      <c r="R46" s="365"/>
      <c r="S46" s="365"/>
      <c r="T46" s="365"/>
      <c r="U46" s="20">
        <f t="shared" si="7"/>
        <v>192</v>
      </c>
      <c r="V46" s="20">
        <f t="shared" si="8"/>
        <v>5</v>
      </c>
      <c r="W46" s="20">
        <f t="shared" si="0"/>
        <v>20</v>
      </c>
      <c r="X46" s="20">
        <f t="shared" si="1"/>
        <v>123</v>
      </c>
      <c r="Y46" s="20">
        <f t="shared" si="2"/>
        <v>20</v>
      </c>
      <c r="Z46" s="20">
        <f t="shared" si="3"/>
        <v>7</v>
      </c>
      <c r="AA46" s="20">
        <f t="shared" si="4"/>
        <v>10</v>
      </c>
      <c r="AB46" s="320">
        <f t="shared" si="18"/>
        <v>377</v>
      </c>
      <c r="AC46" s="58">
        <f t="shared" si="19"/>
        <v>2</v>
      </c>
      <c r="AD46" s="58">
        <f t="shared" si="20"/>
        <v>0</v>
      </c>
      <c r="AE46" s="58">
        <f t="shared" si="21"/>
        <v>0</v>
      </c>
      <c r="AF46" s="58">
        <f t="shared" si="22"/>
        <v>0</v>
      </c>
      <c r="AG46" s="58">
        <f t="shared" si="23"/>
        <v>0</v>
      </c>
      <c r="AH46" s="58">
        <f t="shared" si="24"/>
        <v>0</v>
      </c>
      <c r="AI46" s="58">
        <f t="shared" si="25"/>
        <v>0</v>
      </c>
      <c r="AJ46" s="58">
        <f t="shared" si="26"/>
        <v>2</v>
      </c>
    </row>
    <row r="47" spans="1:36" ht="21.75" customHeight="1">
      <c r="A47" s="1">
        <f t="shared" si="5"/>
        <v>44</v>
      </c>
      <c r="B47" s="324">
        <v>2573</v>
      </c>
      <c r="C47" s="46" t="str">
        <f>VLOOKUP(B47,[1]Sheet2!$C$4:$L$9000,5,FALSE)</f>
        <v>Chi</v>
      </c>
      <c r="D47" s="46" t="str">
        <f>VLOOKUP(B47,[1]Sheet2!$C$4:$L$9000,6,FALSE)</f>
        <v>Sopheak</v>
      </c>
      <c r="E47" s="83">
        <v>43983</v>
      </c>
      <c r="F47" s="83" t="s">
        <v>14</v>
      </c>
      <c r="G47" s="3" t="s">
        <v>8</v>
      </c>
      <c r="H47" s="47">
        <v>190</v>
      </c>
      <c r="I47" s="47">
        <v>0</v>
      </c>
      <c r="J47" s="47">
        <v>20</v>
      </c>
      <c r="K47" s="47">
        <v>133</v>
      </c>
      <c r="L47" s="47">
        <v>30</v>
      </c>
      <c r="M47" s="47">
        <v>7</v>
      </c>
      <c r="N47" s="47">
        <v>10</v>
      </c>
      <c r="O47" s="320">
        <f t="shared" si="6"/>
        <v>390</v>
      </c>
      <c r="P47" s="3"/>
      <c r="Q47" s="3"/>
      <c r="R47" s="3"/>
      <c r="S47" s="3"/>
      <c r="T47" s="3"/>
      <c r="U47" s="20">
        <f t="shared" si="7"/>
        <v>192</v>
      </c>
      <c r="V47" s="20">
        <f t="shared" si="8"/>
        <v>0</v>
      </c>
      <c r="W47" s="20">
        <f t="shared" si="0"/>
        <v>20</v>
      </c>
      <c r="X47" s="20">
        <f t="shared" si="1"/>
        <v>133</v>
      </c>
      <c r="Y47" s="20">
        <f t="shared" si="2"/>
        <v>30</v>
      </c>
      <c r="Z47" s="20">
        <f t="shared" si="3"/>
        <v>7</v>
      </c>
      <c r="AA47" s="20">
        <f t="shared" si="4"/>
        <v>10</v>
      </c>
      <c r="AB47" s="320">
        <f t="shared" si="18"/>
        <v>392</v>
      </c>
      <c r="AC47" s="58">
        <f t="shared" si="19"/>
        <v>2</v>
      </c>
      <c r="AD47" s="58">
        <f t="shared" si="20"/>
        <v>0</v>
      </c>
      <c r="AE47" s="58">
        <f t="shared" si="21"/>
        <v>0</v>
      </c>
      <c r="AF47" s="58">
        <f t="shared" si="22"/>
        <v>0</v>
      </c>
      <c r="AG47" s="58">
        <f t="shared" si="23"/>
        <v>0</v>
      </c>
      <c r="AH47" s="58">
        <f t="shared" si="24"/>
        <v>0</v>
      </c>
      <c r="AI47" s="58">
        <f t="shared" si="25"/>
        <v>0</v>
      </c>
      <c r="AJ47" s="58">
        <f t="shared" si="26"/>
        <v>2</v>
      </c>
    </row>
    <row r="48" spans="1:36" ht="21.75" customHeight="1">
      <c r="A48" s="1">
        <f t="shared" si="5"/>
        <v>45</v>
      </c>
      <c r="B48" s="323">
        <v>1831</v>
      </c>
      <c r="C48" s="46" t="str">
        <f>VLOOKUP(B48,[1]Sheet2!$C$4:$L$9000,5,FALSE)</f>
        <v>KIM</v>
      </c>
      <c r="D48" s="46" t="str">
        <f>VLOOKUP(B48,[1]Sheet2!$C$4:$L$9000,6,FALSE)</f>
        <v>YOEUNG</v>
      </c>
      <c r="E48" s="83">
        <v>42768</v>
      </c>
      <c r="F48" s="83" t="s">
        <v>14</v>
      </c>
      <c r="G48" s="3" t="s">
        <v>9</v>
      </c>
      <c r="H48" s="47">
        <v>190</v>
      </c>
      <c r="I48" s="47">
        <v>4</v>
      </c>
      <c r="J48" s="47">
        <v>20</v>
      </c>
      <c r="K48" s="47">
        <v>0</v>
      </c>
      <c r="L48" s="47">
        <v>0</v>
      </c>
      <c r="M48" s="47">
        <v>7</v>
      </c>
      <c r="N48" s="47">
        <v>10</v>
      </c>
      <c r="O48" s="320">
        <f t="shared" si="6"/>
        <v>231</v>
      </c>
      <c r="P48" s="3"/>
      <c r="Q48" s="3"/>
      <c r="R48" s="3"/>
      <c r="S48" s="3"/>
      <c r="T48" s="3"/>
      <c r="U48" s="20">
        <f t="shared" si="7"/>
        <v>192</v>
      </c>
      <c r="V48" s="20">
        <f t="shared" si="8"/>
        <v>4</v>
      </c>
      <c r="W48" s="20">
        <f t="shared" si="0"/>
        <v>20</v>
      </c>
      <c r="X48" s="20">
        <f t="shared" si="1"/>
        <v>0</v>
      </c>
      <c r="Y48" s="20">
        <f t="shared" si="2"/>
        <v>0</v>
      </c>
      <c r="Z48" s="20">
        <f t="shared" si="3"/>
        <v>7</v>
      </c>
      <c r="AA48" s="20">
        <f t="shared" si="4"/>
        <v>10</v>
      </c>
      <c r="AB48" s="320">
        <f t="shared" si="18"/>
        <v>233</v>
      </c>
      <c r="AC48" s="58">
        <f t="shared" si="19"/>
        <v>2</v>
      </c>
      <c r="AD48" s="58">
        <f t="shared" si="20"/>
        <v>0</v>
      </c>
      <c r="AE48" s="58">
        <f t="shared" si="21"/>
        <v>0</v>
      </c>
      <c r="AF48" s="58">
        <f t="shared" si="22"/>
        <v>0</v>
      </c>
      <c r="AG48" s="58">
        <f t="shared" si="23"/>
        <v>0</v>
      </c>
      <c r="AH48" s="58">
        <f t="shared" si="24"/>
        <v>0</v>
      </c>
      <c r="AI48" s="58">
        <f t="shared" si="25"/>
        <v>0</v>
      </c>
      <c r="AJ48" s="58">
        <f t="shared" si="26"/>
        <v>2</v>
      </c>
    </row>
    <row r="49" spans="1:36" ht="21.75" customHeight="1">
      <c r="A49" s="1">
        <f t="shared" si="5"/>
        <v>46</v>
      </c>
      <c r="B49" s="325">
        <v>942</v>
      </c>
      <c r="C49" s="93" t="str">
        <f>VLOOKUP(B49,[1]Sheet2!$C$4:$L$9000,5,FALSE)</f>
        <v>NOL</v>
      </c>
      <c r="D49" s="93" t="str">
        <f>VLOOKUP(B49,[1]Sheet2!$C$4:$L$9000,6,FALSE)</f>
        <v>MEGNHOUY</v>
      </c>
      <c r="E49" s="83">
        <v>42132</v>
      </c>
      <c r="F49" s="83" t="s">
        <v>6052</v>
      </c>
      <c r="G49" s="3" t="s">
        <v>6053</v>
      </c>
      <c r="H49" s="47">
        <v>190</v>
      </c>
      <c r="I49" s="47">
        <v>6</v>
      </c>
      <c r="J49" s="47">
        <v>20</v>
      </c>
      <c r="K49" s="47">
        <v>60</v>
      </c>
      <c r="L49" s="47">
        <v>50</v>
      </c>
      <c r="M49" s="57">
        <v>7</v>
      </c>
      <c r="N49" s="57">
        <v>10</v>
      </c>
      <c r="O49" s="320">
        <f t="shared" si="6"/>
        <v>343</v>
      </c>
      <c r="P49" s="3"/>
      <c r="Q49" s="3"/>
      <c r="R49" s="3"/>
      <c r="S49" s="3"/>
      <c r="T49" s="3"/>
      <c r="U49" s="20">
        <f t="shared" si="7"/>
        <v>192</v>
      </c>
      <c r="V49" s="20">
        <f t="shared" si="8"/>
        <v>6</v>
      </c>
      <c r="W49" s="20">
        <f t="shared" si="0"/>
        <v>20</v>
      </c>
      <c r="X49" s="20">
        <f t="shared" si="1"/>
        <v>60</v>
      </c>
      <c r="Y49" s="20">
        <f t="shared" si="2"/>
        <v>50</v>
      </c>
      <c r="Z49" s="20">
        <f t="shared" si="3"/>
        <v>7</v>
      </c>
      <c r="AA49" s="20">
        <f t="shared" si="4"/>
        <v>10</v>
      </c>
      <c r="AB49" s="320">
        <f t="shared" si="18"/>
        <v>345</v>
      </c>
      <c r="AC49" s="58">
        <f t="shared" si="19"/>
        <v>2</v>
      </c>
      <c r="AD49" s="58">
        <f t="shared" si="20"/>
        <v>0</v>
      </c>
      <c r="AE49" s="58">
        <f t="shared" si="21"/>
        <v>0</v>
      </c>
      <c r="AF49" s="58">
        <f t="shared" si="22"/>
        <v>0</v>
      </c>
      <c r="AG49" s="58">
        <f t="shared" si="23"/>
        <v>0</v>
      </c>
      <c r="AH49" s="58">
        <f t="shared" si="24"/>
        <v>0</v>
      </c>
      <c r="AI49" s="58">
        <f t="shared" si="25"/>
        <v>0</v>
      </c>
      <c r="AJ49" s="58">
        <f t="shared" si="26"/>
        <v>2</v>
      </c>
    </row>
    <row r="50" spans="1:36" ht="21.75" customHeight="1">
      <c r="A50" s="1">
        <f t="shared" si="5"/>
        <v>47</v>
      </c>
      <c r="B50" s="325">
        <v>2971</v>
      </c>
      <c r="C50" s="93" t="str">
        <f>VLOOKUP(B50,[1]Sheet2!$C$4:$L$9000,5,FALSE)</f>
        <v>Long</v>
      </c>
      <c r="D50" s="93" t="str">
        <f>VLOOKUP(B50,[1]Sheet2!$C$4:$L$9000,6,FALSE)</f>
        <v>Sokun</v>
      </c>
      <c r="E50" s="83">
        <v>44013</v>
      </c>
      <c r="F50" s="83" t="s">
        <v>6052</v>
      </c>
      <c r="G50" s="4" t="s">
        <v>6054</v>
      </c>
      <c r="H50" s="47">
        <v>190</v>
      </c>
      <c r="I50" s="47">
        <v>0</v>
      </c>
      <c r="J50" s="47">
        <v>20</v>
      </c>
      <c r="K50" s="47">
        <v>30</v>
      </c>
      <c r="L50" s="47">
        <v>0</v>
      </c>
      <c r="M50" s="57">
        <v>7</v>
      </c>
      <c r="N50" s="57">
        <v>10</v>
      </c>
      <c r="O50" s="320">
        <f t="shared" si="6"/>
        <v>257</v>
      </c>
      <c r="P50" s="3"/>
      <c r="Q50" s="3"/>
      <c r="R50" s="3"/>
      <c r="S50" s="3"/>
      <c r="T50" s="3"/>
      <c r="U50" s="20">
        <f t="shared" si="7"/>
        <v>192</v>
      </c>
      <c r="V50" s="20">
        <f t="shared" si="8"/>
        <v>0</v>
      </c>
      <c r="W50" s="20">
        <f t="shared" si="0"/>
        <v>20</v>
      </c>
      <c r="X50" s="20">
        <f t="shared" si="1"/>
        <v>30</v>
      </c>
      <c r="Y50" s="20">
        <f t="shared" si="2"/>
        <v>0</v>
      </c>
      <c r="Z50" s="20">
        <f t="shared" si="3"/>
        <v>7</v>
      </c>
      <c r="AA50" s="20">
        <f t="shared" si="4"/>
        <v>10</v>
      </c>
      <c r="AB50" s="320">
        <f t="shared" si="18"/>
        <v>259</v>
      </c>
      <c r="AC50" s="58">
        <f t="shared" si="19"/>
        <v>2</v>
      </c>
      <c r="AD50" s="58">
        <f t="shared" si="20"/>
        <v>0</v>
      </c>
      <c r="AE50" s="58">
        <f t="shared" si="21"/>
        <v>0</v>
      </c>
      <c r="AF50" s="58">
        <f t="shared" si="22"/>
        <v>0</v>
      </c>
      <c r="AG50" s="58">
        <f t="shared" si="23"/>
        <v>0</v>
      </c>
      <c r="AH50" s="58">
        <f t="shared" si="24"/>
        <v>0</v>
      </c>
      <c r="AI50" s="58">
        <f t="shared" si="25"/>
        <v>0</v>
      </c>
      <c r="AJ50" s="58">
        <f t="shared" si="26"/>
        <v>2</v>
      </c>
    </row>
    <row r="51" spans="1:36" ht="21.75" customHeight="1">
      <c r="A51" s="1">
        <f t="shared" si="5"/>
        <v>48</v>
      </c>
      <c r="B51" s="326">
        <v>4092</v>
      </c>
      <c r="C51" s="93" t="str">
        <f>VLOOKUP(B51,[1]Sheet2!$C$4:$L$9000,5,FALSE)</f>
        <v>SOK</v>
      </c>
      <c r="D51" s="93" t="str">
        <f>VLOOKUP(B51,[1]Sheet2!$C$4:$L$9000,6,FALSE)</f>
        <v>SELA</v>
      </c>
      <c r="E51" s="83">
        <v>44097</v>
      </c>
      <c r="F51" s="83" t="s">
        <v>6052</v>
      </c>
      <c r="G51" s="3" t="s">
        <v>6054</v>
      </c>
      <c r="H51" s="47">
        <v>190</v>
      </c>
      <c r="I51" s="47">
        <v>0</v>
      </c>
      <c r="J51" s="47">
        <v>30</v>
      </c>
      <c r="K51" s="47">
        <v>0</v>
      </c>
      <c r="L51" s="47">
        <v>0</v>
      </c>
      <c r="M51" s="57">
        <v>7</v>
      </c>
      <c r="N51" s="57">
        <v>10</v>
      </c>
      <c r="O51" s="320">
        <f t="shared" si="6"/>
        <v>237</v>
      </c>
      <c r="P51" s="3"/>
      <c r="Q51" s="3"/>
      <c r="R51" s="3"/>
      <c r="S51" s="3"/>
      <c r="T51" s="3"/>
      <c r="U51" s="20">
        <f t="shared" si="7"/>
        <v>192</v>
      </c>
      <c r="V51" s="20">
        <f t="shared" si="8"/>
        <v>0</v>
      </c>
      <c r="W51" s="20">
        <f t="shared" si="0"/>
        <v>30</v>
      </c>
      <c r="X51" s="20">
        <f t="shared" si="1"/>
        <v>0</v>
      </c>
      <c r="Y51" s="20">
        <f t="shared" si="2"/>
        <v>0</v>
      </c>
      <c r="Z51" s="20">
        <f t="shared" si="3"/>
        <v>7</v>
      </c>
      <c r="AA51" s="20">
        <f t="shared" si="4"/>
        <v>10</v>
      </c>
      <c r="AB51" s="320">
        <f t="shared" si="18"/>
        <v>239</v>
      </c>
      <c r="AC51" s="58">
        <f t="shared" si="19"/>
        <v>2</v>
      </c>
      <c r="AD51" s="58">
        <f t="shared" si="20"/>
        <v>0</v>
      </c>
      <c r="AE51" s="58">
        <f t="shared" si="21"/>
        <v>0</v>
      </c>
      <c r="AF51" s="58">
        <f t="shared" si="22"/>
        <v>0</v>
      </c>
      <c r="AG51" s="58">
        <f t="shared" si="23"/>
        <v>0</v>
      </c>
      <c r="AH51" s="58">
        <f t="shared" si="24"/>
        <v>0</v>
      </c>
      <c r="AI51" s="58">
        <f t="shared" si="25"/>
        <v>0</v>
      </c>
      <c r="AJ51" s="58">
        <f t="shared" si="26"/>
        <v>2</v>
      </c>
    </row>
    <row r="52" spans="1:36" ht="21.75" customHeight="1">
      <c r="A52" s="1">
        <f t="shared" si="5"/>
        <v>49</v>
      </c>
      <c r="B52" s="323">
        <v>4084</v>
      </c>
      <c r="C52" s="93" t="str">
        <f>VLOOKUP(B52,[1]Sheet2!$C$4:$L$9000,5,FALSE)</f>
        <v>BIN</v>
      </c>
      <c r="D52" s="93" t="str">
        <f>VLOOKUP(B52,[1]Sheet2!$C$4:$L$9000,6,FALSE)</f>
        <v>BUNNAT</v>
      </c>
      <c r="E52" s="83">
        <v>43997</v>
      </c>
      <c r="F52" s="83" t="s">
        <v>87</v>
      </c>
      <c r="G52" s="4" t="s">
        <v>6055</v>
      </c>
      <c r="H52" s="20">
        <v>190</v>
      </c>
      <c r="I52" s="20">
        <v>0</v>
      </c>
      <c r="J52" s="20">
        <v>50</v>
      </c>
      <c r="K52" s="20">
        <v>50</v>
      </c>
      <c r="L52" s="20">
        <v>0</v>
      </c>
      <c r="M52" s="29">
        <v>7</v>
      </c>
      <c r="N52" s="29">
        <v>10</v>
      </c>
      <c r="O52" s="320">
        <f t="shared" si="6"/>
        <v>307</v>
      </c>
      <c r="P52" s="3"/>
      <c r="Q52" s="3"/>
      <c r="R52" s="3"/>
      <c r="S52" s="3"/>
      <c r="T52" s="3"/>
      <c r="U52" s="20">
        <f t="shared" si="7"/>
        <v>192</v>
      </c>
      <c r="V52" s="20">
        <f t="shared" si="8"/>
        <v>0</v>
      </c>
      <c r="W52" s="20">
        <f t="shared" si="0"/>
        <v>50</v>
      </c>
      <c r="X52" s="20">
        <f t="shared" si="1"/>
        <v>50</v>
      </c>
      <c r="Y52" s="20">
        <f t="shared" si="2"/>
        <v>0</v>
      </c>
      <c r="Z52" s="20">
        <f t="shared" si="3"/>
        <v>7</v>
      </c>
      <c r="AA52" s="20">
        <f t="shared" si="4"/>
        <v>10</v>
      </c>
      <c r="AB52" s="320">
        <f t="shared" si="18"/>
        <v>309</v>
      </c>
      <c r="AC52" s="58">
        <f t="shared" si="19"/>
        <v>2</v>
      </c>
      <c r="AD52" s="58">
        <f t="shared" si="20"/>
        <v>0</v>
      </c>
      <c r="AE52" s="58">
        <f t="shared" si="21"/>
        <v>0</v>
      </c>
      <c r="AF52" s="58">
        <f t="shared" si="22"/>
        <v>0</v>
      </c>
      <c r="AG52" s="58">
        <f t="shared" si="23"/>
        <v>0</v>
      </c>
      <c r="AH52" s="58">
        <f t="shared" si="24"/>
        <v>0</v>
      </c>
      <c r="AI52" s="58">
        <f t="shared" si="25"/>
        <v>0</v>
      </c>
      <c r="AJ52" s="58">
        <f t="shared" si="26"/>
        <v>2</v>
      </c>
    </row>
    <row r="53" spans="1:36" ht="21.75" customHeight="1">
      <c r="A53" s="1">
        <f t="shared" si="5"/>
        <v>50</v>
      </c>
      <c r="B53" s="323">
        <v>620</v>
      </c>
      <c r="C53" s="93" t="str">
        <f>VLOOKUP(B53,[1]Sheet2!$C$4:$L$9000,5,FALSE)</f>
        <v>SORM</v>
      </c>
      <c r="D53" s="93" t="str">
        <f>VLOOKUP(B53,[1]Sheet2!$C$4:$L$9000,6,FALSE)</f>
        <v>THYNACH</v>
      </c>
      <c r="E53" s="83">
        <v>41839</v>
      </c>
      <c r="F53" s="83" t="s">
        <v>6056</v>
      </c>
      <c r="G53" s="3" t="s">
        <v>6057</v>
      </c>
      <c r="H53" s="20">
        <v>190</v>
      </c>
      <c r="I53" s="20">
        <v>7</v>
      </c>
      <c r="J53" s="20">
        <v>20</v>
      </c>
      <c r="K53" s="20">
        <v>30</v>
      </c>
      <c r="L53" s="20">
        <v>0</v>
      </c>
      <c r="M53" s="20">
        <v>7</v>
      </c>
      <c r="N53" s="20">
        <v>10</v>
      </c>
      <c r="O53" s="320">
        <f t="shared" si="6"/>
        <v>264</v>
      </c>
      <c r="P53" s="3"/>
      <c r="Q53" s="3"/>
      <c r="R53" s="3"/>
      <c r="S53" s="3"/>
      <c r="T53" s="3"/>
      <c r="U53" s="20">
        <f t="shared" si="7"/>
        <v>192</v>
      </c>
      <c r="V53" s="20">
        <f t="shared" si="8"/>
        <v>7</v>
      </c>
      <c r="W53" s="20">
        <f t="shared" si="0"/>
        <v>20</v>
      </c>
      <c r="X53" s="20">
        <f t="shared" si="1"/>
        <v>30</v>
      </c>
      <c r="Y53" s="20">
        <f t="shared" si="2"/>
        <v>0</v>
      </c>
      <c r="Z53" s="20">
        <f t="shared" si="3"/>
        <v>7</v>
      </c>
      <c r="AA53" s="20">
        <f t="shared" si="4"/>
        <v>10</v>
      </c>
      <c r="AB53" s="320">
        <f t="shared" si="18"/>
        <v>266</v>
      </c>
      <c r="AC53" s="58">
        <f t="shared" si="19"/>
        <v>2</v>
      </c>
      <c r="AD53" s="58">
        <f t="shared" si="20"/>
        <v>0</v>
      </c>
      <c r="AE53" s="58">
        <f t="shared" si="21"/>
        <v>0</v>
      </c>
      <c r="AF53" s="58">
        <f t="shared" si="22"/>
        <v>0</v>
      </c>
      <c r="AG53" s="58">
        <f t="shared" si="23"/>
        <v>0</v>
      </c>
      <c r="AH53" s="58">
        <f t="shared" si="24"/>
        <v>0</v>
      </c>
      <c r="AI53" s="58">
        <f t="shared" si="25"/>
        <v>0</v>
      </c>
      <c r="AJ53" s="58">
        <f t="shared" si="26"/>
        <v>2</v>
      </c>
    </row>
    <row r="54" spans="1:36" ht="21.75" customHeight="1">
      <c r="A54" s="1">
        <f t="shared" si="5"/>
        <v>51</v>
      </c>
      <c r="B54" s="323">
        <v>404</v>
      </c>
      <c r="C54" s="93" t="str">
        <f>VLOOKUP(B54,[1]Sheet2!$C$4:$L$9000,5,FALSE)</f>
        <v>KONG</v>
      </c>
      <c r="D54" s="93" t="str">
        <f>VLOOKUP(B54,[1]Sheet2!$C$4:$L$9000,6,FALSE)</f>
        <v>SROS</v>
      </c>
      <c r="E54" s="83">
        <v>41793</v>
      </c>
      <c r="F54" s="83" t="s">
        <v>6056</v>
      </c>
      <c r="G54" s="4" t="s">
        <v>6058</v>
      </c>
      <c r="H54" s="20">
        <v>190</v>
      </c>
      <c r="I54" s="20">
        <v>7</v>
      </c>
      <c r="J54" s="20">
        <v>20</v>
      </c>
      <c r="K54" s="20">
        <v>10</v>
      </c>
      <c r="L54" s="20">
        <v>0</v>
      </c>
      <c r="M54" s="20">
        <v>7</v>
      </c>
      <c r="N54" s="20">
        <v>10</v>
      </c>
      <c r="O54" s="320">
        <f t="shared" si="6"/>
        <v>244</v>
      </c>
      <c r="P54" s="3"/>
      <c r="Q54" s="3"/>
      <c r="R54" s="3"/>
      <c r="S54" s="3"/>
      <c r="T54" s="3"/>
      <c r="U54" s="20">
        <f t="shared" si="7"/>
        <v>192</v>
      </c>
      <c r="V54" s="20">
        <f t="shared" si="8"/>
        <v>7</v>
      </c>
      <c r="W54" s="20">
        <f t="shared" si="0"/>
        <v>20</v>
      </c>
      <c r="X54" s="20">
        <f t="shared" si="1"/>
        <v>10</v>
      </c>
      <c r="Y54" s="20">
        <f t="shared" si="2"/>
        <v>0</v>
      </c>
      <c r="Z54" s="20">
        <f t="shared" si="3"/>
        <v>7</v>
      </c>
      <c r="AA54" s="20">
        <f t="shared" si="4"/>
        <v>10</v>
      </c>
      <c r="AB54" s="320">
        <f t="shared" si="18"/>
        <v>246</v>
      </c>
      <c r="AC54" s="58">
        <f t="shared" si="19"/>
        <v>2</v>
      </c>
      <c r="AD54" s="58">
        <f t="shared" si="20"/>
        <v>0</v>
      </c>
      <c r="AE54" s="58">
        <f t="shared" si="21"/>
        <v>0</v>
      </c>
      <c r="AF54" s="58">
        <f t="shared" si="22"/>
        <v>0</v>
      </c>
      <c r="AG54" s="58">
        <f t="shared" si="23"/>
        <v>0</v>
      </c>
      <c r="AH54" s="58">
        <f t="shared" si="24"/>
        <v>0</v>
      </c>
      <c r="AI54" s="58">
        <f t="shared" si="25"/>
        <v>0</v>
      </c>
      <c r="AJ54" s="58">
        <f t="shared" si="26"/>
        <v>2</v>
      </c>
    </row>
    <row r="55" spans="1:36" ht="21.75" customHeight="1">
      <c r="A55" s="1">
        <f t="shared" si="5"/>
        <v>52</v>
      </c>
      <c r="B55" s="323">
        <v>385</v>
      </c>
      <c r="C55" s="93" t="str">
        <f>VLOOKUP(B55,[1]Sheet2!$C$4:$L$9000,5,FALSE)</f>
        <v>DANG</v>
      </c>
      <c r="D55" s="93" t="str">
        <f>VLOOKUP(B55,[1]Sheet2!$C$4:$L$9000,6,FALSE)</f>
        <v>TANG</v>
      </c>
      <c r="E55" s="83">
        <v>41782</v>
      </c>
      <c r="F55" s="83" t="s">
        <v>6056</v>
      </c>
      <c r="G55" s="3" t="s">
        <v>6059</v>
      </c>
      <c r="H55" s="20">
        <v>190</v>
      </c>
      <c r="I55" s="20">
        <v>7</v>
      </c>
      <c r="J55" s="20">
        <v>20</v>
      </c>
      <c r="K55" s="20">
        <v>30</v>
      </c>
      <c r="L55" s="20">
        <v>0</v>
      </c>
      <c r="M55" s="20">
        <v>7</v>
      </c>
      <c r="N55" s="20">
        <v>10</v>
      </c>
      <c r="O55" s="320">
        <f t="shared" si="6"/>
        <v>264</v>
      </c>
      <c r="P55" s="3"/>
      <c r="Q55" s="3"/>
      <c r="R55" s="3"/>
      <c r="S55" s="3"/>
      <c r="T55" s="3"/>
      <c r="U55" s="20">
        <f t="shared" si="7"/>
        <v>192</v>
      </c>
      <c r="V55" s="20">
        <f t="shared" si="8"/>
        <v>7</v>
      </c>
      <c r="W55" s="20">
        <f t="shared" si="0"/>
        <v>20</v>
      </c>
      <c r="X55" s="20">
        <f t="shared" si="1"/>
        <v>30</v>
      </c>
      <c r="Y55" s="20">
        <f t="shared" si="2"/>
        <v>0</v>
      </c>
      <c r="Z55" s="20">
        <f t="shared" si="3"/>
        <v>7</v>
      </c>
      <c r="AA55" s="20">
        <f t="shared" si="4"/>
        <v>10</v>
      </c>
      <c r="AB55" s="320">
        <f t="shared" si="18"/>
        <v>266</v>
      </c>
      <c r="AC55" s="58">
        <f t="shared" si="19"/>
        <v>2</v>
      </c>
      <c r="AD55" s="58">
        <f t="shared" si="20"/>
        <v>0</v>
      </c>
      <c r="AE55" s="58">
        <f t="shared" si="21"/>
        <v>0</v>
      </c>
      <c r="AF55" s="58">
        <f t="shared" si="22"/>
        <v>0</v>
      </c>
      <c r="AG55" s="58">
        <f t="shared" si="23"/>
        <v>0</v>
      </c>
      <c r="AH55" s="58">
        <f t="shared" si="24"/>
        <v>0</v>
      </c>
      <c r="AI55" s="58">
        <f t="shared" si="25"/>
        <v>0</v>
      </c>
      <c r="AJ55" s="58">
        <f t="shared" si="26"/>
        <v>2</v>
      </c>
    </row>
    <row r="56" spans="1:36" ht="21.75" customHeight="1">
      <c r="A56" s="1">
        <f t="shared" si="5"/>
        <v>53</v>
      </c>
      <c r="B56" s="323">
        <v>39</v>
      </c>
      <c r="C56" s="93" t="str">
        <f>VLOOKUP(B56,[1]Sheet2!$C$4:$L$9000,5,FALSE)</f>
        <v>Oem</v>
      </c>
      <c r="D56" s="93" t="str">
        <f>VLOOKUP(B56,[1]Sheet2!$C$4:$L$9000,6,FALSE)</f>
        <v>Srey Leak</v>
      </c>
      <c r="E56" s="83">
        <v>41579</v>
      </c>
      <c r="F56" s="83" t="s">
        <v>6060</v>
      </c>
      <c r="G56" s="3" t="s">
        <v>6061</v>
      </c>
      <c r="H56" s="20">
        <v>190</v>
      </c>
      <c r="I56" s="20">
        <v>7</v>
      </c>
      <c r="J56" s="20">
        <v>20</v>
      </c>
      <c r="K56" s="20">
        <v>234</v>
      </c>
      <c r="L56" s="20">
        <v>234</v>
      </c>
      <c r="M56" s="20">
        <v>7</v>
      </c>
      <c r="N56" s="20">
        <v>10</v>
      </c>
      <c r="O56" s="320">
        <f t="shared" si="6"/>
        <v>702</v>
      </c>
      <c r="P56" s="3"/>
      <c r="Q56" s="3"/>
      <c r="R56" s="3"/>
      <c r="S56" s="3"/>
      <c r="T56" s="3"/>
      <c r="U56" s="20">
        <f t="shared" si="7"/>
        <v>192</v>
      </c>
      <c r="V56" s="20">
        <f t="shared" si="8"/>
        <v>7</v>
      </c>
      <c r="W56" s="20">
        <f t="shared" si="0"/>
        <v>20</v>
      </c>
      <c r="X56" s="20">
        <f t="shared" si="1"/>
        <v>234</v>
      </c>
      <c r="Y56" s="20">
        <f t="shared" si="2"/>
        <v>234</v>
      </c>
      <c r="Z56" s="20">
        <f t="shared" si="3"/>
        <v>7</v>
      </c>
      <c r="AA56" s="20">
        <f t="shared" si="4"/>
        <v>10</v>
      </c>
      <c r="AB56" s="320">
        <f t="shared" si="18"/>
        <v>704</v>
      </c>
      <c r="AC56" s="58">
        <f t="shared" si="19"/>
        <v>2</v>
      </c>
      <c r="AD56" s="58">
        <f t="shared" si="20"/>
        <v>0</v>
      </c>
      <c r="AE56" s="58">
        <f t="shared" si="21"/>
        <v>0</v>
      </c>
      <c r="AF56" s="58">
        <f t="shared" si="22"/>
        <v>0</v>
      </c>
      <c r="AG56" s="58">
        <f t="shared" si="23"/>
        <v>0</v>
      </c>
      <c r="AH56" s="58">
        <f t="shared" si="24"/>
        <v>0</v>
      </c>
      <c r="AI56" s="58">
        <f t="shared" si="25"/>
        <v>0</v>
      </c>
      <c r="AJ56" s="58">
        <f t="shared" si="26"/>
        <v>2</v>
      </c>
    </row>
    <row r="57" spans="1:36" ht="21.75" customHeight="1">
      <c r="A57" s="1">
        <f t="shared" si="5"/>
        <v>54</v>
      </c>
      <c r="B57" s="323">
        <v>546</v>
      </c>
      <c r="C57" s="93" t="str">
        <f>VLOOKUP(B57,[1]Sheet2!$C$4:$L$9000,5,FALSE)</f>
        <v>SORM</v>
      </c>
      <c r="D57" s="93" t="str">
        <f>VLOOKUP(B57,[1]Sheet2!$C$4:$L$9000,6,FALSE)</f>
        <v>THINEA</v>
      </c>
      <c r="E57" s="83">
        <v>41828</v>
      </c>
      <c r="F57" s="83" t="s">
        <v>6060</v>
      </c>
      <c r="G57" s="3" t="s">
        <v>6062</v>
      </c>
      <c r="H57" s="20">
        <v>190</v>
      </c>
      <c r="I57" s="20">
        <v>7</v>
      </c>
      <c r="J57" s="20">
        <v>20</v>
      </c>
      <c r="K57" s="20">
        <v>40</v>
      </c>
      <c r="L57" s="20">
        <v>0</v>
      </c>
      <c r="M57" s="20">
        <v>7</v>
      </c>
      <c r="N57" s="20">
        <v>10</v>
      </c>
      <c r="O57" s="320">
        <f t="shared" si="6"/>
        <v>274</v>
      </c>
      <c r="P57" s="3"/>
      <c r="Q57" s="3"/>
      <c r="R57" s="3"/>
      <c r="S57" s="3"/>
      <c r="T57" s="3"/>
      <c r="U57" s="20">
        <f t="shared" si="7"/>
        <v>192</v>
      </c>
      <c r="V57" s="20">
        <f t="shared" si="8"/>
        <v>7</v>
      </c>
      <c r="W57" s="20">
        <f t="shared" si="0"/>
        <v>20</v>
      </c>
      <c r="X57" s="20">
        <f t="shared" si="1"/>
        <v>40</v>
      </c>
      <c r="Y57" s="20">
        <f t="shared" si="2"/>
        <v>0</v>
      </c>
      <c r="Z57" s="20">
        <f t="shared" si="3"/>
        <v>7</v>
      </c>
      <c r="AA57" s="20">
        <f t="shared" si="4"/>
        <v>10</v>
      </c>
      <c r="AB57" s="320">
        <f t="shared" si="18"/>
        <v>276</v>
      </c>
      <c r="AC57" s="58">
        <f t="shared" si="19"/>
        <v>2</v>
      </c>
      <c r="AD57" s="58">
        <f t="shared" si="20"/>
        <v>0</v>
      </c>
      <c r="AE57" s="58">
        <f t="shared" si="21"/>
        <v>0</v>
      </c>
      <c r="AF57" s="58">
        <f t="shared" si="22"/>
        <v>0</v>
      </c>
      <c r="AG57" s="58">
        <f t="shared" si="23"/>
        <v>0</v>
      </c>
      <c r="AH57" s="58">
        <f t="shared" si="24"/>
        <v>0</v>
      </c>
      <c r="AI57" s="58">
        <f t="shared" si="25"/>
        <v>0</v>
      </c>
      <c r="AJ57" s="58">
        <f t="shared" si="26"/>
        <v>2</v>
      </c>
    </row>
    <row r="58" spans="1:36" ht="21.75" customHeight="1">
      <c r="A58" s="1">
        <f t="shared" si="5"/>
        <v>55</v>
      </c>
      <c r="B58" s="323">
        <v>1653</v>
      </c>
      <c r="C58" s="93" t="str">
        <f>VLOOKUP(B58,[1]Sheet2!$C$4:$L$9000,5,FALSE)</f>
        <v>KRY</v>
      </c>
      <c r="D58" s="93" t="str">
        <f>VLOOKUP(B58,[1]Sheet2!$C$4:$L$9000,6,FALSE)</f>
        <v>NAI VY</v>
      </c>
      <c r="E58" s="83">
        <v>42656</v>
      </c>
      <c r="F58" s="83" t="s">
        <v>6060</v>
      </c>
      <c r="G58" s="3" t="s">
        <v>6062</v>
      </c>
      <c r="H58" s="20">
        <v>190</v>
      </c>
      <c r="I58" s="20">
        <v>4</v>
      </c>
      <c r="J58" s="20">
        <v>20</v>
      </c>
      <c r="K58" s="20">
        <v>20</v>
      </c>
      <c r="L58" s="20">
        <v>0</v>
      </c>
      <c r="M58" s="20">
        <v>7</v>
      </c>
      <c r="N58" s="20">
        <v>10</v>
      </c>
      <c r="O58" s="320">
        <f t="shared" si="6"/>
        <v>251</v>
      </c>
      <c r="P58" s="3"/>
      <c r="Q58" s="3"/>
      <c r="R58" s="3"/>
      <c r="S58" s="3"/>
      <c r="T58" s="3"/>
      <c r="U58" s="20">
        <f t="shared" si="7"/>
        <v>192</v>
      </c>
      <c r="V58" s="20">
        <f t="shared" si="8"/>
        <v>4</v>
      </c>
      <c r="W58" s="20">
        <f t="shared" si="0"/>
        <v>20</v>
      </c>
      <c r="X58" s="20">
        <f t="shared" si="1"/>
        <v>20</v>
      </c>
      <c r="Y58" s="20">
        <f t="shared" si="2"/>
        <v>0</v>
      </c>
      <c r="Z58" s="20">
        <f t="shared" si="3"/>
        <v>7</v>
      </c>
      <c r="AA58" s="20">
        <f t="shared" si="4"/>
        <v>10</v>
      </c>
      <c r="AB58" s="320">
        <f t="shared" si="18"/>
        <v>253</v>
      </c>
      <c r="AC58" s="58">
        <f t="shared" si="10"/>
        <v>2</v>
      </c>
      <c r="AD58" s="58">
        <f t="shared" si="11"/>
        <v>0</v>
      </c>
      <c r="AE58" s="58">
        <f t="shared" si="12"/>
        <v>0</v>
      </c>
      <c r="AF58" s="58">
        <f t="shared" si="13"/>
        <v>0</v>
      </c>
      <c r="AG58" s="58">
        <f t="shared" si="14"/>
        <v>0</v>
      </c>
      <c r="AH58" s="58">
        <f t="shared" si="15"/>
        <v>0</v>
      </c>
      <c r="AI58" s="58">
        <f t="shared" si="16"/>
        <v>0</v>
      </c>
      <c r="AJ58" s="58">
        <f t="shared" si="17"/>
        <v>2</v>
      </c>
    </row>
    <row r="59" spans="1:36" ht="21.75" customHeight="1">
      <c r="A59" s="1">
        <f t="shared" si="5"/>
        <v>56</v>
      </c>
      <c r="B59" s="323">
        <v>1793</v>
      </c>
      <c r="C59" s="93" t="str">
        <f>VLOOKUP(B59,[1]Sheet2!$C$4:$L$9000,5,FALSE)</f>
        <v>ING</v>
      </c>
      <c r="D59" s="93" t="str">
        <f>VLOOKUP(B59,[1]Sheet2!$C$4:$L$9000,6,FALSE)</f>
        <v>NET</v>
      </c>
      <c r="E59" s="83">
        <v>42744</v>
      </c>
      <c r="F59" s="83" t="s">
        <v>6060</v>
      </c>
      <c r="G59" s="4" t="s">
        <v>6062</v>
      </c>
      <c r="H59" s="20">
        <v>190</v>
      </c>
      <c r="I59" s="20">
        <v>4</v>
      </c>
      <c r="J59" s="20">
        <v>20</v>
      </c>
      <c r="K59" s="20">
        <v>20</v>
      </c>
      <c r="L59" s="20">
        <v>0</v>
      </c>
      <c r="M59" s="20">
        <v>7</v>
      </c>
      <c r="N59" s="20">
        <v>10</v>
      </c>
      <c r="O59" s="320">
        <f t="shared" si="6"/>
        <v>251</v>
      </c>
      <c r="P59" s="3"/>
      <c r="Q59" s="3"/>
      <c r="R59" s="3"/>
      <c r="S59" s="3"/>
      <c r="T59" s="3"/>
      <c r="U59" s="20">
        <f t="shared" si="7"/>
        <v>192</v>
      </c>
      <c r="V59" s="20">
        <f t="shared" si="8"/>
        <v>4</v>
      </c>
      <c r="W59" s="20">
        <f t="shared" si="0"/>
        <v>20</v>
      </c>
      <c r="X59" s="20">
        <f t="shared" si="1"/>
        <v>20</v>
      </c>
      <c r="Y59" s="20">
        <f t="shared" si="2"/>
        <v>0</v>
      </c>
      <c r="Z59" s="20">
        <f t="shared" si="3"/>
        <v>7</v>
      </c>
      <c r="AA59" s="20">
        <f t="shared" si="4"/>
        <v>10</v>
      </c>
      <c r="AB59" s="320">
        <f t="shared" si="18"/>
        <v>253</v>
      </c>
      <c r="AC59" s="58">
        <f t="shared" si="10"/>
        <v>2</v>
      </c>
      <c r="AD59" s="58">
        <f t="shared" si="11"/>
        <v>0</v>
      </c>
      <c r="AE59" s="58">
        <f t="shared" si="12"/>
        <v>0</v>
      </c>
      <c r="AF59" s="58">
        <f t="shared" si="13"/>
        <v>0</v>
      </c>
      <c r="AG59" s="58">
        <f t="shared" si="14"/>
        <v>0</v>
      </c>
      <c r="AH59" s="58">
        <f t="shared" si="15"/>
        <v>0</v>
      </c>
      <c r="AI59" s="58">
        <f t="shared" si="16"/>
        <v>0</v>
      </c>
      <c r="AJ59" s="58">
        <f t="shared" si="17"/>
        <v>2</v>
      </c>
    </row>
    <row r="60" spans="1:36" ht="21.75" customHeight="1">
      <c r="A60" s="1">
        <f>1+A59</f>
        <v>57</v>
      </c>
      <c r="B60" s="323">
        <v>1497</v>
      </c>
      <c r="C60" s="93" t="str">
        <f>VLOOKUP(B60,[1]Sheet2!$C$4:$L$9000,5,FALSE)</f>
        <v>KONG</v>
      </c>
      <c r="D60" s="93" t="str">
        <f>VLOOKUP(B60,[1]Sheet2!$C$4:$L$9000,6,FALSE)</f>
        <v>KEA</v>
      </c>
      <c r="E60" s="83">
        <v>42445</v>
      </c>
      <c r="F60" s="83" t="s">
        <v>6060</v>
      </c>
      <c r="G60" s="3" t="s">
        <v>6062</v>
      </c>
      <c r="H60" s="20">
        <v>190</v>
      </c>
      <c r="I60" s="20">
        <v>5</v>
      </c>
      <c r="J60" s="20">
        <v>20</v>
      </c>
      <c r="K60" s="20">
        <v>20</v>
      </c>
      <c r="L60" s="20">
        <v>0</v>
      </c>
      <c r="M60" s="20">
        <v>7</v>
      </c>
      <c r="N60" s="20">
        <v>10</v>
      </c>
      <c r="O60" s="320">
        <f t="shared" si="6"/>
        <v>252</v>
      </c>
      <c r="P60" s="3"/>
      <c r="Q60" s="3"/>
      <c r="R60" s="3"/>
      <c r="S60" s="3"/>
      <c r="T60" s="3"/>
      <c r="U60" s="20">
        <f t="shared" si="7"/>
        <v>192</v>
      </c>
      <c r="V60" s="20">
        <f t="shared" si="8"/>
        <v>5</v>
      </c>
      <c r="W60" s="20">
        <f t="shared" si="0"/>
        <v>20</v>
      </c>
      <c r="X60" s="20">
        <f t="shared" si="1"/>
        <v>20</v>
      </c>
      <c r="Y60" s="20">
        <f t="shared" si="2"/>
        <v>0</v>
      </c>
      <c r="Z60" s="20">
        <f t="shared" si="3"/>
        <v>7</v>
      </c>
      <c r="AA60" s="20">
        <f t="shared" si="4"/>
        <v>10</v>
      </c>
      <c r="AB60" s="320">
        <f t="shared" si="18"/>
        <v>254</v>
      </c>
      <c r="AC60" s="58">
        <f t="shared" si="10"/>
        <v>2</v>
      </c>
      <c r="AD60" s="58">
        <f t="shared" si="11"/>
        <v>0</v>
      </c>
      <c r="AE60" s="58">
        <f t="shared" si="12"/>
        <v>0</v>
      </c>
      <c r="AF60" s="58">
        <f t="shared" si="13"/>
        <v>0</v>
      </c>
      <c r="AG60" s="58">
        <f t="shared" si="14"/>
        <v>0</v>
      </c>
      <c r="AH60" s="58">
        <f t="shared" si="15"/>
        <v>0</v>
      </c>
      <c r="AI60" s="58">
        <f t="shared" si="16"/>
        <v>0</v>
      </c>
      <c r="AJ60" s="58">
        <f t="shared" si="17"/>
        <v>2</v>
      </c>
    </row>
    <row r="61" spans="1:36" ht="21.75" customHeight="1">
      <c r="A61" s="1">
        <f t="shared" si="5"/>
        <v>58</v>
      </c>
      <c r="B61" s="328">
        <v>1747</v>
      </c>
      <c r="C61" s="93" t="str">
        <f>VLOOKUP(B61,[1]Sheet2!$C$4:$L$9000,5,FALSE)</f>
        <v>OUNG</v>
      </c>
      <c r="D61" s="93" t="str">
        <f>VLOOKUP(B61,[1]Sheet2!$C$4:$L$9000,6,FALSE)</f>
        <v>SARA</v>
      </c>
      <c r="E61" s="37">
        <v>42685</v>
      </c>
      <c r="F61" s="37" t="s">
        <v>6060</v>
      </c>
      <c r="G61" s="3" t="s">
        <v>6063</v>
      </c>
      <c r="H61" s="20">
        <v>190</v>
      </c>
      <c r="I61" s="20">
        <v>4</v>
      </c>
      <c r="J61" s="20">
        <v>20</v>
      </c>
      <c r="K61" s="20">
        <v>20</v>
      </c>
      <c r="L61" s="20">
        <v>0</v>
      </c>
      <c r="M61" s="20">
        <v>7</v>
      </c>
      <c r="N61" s="20">
        <v>10</v>
      </c>
      <c r="O61" s="320">
        <f t="shared" si="6"/>
        <v>251</v>
      </c>
      <c r="P61" s="3"/>
      <c r="Q61" s="3"/>
      <c r="R61" s="3"/>
      <c r="S61" s="3"/>
      <c r="T61" s="3"/>
      <c r="U61" s="20">
        <f t="shared" si="7"/>
        <v>192</v>
      </c>
      <c r="V61" s="20">
        <f t="shared" si="8"/>
        <v>4</v>
      </c>
      <c r="W61" s="20">
        <f t="shared" si="0"/>
        <v>20</v>
      </c>
      <c r="X61" s="20">
        <f t="shared" si="1"/>
        <v>20</v>
      </c>
      <c r="Y61" s="20">
        <f t="shared" si="2"/>
        <v>0</v>
      </c>
      <c r="Z61" s="20">
        <f t="shared" si="3"/>
        <v>7</v>
      </c>
      <c r="AA61" s="20">
        <f t="shared" si="4"/>
        <v>10</v>
      </c>
      <c r="AB61" s="320">
        <f t="shared" si="18"/>
        <v>253</v>
      </c>
      <c r="AC61" s="58">
        <f t="shared" si="10"/>
        <v>2</v>
      </c>
      <c r="AD61" s="58">
        <f t="shared" si="11"/>
        <v>0</v>
      </c>
      <c r="AE61" s="58">
        <f t="shared" si="12"/>
        <v>0</v>
      </c>
      <c r="AF61" s="58">
        <f t="shared" si="13"/>
        <v>0</v>
      </c>
      <c r="AG61" s="58">
        <f t="shared" si="14"/>
        <v>0</v>
      </c>
      <c r="AH61" s="58">
        <f t="shared" si="15"/>
        <v>0</v>
      </c>
      <c r="AI61" s="58">
        <f t="shared" si="16"/>
        <v>0</v>
      </c>
      <c r="AJ61" s="58">
        <f>AB61-O61</f>
        <v>2</v>
      </c>
    </row>
    <row r="63" spans="1:36">
      <c r="O63" s="58">
        <f>SUM(O4:O62)</f>
        <v>16176</v>
      </c>
      <c r="AB63" s="58">
        <f>SUM(AB4:AB62)</f>
        <v>16292</v>
      </c>
      <c r="AC63" s="58">
        <f>SUM(AC4:AC62)</f>
        <v>116</v>
      </c>
      <c r="AD63" s="58"/>
      <c r="AE63" s="58"/>
      <c r="AF63" s="58"/>
      <c r="AG63" s="58"/>
      <c r="AH63" s="58"/>
      <c r="AI63" s="58"/>
      <c r="AJ63" s="58">
        <f>SUM(AJ4:AJ62)</f>
        <v>116</v>
      </c>
    </row>
  </sheetData>
  <mergeCells count="4">
    <mergeCell ref="H1:O1"/>
    <mergeCell ref="U1:AB1"/>
    <mergeCell ref="C2:D2"/>
    <mergeCell ref="C3:D3"/>
  </mergeCells>
  <phoneticPr fontId="11" type="noConversion"/>
  <conditionalFormatting sqref="B62:C1048576 B1:C1">
    <cfRule type="duplicateValues" dxfId="787" priority="448"/>
  </conditionalFormatting>
  <conditionalFormatting sqref="B62:C1048576">
    <cfRule type="duplicateValues" dxfId="786" priority="449"/>
  </conditionalFormatting>
  <conditionalFormatting sqref="B3">
    <cfRule type="duplicateValues" dxfId="785" priority="347"/>
  </conditionalFormatting>
  <conditionalFormatting sqref="B3">
    <cfRule type="duplicateValues" dxfId="784" priority="346"/>
  </conditionalFormatting>
  <conditionalFormatting sqref="B3">
    <cfRule type="duplicateValues" dxfId="783" priority="345"/>
  </conditionalFormatting>
  <conditionalFormatting sqref="B3">
    <cfRule type="duplicateValues" dxfId="782" priority="343"/>
    <cfRule type="duplicateValues" dxfId="781" priority="344"/>
  </conditionalFormatting>
  <conditionalFormatting sqref="B3">
    <cfRule type="duplicateValues" dxfId="780" priority="342"/>
  </conditionalFormatting>
  <conditionalFormatting sqref="B3">
    <cfRule type="duplicateValues" dxfId="779" priority="338"/>
    <cfRule type="duplicateValues" dxfId="778" priority="339"/>
    <cfRule type="duplicateValues" dxfId="777" priority="340"/>
    <cfRule type="duplicateValues" dxfId="776" priority="341"/>
  </conditionalFormatting>
  <conditionalFormatting sqref="B3">
    <cfRule type="duplicateValues" dxfId="775" priority="337"/>
  </conditionalFormatting>
  <conditionalFormatting sqref="B3">
    <cfRule type="duplicateValues" dxfId="774" priority="332"/>
    <cfRule type="duplicateValues" dxfId="773" priority="333"/>
    <cfRule type="duplicateValues" dxfId="772" priority="334"/>
    <cfRule type="duplicateValues" dxfId="771" priority="335"/>
    <cfRule type="duplicateValues" dxfId="770" priority="336"/>
  </conditionalFormatting>
  <conditionalFormatting sqref="B3">
    <cfRule type="duplicateValues" dxfId="769" priority="331"/>
  </conditionalFormatting>
  <conditionalFormatting sqref="B3">
    <cfRule type="duplicateValues" dxfId="768" priority="330"/>
  </conditionalFormatting>
  <conditionalFormatting sqref="B3">
    <cfRule type="duplicateValues" dxfId="767" priority="328"/>
    <cfRule type="duplicateValues" dxfId="766" priority="329"/>
  </conditionalFormatting>
  <conditionalFormatting sqref="B3">
    <cfRule type="duplicateValues" dxfId="765" priority="323"/>
    <cfRule type="duplicateValues" dxfId="764" priority="324"/>
    <cfRule type="duplicateValues" dxfId="763" priority="325"/>
    <cfRule type="duplicateValues" dxfId="762" priority="326"/>
    <cfRule type="duplicateValues" dxfId="761" priority="327"/>
  </conditionalFormatting>
  <conditionalFormatting sqref="B3">
    <cfRule type="duplicateValues" dxfId="760" priority="322"/>
  </conditionalFormatting>
  <conditionalFormatting sqref="B3">
    <cfRule type="duplicateValues" dxfId="759" priority="321"/>
  </conditionalFormatting>
  <conditionalFormatting sqref="B3">
    <cfRule type="duplicateValues" dxfId="758" priority="319"/>
    <cfRule type="duplicateValues" dxfId="757" priority="320"/>
  </conditionalFormatting>
  <conditionalFormatting sqref="B3">
    <cfRule type="duplicateValues" dxfId="756" priority="315"/>
    <cfRule type="duplicateValues" dxfId="755" priority="316"/>
    <cfRule type="duplicateValues" dxfId="754" priority="317"/>
    <cfRule type="duplicateValues" dxfId="753" priority="318"/>
  </conditionalFormatting>
  <conditionalFormatting sqref="B3">
    <cfRule type="duplicateValues" dxfId="752" priority="314"/>
  </conditionalFormatting>
  <conditionalFormatting sqref="B3">
    <cfRule type="duplicateValues" dxfId="751" priority="309"/>
    <cfRule type="duplicateValues" dxfId="750" priority="310"/>
    <cfRule type="duplicateValues" dxfId="749" priority="311"/>
    <cfRule type="duplicateValues" dxfId="748" priority="312"/>
    <cfRule type="duplicateValues" dxfId="747" priority="313"/>
  </conditionalFormatting>
  <conditionalFormatting sqref="B3">
    <cfRule type="duplicateValues" dxfId="746" priority="308"/>
  </conditionalFormatting>
  <conditionalFormatting sqref="B3">
    <cfRule type="duplicateValues" dxfId="745" priority="307"/>
  </conditionalFormatting>
  <conditionalFormatting sqref="B3">
    <cfRule type="duplicateValues" dxfId="744" priority="306"/>
  </conditionalFormatting>
  <conditionalFormatting sqref="B3">
    <cfRule type="duplicateValues" dxfId="743" priority="304"/>
    <cfRule type="duplicateValues" dxfId="742" priority="305"/>
  </conditionalFormatting>
  <conditionalFormatting sqref="B3">
    <cfRule type="duplicateValues" dxfId="741" priority="303"/>
  </conditionalFormatting>
  <conditionalFormatting sqref="C3">
    <cfRule type="duplicateValues" dxfId="740" priority="302"/>
  </conditionalFormatting>
  <conditionalFormatting sqref="C3">
    <cfRule type="duplicateValues" dxfId="739" priority="301"/>
  </conditionalFormatting>
  <conditionalFormatting sqref="C3">
    <cfRule type="duplicateValues" dxfId="738" priority="300"/>
  </conditionalFormatting>
  <conditionalFormatting sqref="C3">
    <cfRule type="duplicateValues" dxfId="737" priority="298"/>
    <cfRule type="duplicateValues" dxfId="736" priority="299"/>
  </conditionalFormatting>
  <conditionalFormatting sqref="C3">
    <cfRule type="duplicateValues" dxfId="735" priority="297"/>
  </conditionalFormatting>
  <conditionalFormatting sqref="C3">
    <cfRule type="duplicateValues" dxfId="734" priority="293"/>
    <cfRule type="duplicateValues" dxfId="733" priority="294"/>
    <cfRule type="duplicateValues" dxfId="732" priority="295"/>
    <cfRule type="duplicateValues" dxfId="731" priority="296"/>
  </conditionalFormatting>
  <conditionalFormatting sqref="C3">
    <cfRule type="duplicateValues" dxfId="730" priority="292"/>
  </conditionalFormatting>
  <conditionalFormatting sqref="C3">
    <cfRule type="duplicateValues" dxfId="729" priority="287"/>
    <cfRule type="duplicateValues" dxfId="728" priority="288"/>
    <cfRule type="duplicateValues" dxfId="727" priority="289"/>
    <cfRule type="duplicateValues" dxfId="726" priority="290"/>
    <cfRule type="duplicateValues" dxfId="725" priority="291"/>
  </conditionalFormatting>
  <conditionalFormatting sqref="C3">
    <cfRule type="duplicateValues" dxfId="724" priority="286"/>
  </conditionalFormatting>
  <conditionalFormatting sqref="C3">
    <cfRule type="duplicateValues" dxfId="723" priority="285"/>
  </conditionalFormatting>
  <conditionalFormatting sqref="C3">
    <cfRule type="duplicateValues" dxfId="722" priority="283"/>
    <cfRule type="duplicateValues" dxfId="721" priority="284"/>
  </conditionalFormatting>
  <conditionalFormatting sqref="C3">
    <cfRule type="duplicateValues" dxfId="720" priority="278"/>
    <cfRule type="duplicateValues" dxfId="719" priority="279"/>
    <cfRule type="duplicateValues" dxfId="718" priority="280"/>
    <cfRule type="duplicateValues" dxfId="717" priority="281"/>
    <cfRule type="duplicateValues" dxfId="716" priority="282"/>
  </conditionalFormatting>
  <conditionalFormatting sqref="C3">
    <cfRule type="duplicateValues" dxfId="715" priority="277"/>
  </conditionalFormatting>
  <conditionalFormatting sqref="C3">
    <cfRule type="duplicateValues" dxfId="714" priority="276"/>
  </conditionalFormatting>
  <conditionalFormatting sqref="C3">
    <cfRule type="duplicateValues" dxfId="713" priority="274"/>
    <cfRule type="duplicateValues" dxfId="712" priority="275"/>
  </conditionalFormatting>
  <conditionalFormatting sqref="C3">
    <cfRule type="duplicateValues" dxfId="711" priority="270"/>
    <cfRule type="duplicateValues" dxfId="710" priority="271"/>
    <cfRule type="duplicateValues" dxfId="709" priority="272"/>
    <cfRule type="duplicateValues" dxfId="708" priority="273"/>
  </conditionalFormatting>
  <conditionalFormatting sqref="C3">
    <cfRule type="duplicateValues" dxfId="707" priority="269"/>
  </conditionalFormatting>
  <conditionalFormatting sqref="C3">
    <cfRule type="duplicateValues" dxfId="706" priority="264"/>
    <cfRule type="duplicateValues" dxfId="705" priority="265"/>
    <cfRule type="duplicateValues" dxfId="704" priority="266"/>
    <cfRule type="duplicateValues" dxfId="703" priority="267"/>
    <cfRule type="duplicateValues" dxfId="702" priority="268"/>
  </conditionalFormatting>
  <conditionalFormatting sqref="C3">
    <cfRule type="duplicateValues" dxfId="701" priority="263"/>
  </conditionalFormatting>
  <conditionalFormatting sqref="C3">
    <cfRule type="duplicateValues" dxfId="700" priority="262"/>
  </conditionalFormatting>
  <conditionalFormatting sqref="C3">
    <cfRule type="duplicateValues" dxfId="699" priority="261"/>
  </conditionalFormatting>
  <conditionalFormatting sqref="C3">
    <cfRule type="duplicateValues" dxfId="698" priority="259"/>
    <cfRule type="duplicateValues" dxfId="697" priority="260"/>
  </conditionalFormatting>
  <conditionalFormatting sqref="C3">
    <cfRule type="duplicateValues" dxfId="696" priority="258"/>
  </conditionalFormatting>
  <conditionalFormatting sqref="B2">
    <cfRule type="duplicateValues" dxfId="695" priority="348"/>
  </conditionalFormatting>
  <conditionalFormatting sqref="B6">
    <cfRule type="duplicateValues" dxfId="694" priority="253"/>
  </conditionalFormatting>
  <conditionalFormatting sqref="B6">
    <cfRule type="duplicateValues" dxfId="693" priority="254"/>
  </conditionalFormatting>
  <conditionalFormatting sqref="B12">
    <cfRule type="duplicateValues" dxfId="692" priority="251"/>
  </conditionalFormatting>
  <conditionalFormatting sqref="B12">
    <cfRule type="duplicateValues" dxfId="691" priority="252"/>
  </conditionalFormatting>
  <conditionalFormatting sqref="B18">
    <cfRule type="duplicateValues" dxfId="690" priority="249"/>
  </conditionalFormatting>
  <conditionalFormatting sqref="B18">
    <cfRule type="duplicateValues" dxfId="689" priority="250"/>
  </conditionalFormatting>
  <conditionalFormatting sqref="B23">
    <cfRule type="duplicateValues" dxfId="688" priority="247"/>
  </conditionalFormatting>
  <conditionalFormatting sqref="B23">
    <cfRule type="duplicateValues" dxfId="687" priority="248"/>
  </conditionalFormatting>
  <conditionalFormatting sqref="B35">
    <cfRule type="duplicateValues" dxfId="686" priority="256"/>
  </conditionalFormatting>
  <conditionalFormatting sqref="B36">
    <cfRule type="duplicateValues" dxfId="685" priority="246"/>
  </conditionalFormatting>
  <conditionalFormatting sqref="B46">
    <cfRule type="duplicateValues" dxfId="684" priority="245"/>
  </conditionalFormatting>
  <conditionalFormatting sqref="B46">
    <cfRule type="duplicateValues" dxfId="683" priority="244"/>
  </conditionalFormatting>
  <conditionalFormatting sqref="B46">
    <cfRule type="duplicateValues" dxfId="682" priority="243"/>
  </conditionalFormatting>
  <conditionalFormatting sqref="B46">
    <cfRule type="duplicateValues" dxfId="681" priority="242" stopIfTrue="1"/>
  </conditionalFormatting>
  <conditionalFormatting sqref="B46">
    <cfRule type="duplicateValues" dxfId="680" priority="241"/>
  </conditionalFormatting>
  <conditionalFormatting sqref="B46">
    <cfRule type="duplicateValues" dxfId="679" priority="240"/>
  </conditionalFormatting>
  <conditionalFormatting sqref="B46">
    <cfRule type="duplicateValues" dxfId="678" priority="239"/>
  </conditionalFormatting>
  <conditionalFormatting sqref="B46">
    <cfRule type="duplicateValues" dxfId="677" priority="238"/>
  </conditionalFormatting>
  <conditionalFormatting sqref="B46">
    <cfRule type="duplicateValues" dxfId="676" priority="237"/>
  </conditionalFormatting>
  <conditionalFormatting sqref="B46">
    <cfRule type="duplicateValues" dxfId="675" priority="236"/>
  </conditionalFormatting>
  <conditionalFormatting sqref="B46">
    <cfRule type="duplicateValues" dxfId="674" priority="235"/>
  </conditionalFormatting>
  <conditionalFormatting sqref="B47">
    <cfRule type="duplicateValues" dxfId="673" priority="234" stopIfTrue="1"/>
  </conditionalFormatting>
  <conditionalFormatting sqref="B47">
    <cfRule type="duplicateValues" dxfId="672" priority="233"/>
  </conditionalFormatting>
  <conditionalFormatting sqref="B47">
    <cfRule type="duplicateValues" dxfId="671" priority="232"/>
  </conditionalFormatting>
  <conditionalFormatting sqref="B47">
    <cfRule type="duplicateValues" dxfId="670" priority="231"/>
  </conditionalFormatting>
  <conditionalFormatting sqref="B47">
    <cfRule type="duplicateValues" dxfId="669" priority="230"/>
  </conditionalFormatting>
  <conditionalFormatting sqref="B47">
    <cfRule type="duplicateValues" dxfId="668" priority="229"/>
  </conditionalFormatting>
  <conditionalFormatting sqref="B48">
    <cfRule type="duplicateValues" dxfId="667" priority="228"/>
  </conditionalFormatting>
  <conditionalFormatting sqref="B48">
    <cfRule type="duplicateValues" dxfId="666" priority="227"/>
  </conditionalFormatting>
  <conditionalFormatting sqref="B48">
    <cfRule type="duplicateValues" dxfId="665" priority="226"/>
  </conditionalFormatting>
  <conditionalFormatting sqref="B48">
    <cfRule type="duplicateValues" dxfId="664" priority="225" stopIfTrue="1"/>
  </conditionalFormatting>
  <conditionalFormatting sqref="B48">
    <cfRule type="duplicateValues" dxfId="663" priority="224"/>
  </conditionalFormatting>
  <conditionalFormatting sqref="B48">
    <cfRule type="duplicateValues" dxfId="662" priority="223"/>
  </conditionalFormatting>
  <conditionalFormatting sqref="B48">
    <cfRule type="duplicateValues" dxfId="661" priority="222"/>
  </conditionalFormatting>
  <conditionalFormatting sqref="B48">
    <cfRule type="duplicateValues" dxfId="660" priority="221"/>
  </conditionalFormatting>
  <conditionalFormatting sqref="B48">
    <cfRule type="duplicateValues" dxfId="659" priority="220"/>
  </conditionalFormatting>
  <conditionalFormatting sqref="B48">
    <cfRule type="duplicateValues" dxfId="658" priority="219"/>
  </conditionalFormatting>
  <conditionalFormatting sqref="B48">
    <cfRule type="duplicateValues" dxfId="657" priority="218"/>
  </conditionalFormatting>
  <conditionalFormatting sqref="B49">
    <cfRule type="duplicateValues" dxfId="656" priority="217"/>
  </conditionalFormatting>
  <conditionalFormatting sqref="B49">
    <cfRule type="duplicateValues" dxfId="655" priority="216" stopIfTrue="1"/>
  </conditionalFormatting>
  <conditionalFormatting sqref="B49">
    <cfRule type="duplicateValues" dxfId="654" priority="215"/>
  </conditionalFormatting>
  <conditionalFormatting sqref="B49">
    <cfRule type="duplicateValues" dxfId="653" priority="214"/>
  </conditionalFormatting>
  <conditionalFormatting sqref="B49">
    <cfRule type="duplicateValues" dxfId="652" priority="213"/>
  </conditionalFormatting>
  <conditionalFormatting sqref="B49">
    <cfRule type="duplicateValues" dxfId="651" priority="212"/>
  </conditionalFormatting>
  <conditionalFormatting sqref="B49">
    <cfRule type="duplicateValues" dxfId="650" priority="211"/>
  </conditionalFormatting>
  <conditionalFormatting sqref="B49">
    <cfRule type="duplicateValues" dxfId="649" priority="210"/>
  </conditionalFormatting>
  <conditionalFormatting sqref="B49">
    <cfRule type="duplicateValues" dxfId="648" priority="209"/>
  </conditionalFormatting>
  <conditionalFormatting sqref="B49">
    <cfRule type="duplicateValues" dxfId="647" priority="208"/>
  </conditionalFormatting>
  <conditionalFormatting sqref="B49">
    <cfRule type="duplicateValues" dxfId="646" priority="207"/>
  </conditionalFormatting>
  <conditionalFormatting sqref="B49">
    <cfRule type="duplicateValues" dxfId="645" priority="206"/>
  </conditionalFormatting>
  <conditionalFormatting sqref="B49">
    <cfRule type="duplicateValues" dxfId="644" priority="205"/>
  </conditionalFormatting>
  <conditionalFormatting sqref="B49">
    <cfRule type="duplicateValues" dxfId="643" priority="204"/>
  </conditionalFormatting>
  <conditionalFormatting sqref="B49">
    <cfRule type="duplicateValues" dxfId="642" priority="203"/>
  </conditionalFormatting>
  <conditionalFormatting sqref="B49">
    <cfRule type="duplicateValues" dxfId="641" priority="202"/>
  </conditionalFormatting>
  <conditionalFormatting sqref="B49">
    <cfRule type="duplicateValues" dxfId="640" priority="201"/>
  </conditionalFormatting>
  <conditionalFormatting sqref="B49">
    <cfRule type="duplicateValues" dxfId="639" priority="200"/>
  </conditionalFormatting>
  <conditionalFormatting sqref="B50">
    <cfRule type="duplicateValues" dxfId="638" priority="199"/>
  </conditionalFormatting>
  <conditionalFormatting sqref="B50">
    <cfRule type="duplicateValues" dxfId="637" priority="198" stopIfTrue="1"/>
  </conditionalFormatting>
  <conditionalFormatting sqref="B50">
    <cfRule type="duplicateValues" dxfId="636" priority="197"/>
  </conditionalFormatting>
  <conditionalFormatting sqref="B50">
    <cfRule type="duplicateValues" dxfId="635" priority="196"/>
  </conditionalFormatting>
  <conditionalFormatting sqref="B50">
    <cfRule type="duplicateValues" dxfId="634" priority="195"/>
  </conditionalFormatting>
  <conditionalFormatting sqref="B50">
    <cfRule type="duplicateValues" dxfId="633" priority="194"/>
  </conditionalFormatting>
  <conditionalFormatting sqref="B50">
    <cfRule type="duplicateValues" dxfId="632" priority="193"/>
  </conditionalFormatting>
  <conditionalFormatting sqref="B50">
    <cfRule type="duplicateValues" dxfId="631" priority="192"/>
  </conditionalFormatting>
  <conditionalFormatting sqref="B50">
    <cfRule type="duplicateValues" dxfId="630" priority="191"/>
  </conditionalFormatting>
  <conditionalFormatting sqref="B50">
    <cfRule type="duplicateValues" dxfId="629" priority="190"/>
  </conditionalFormatting>
  <conditionalFormatting sqref="B50">
    <cfRule type="duplicateValues" dxfId="628" priority="189"/>
  </conditionalFormatting>
  <conditionalFormatting sqref="B50">
    <cfRule type="duplicateValues" dxfId="627" priority="188"/>
  </conditionalFormatting>
  <conditionalFormatting sqref="B50">
    <cfRule type="duplicateValues" dxfId="626" priority="187"/>
  </conditionalFormatting>
  <conditionalFormatting sqref="B51">
    <cfRule type="duplicateValues" dxfId="625" priority="186"/>
  </conditionalFormatting>
  <conditionalFormatting sqref="B51">
    <cfRule type="duplicateValues" dxfId="624" priority="185" stopIfTrue="1"/>
  </conditionalFormatting>
  <conditionalFormatting sqref="B51">
    <cfRule type="duplicateValues" dxfId="623" priority="184"/>
  </conditionalFormatting>
  <conditionalFormatting sqref="B51">
    <cfRule type="duplicateValues" dxfId="622" priority="183"/>
  </conditionalFormatting>
  <conditionalFormatting sqref="B51">
    <cfRule type="duplicateValues" dxfId="621" priority="182"/>
  </conditionalFormatting>
  <conditionalFormatting sqref="B51">
    <cfRule type="duplicateValues" dxfId="620" priority="181"/>
  </conditionalFormatting>
  <conditionalFormatting sqref="B51">
    <cfRule type="duplicateValues" dxfId="619" priority="180"/>
  </conditionalFormatting>
  <conditionalFormatting sqref="B51">
    <cfRule type="duplicateValues" dxfId="618" priority="179"/>
  </conditionalFormatting>
  <conditionalFormatting sqref="B51">
    <cfRule type="duplicateValues" dxfId="617" priority="178"/>
  </conditionalFormatting>
  <conditionalFormatting sqref="B51">
    <cfRule type="duplicateValues" dxfId="616" priority="177"/>
  </conditionalFormatting>
  <conditionalFormatting sqref="B51">
    <cfRule type="duplicateValues" dxfId="615" priority="176"/>
  </conditionalFormatting>
  <conditionalFormatting sqref="B51">
    <cfRule type="duplicateValues" dxfId="614" priority="175"/>
  </conditionalFormatting>
  <conditionalFormatting sqref="B51">
    <cfRule type="duplicateValues" dxfId="613" priority="174"/>
  </conditionalFormatting>
  <conditionalFormatting sqref="B52">
    <cfRule type="duplicateValues" dxfId="612" priority="173"/>
  </conditionalFormatting>
  <conditionalFormatting sqref="B52">
    <cfRule type="duplicateValues" dxfId="611" priority="172"/>
  </conditionalFormatting>
  <conditionalFormatting sqref="B52">
    <cfRule type="duplicateValues" dxfId="610" priority="171"/>
  </conditionalFormatting>
  <conditionalFormatting sqref="B52">
    <cfRule type="duplicateValues" dxfId="609" priority="170" stopIfTrue="1"/>
  </conditionalFormatting>
  <conditionalFormatting sqref="B52">
    <cfRule type="duplicateValues" dxfId="608" priority="169"/>
  </conditionalFormatting>
  <conditionalFormatting sqref="B52">
    <cfRule type="duplicateValues" dxfId="607" priority="168"/>
  </conditionalFormatting>
  <conditionalFormatting sqref="B52">
    <cfRule type="duplicateValues" dxfId="606" priority="167"/>
  </conditionalFormatting>
  <conditionalFormatting sqref="B52">
    <cfRule type="duplicateValues" dxfId="605" priority="166"/>
  </conditionalFormatting>
  <conditionalFormatting sqref="B52">
    <cfRule type="duplicateValues" dxfId="604" priority="165"/>
  </conditionalFormatting>
  <conditionalFormatting sqref="B52">
    <cfRule type="duplicateValues" dxfId="603" priority="164"/>
  </conditionalFormatting>
  <conditionalFormatting sqref="B52">
    <cfRule type="duplicateValues" dxfId="602" priority="163"/>
  </conditionalFormatting>
  <conditionalFormatting sqref="B52">
    <cfRule type="duplicateValues" dxfId="601" priority="162"/>
  </conditionalFormatting>
  <conditionalFormatting sqref="B53">
    <cfRule type="duplicateValues" dxfId="600" priority="161"/>
  </conditionalFormatting>
  <conditionalFormatting sqref="B53">
    <cfRule type="duplicateValues" dxfId="599" priority="160" stopIfTrue="1"/>
  </conditionalFormatting>
  <conditionalFormatting sqref="B53">
    <cfRule type="duplicateValues" dxfId="598" priority="159"/>
  </conditionalFormatting>
  <conditionalFormatting sqref="B53">
    <cfRule type="duplicateValues" dxfId="597" priority="158"/>
  </conditionalFormatting>
  <conditionalFormatting sqref="B53">
    <cfRule type="duplicateValues" dxfId="596" priority="157"/>
  </conditionalFormatting>
  <conditionalFormatting sqref="B53">
    <cfRule type="duplicateValues" dxfId="595" priority="156"/>
  </conditionalFormatting>
  <conditionalFormatting sqref="B53">
    <cfRule type="duplicateValues" dxfId="594" priority="155"/>
  </conditionalFormatting>
  <conditionalFormatting sqref="B53">
    <cfRule type="duplicateValues" dxfId="593" priority="154"/>
  </conditionalFormatting>
  <conditionalFormatting sqref="B53">
    <cfRule type="duplicateValues" dxfId="592" priority="153"/>
  </conditionalFormatting>
  <conditionalFormatting sqref="B53">
    <cfRule type="duplicateValues" dxfId="591" priority="152"/>
  </conditionalFormatting>
  <conditionalFormatting sqref="B53">
    <cfRule type="duplicateValues" dxfId="590" priority="151"/>
  </conditionalFormatting>
  <conditionalFormatting sqref="B53">
    <cfRule type="duplicateValues" dxfId="589" priority="150"/>
  </conditionalFormatting>
  <conditionalFormatting sqref="B53">
    <cfRule type="duplicateValues" dxfId="588" priority="149"/>
  </conditionalFormatting>
  <conditionalFormatting sqref="B53">
    <cfRule type="duplicateValues" dxfId="587" priority="148"/>
  </conditionalFormatting>
  <conditionalFormatting sqref="B53">
    <cfRule type="duplicateValues" dxfId="586" priority="147"/>
  </conditionalFormatting>
  <conditionalFormatting sqref="B53">
    <cfRule type="duplicateValues" dxfId="585" priority="146"/>
  </conditionalFormatting>
  <conditionalFormatting sqref="B53">
    <cfRule type="duplicateValues" dxfId="584" priority="145"/>
  </conditionalFormatting>
  <conditionalFormatting sqref="B54">
    <cfRule type="duplicateValues" dxfId="583" priority="144"/>
  </conditionalFormatting>
  <conditionalFormatting sqref="B54">
    <cfRule type="duplicateValues" dxfId="582" priority="143" stopIfTrue="1"/>
  </conditionalFormatting>
  <conditionalFormatting sqref="B54">
    <cfRule type="duplicateValues" dxfId="581" priority="142"/>
  </conditionalFormatting>
  <conditionalFormatting sqref="B54">
    <cfRule type="duplicateValues" dxfId="580" priority="141"/>
  </conditionalFormatting>
  <conditionalFormatting sqref="B54">
    <cfRule type="duplicateValues" dxfId="579" priority="140"/>
  </conditionalFormatting>
  <conditionalFormatting sqref="B54">
    <cfRule type="duplicateValues" dxfId="578" priority="139"/>
  </conditionalFormatting>
  <conditionalFormatting sqref="B54">
    <cfRule type="duplicateValues" dxfId="577" priority="138"/>
  </conditionalFormatting>
  <conditionalFormatting sqref="B54">
    <cfRule type="duplicateValues" dxfId="576" priority="137"/>
  </conditionalFormatting>
  <conditionalFormatting sqref="B54">
    <cfRule type="duplicateValues" dxfId="575" priority="136"/>
  </conditionalFormatting>
  <conditionalFormatting sqref="B54">
    <cfRule type="duplicateValues" dxfId="574" priority="135"/>
  </conditionalFormatting>
  <conditionalFormatting sqref="B54">
    <cfRule type="duplicateValues" dxfId="573" priority="134"/>
  </conditionalFormatting>
  <conditionalFormatting sqref="B54">
    <cfRule type="duplicateValues" dxfId="572" priority="133"/>
  </conditionalFormatting>
  <conditionalFormatting sqref="B54">
    <cfRule type="duplicateValues" dxfId="571" priority="132"/>
  </conditionalFormatting>
  <conditionalFormatting sqref="B54">
    <cfRule type="duplicateValues" dxfId="570" priority="131"/>
  </conditionalFormatting>
  <conditionalFormatting sqref="B54">
    <cfRule type="duplicateValues" dxfId="569" priority="130"/>
  </conditionalFormatting>
  <conditionalFormatting sqref="B54">
    <cfRule type="duplicateValues" dxfId="568" priority="129"/>
  </conditionalFormatting>
  <conditionalFormatting sqref="B54">
    <cfRule type="duplicateValues" dxfId="567" priority="128"/>
  </conditionalFormatting>
  <conditionalFormatting sqref="B55">
    <cfRule type="duplicateValues" dxfId="566" priority="127"/>
  </conditionalFormatting>
  <conditionalFormatting sqref="B55">
    <cfRule type="duplicateValues" dxfId="565" priority="126"/>
  </conditionalFormatting>
  <conditionalFormatting sqref="B55">
    <cfRule type="duplicateValues" dxfId="564" priority="125"/>
  </conditionalFormatting>
  <conditionalFormatting sqref="B55">
    <cfRule type="duplicateValues" dxfId="563" priority="124"/>
  </conditionalFormatting>
  <conditionalFormatting sqref="B55">
    <cfRule type="duplicateValues" dxfId="562" priority="123"/>
  </conditionalFormatting>
  <conditionalFormatting sqref="B55">
    <cfRule type="duplicateValues" dxfId="561" priority="122"/>
  </conditionalFormatting>
  <conditionalFormatting sqref="B55">
    <cfRule type="duplicateValues" dxfId="560" priority="121"/>
  </conditionalFormatting>
  <conditionalFormatting sqref="B55">
    <cfRule type="duplicateValues" dxfId="559" priority="120"/>
  </conditionalFormatting>
  <conditionalFormatting sqref="B55">
    <cfRule type="duplicateValues" dxfId="558" priority="119" stopIfTrue="1"/>
  </conditionalFormatting>
  <conditionalFormatting sqref="B55">
    <cfRule type="duplicateValues" dxfId="557" priority="118"/>
  </conditionalFormatting>
  <conditionalFormatting sqref="B55">
    <cfRule type="duplicateValues" dxfId="556" priority="117"/>
  </conditionalFormatting>
  <conditionalFormatting sqref="B55">
    <cfRule type="duplicateValues" dxfId="555" priority="116"/>
  </conditionalFormatting>
  <conditionalFormatting sqref="B55">
    <cfRule type="duplicateValues" dxfId="554" priority="115"/>
  </conditionalFormatting>
  <conditionalFormatting sqref="B55">
    <cfRule type="duplicateValues" dxfId="553" priority="114"/>
  </conditionalFormatting>
  <conditionalFormatting sqref="B55">
    <cfRule type="duplicateValues" dxfId="552" priority="113"/>
  </conditionalFormatting>
  <conditionalFormatting sqref="B55">
    <cfRule type="duplicateValues" dxfId="551" priority="112"/>
  </conditionalFormatting>
  <conditionalFormatting sqref="B55">
    <cfRule type="duplicateValues" dxfId="550" priority="111"/>
  </conditionalFormatting>
  <conditionalFormatting sqref="B55">
    <cfRule type="duplicateValues" dxfId="549" priority="110"/>
  </conditionalFormatting>
  <conditionalFormatting sqref="B55">
    <cfRule type="duplicateValues" dxfId="548" priority="109"/>
  </conditionalFormatting>
  <conditionalFormatting sqref="B55">
    <cfRule type="duplicateValues" dxfId="547" priority="108"/>
  </conditionalFormatting>
  <conditionalFormatting sqref="B55">
    <cfRule type="duplicateValues" dxfId="546" priority="107"/>
  </conditionalFormatting>
  <conditionalFormatting sqref="B56">
    <cfRule type="duplicateValues" dxfId="545" priority="106" stopIfTrue="1"/>
  </conditionalFormatting>
  <conditionalFormatting sqref="B56">
    <cfRule type="duplicateValues" dxfId="544" priority="105"/>
  </conditionalFormatting>
  <conditionalFormatting sqref="B56">
    <cfRule type="duplicateValues" dxfId="543" priority="104"/>
  </conditionalFormatting>
  <conditionalFormatting sqref="B56">
    <cfRule type="duplicateValues" dxfId="542" priority="103"/>
  </conditionalFormatting>
  <conditionalFormatting sqref="B56">
    <cfRule type="duplicateValues" dxfId="541" priority="102"/>
  </conditionalFormatting>
  <conditionalFormatting sqref="B56">
    <cfRule type="duplicateValues" dxfId="540" priority="101"/>
  </conditionalFormatting>
  <conditionalFormatting sqref="B56">
    <cfRule type="duplicateValues" dxfId="539" priority="100"/>
  </conditionalFormatting>
  <conditionalFormatting sqref="B56">
    <cfRule type="duplicateValues" dxfId="538" priority="99"/>
  </conditionalFormatting>
  <conditionalFormatting sqref="B56">
    <cfRule type="duplicateValues" dxfId="537" priority="98"/>
  </conditionalFormatting>
  <conditionalFormatting sqref="B56">
    <cfRule type="duplicateValues" dxfId="536" priority="97" stopIfTrue="1"/>
  </conditionalFormatting>
  <conditionalFormatting sqref="B56">
    <cfRule type="duplicateValues" dxfId="535" priority="96"/>
  </conditionalFormatting>
  <conditionalFormatting sqref="B56">
    <cfRule type="duplicateValues" dxfId="534" priority="95"/>
  </conditionalFormatting>
  <conditionalFormatting sqref="B56">
    <cfRule type="duplicateValues" dxfId="533" priority="94"/>
  </conditionalFormatting>
  <conditionalFormatting sqref="B56">
    <cfRule type="duplicateValues" dxfId="532" priority="93"/>
  </conditionalFormatting>
  <conditionalFormatting sqref="B56">
    <cfRule type="duplicateValues" dxfId="531" priority="92"/>
  </conditionalFormatting>
  <conditionalFormatting sqref="B56">
    <cfRule type="duplicateValues" dxfId="530" priority="91"/>
  </conditionalFormatting>
  <conditionalFormatting sqref="B56">
    <cfRule type="duplicateValues" dxfId="529" priority="90"/>
  </conditionalFormatting>
  <conditionalFormatting sqref="B56">
    <cfRule type="duplicateValues" dxfId="528" priority="89"/>
  </conditionalFormatting>
  <conditionalFormatting sqref="B56">
    <cfRule type="duplicateValues" dxfId="527" priority="88"/>
  </conditionalFormatting>
  <conditionalFormatting sqref="B56">
    <cfRule type="duplicateValues" dxfId="526" priority="87"/>
  </conditionalFormatting>
  <conditionalFormatting sqref="B56">
    <cfRule type="duplicateValues" dxfId="525" priority="86"/>
  </conditionalFormatting>
  <conditionalFormatting sqref="B56">
    <cfRule type="duplicateValues" dxfId="524" priority="85"/>
  </conditionalFormatting>
  <conditionalFormatting sqref="B56">
    <cfRule type="duplicateValues" dxfId="523" priority="84"/>
  </conditionalFormatting>
  <conditionalFormatting sqref="B57">
    <cfRule type="duplicateValues" dxfId="522" priority="83" stopIfTrue="1"/>
  </conditionalFormatting>
  <conditionalFormatting sqref="B57">
    <cfRule type="duplicateValues" dxfId="521" priority="82" stopIfTrue="1"/>
  </conditionalFormatting>
  <conditionalFormatting sqref="B57">
    <cfRule type="duplicateValues" dxfId="520" priority="81"/>
  </conditionalFormatting>
  <conditionalFormatting sqref="B57">
    <cfRule type="duplicateValues" dxfId="519" priority="80"/>
  </conditionalFormatting>
  <conditionalFormatting sqref="B57">
    <cfRule type="duplicateValues" dxfId="518" priority="79"/>
  </conditionalFormatting>
  <conditionalFormatting sqref="B57">
    <cfRule type="duplicateValues" dxfId="517" priority="78"/>
  </conditionalFormatting>
  <conditionalFormatting sqref="B57">
    <cfRule type="duplicateValues" dxfId="516" priority="77"/>
  </conditionalFormatting>
  <conditionalFormatting sqref="B57">
    <cfRule type="duplicateValues" dxfId="515" priority="76"/>
  </conditionalFormatting>
  <conditionalFormatting sqref="B57">
    <cfRule type="duplicateValues" dxfId="514" priority="75"/>
  </conditionalFormatting>
  <conditionalFormatting sqref="B57">
    <cfRule type="duplicateValues" dxfId="513" priority="74"/>
  </conditionalFormatting>
  <conditionalFormatting sqref="B57">
    <cfRule type="duplicateValues" dxfId="512" priority="73"/>
  </conditionalFormatting>
  <conditionalFormatting sqref="B57">
    <cfRule type="duplicateValues" dxfId="511" priority="72"/>
  </conditionalFormatting>
  <conditionalFormatting sqref="B57">
    <cfRule type="duplicateValues" dxfId="510" priority="71"/>
  </conditionalFormatting>
  <conditionalFormatting sqref="B57">
    <cfRule type="duplicateValues" dxfId="509" priority="70"/>
  </conditionalFormatting>
  <conditionalFormatting sqref="B57">
    <cfRule type="duplicateValues" dxfId="508" priority="69"/>
  </conditionalFormatting>
  <conditionalFormatting sqref="B57">
    <cfRule type="duplicateValues" dxfId="507" priority="68"/>
  </conditionalFormatting>
  <conditionalFormatting sqref="B57">
    <cfRule type="duplicateValues" dxfId="506" priority="67"/>
  </conditionalFormatting>
  <conditionalFormatting sqref="B57">
    <cfRule type="duplicateValues" dxfId="505" priority="66"/>
  </conditionalFormatting>
  <conditionalFormatting sqref="B57">
    <cfRule type="duplicateValues" dxfId="504" priority="65"/>
  </conditionalFormatting>
  <conditionalFormatting sqref="B57">
    <cfRule type="duplicateValues" dxfId="503" priority="64"/>
  </conditionalFormatting>
  <conditionalFormatting sqref="B58">
    <cfRule type="duplicateValues" dxfId="502" priority="63"/>
  </conditionalFormatting>
  <conditionalFormatting sqref="B58">
    <cfRule type="duplicateValues" dxfId="501" priority="62" stopIfTrue="1"/>
  </conditionalFormatting>
  <conditionalFormatting sqref="B58">
    <cfRule type="duplicateValues" dxfId="500" priority="61"/>
  </conditionalFormatting>
  <conditionalFormatting sqref="B58">
    <cfRule type="duplicateValues" dxfId="499" priority="60"/>
  </conditionalFormatting>
  <conditionalFormatting sqref="B58">
    <cfRule type="duplicateValues" dxfId="498" priority="59"/>
  </conditionalFormatting>
  <conditionalFormatting sqref="B58">
    <cfRule type="duplicateValues" dxfId="497" priority="58"/>
  </conditionalFormatting>
  <conditionalFormatting sqref="B58">
    <cfRule type="duplicateValues" dxfId="496" priority="57"/>
  </conditionalFormatting>
  <conditionalFormatting sqref="B58">
    <cfRule type="duplicateValues" dxfId="495" priority="56"/>
  </conditionalFormatting>
  <conditionalFormatting sqref="B58">
    <cfRule type="duplicateValues" dxfId="494" priority="55"/>
  </conditionalFormatting>
  <conditionalFormatting sqref="B58">
    <cfRule type="duplicateValues" dxfId="493" priority="54"/>
  </conditionalFormatting>
  <conditionalFormatting sqref="B58">
    <cfRule type="duplicateValues" dxfId="492" priority="53"/>
  </conditionalFormatting>
  <conditionalFormatting sqref="B58">
    <cfRule type="duplicateValues" dxfId="491" priority="52"/>
  </conditionalFormatting>
  <conditionalFormatting sqref="B58">
    <cfRule type="duplicateValues" dxfId="490" priority="51"/>
  </conditionalFormatting>
  <conditionalFormatting sqref="B60">
    <cfRule type="duplicateValues" dxfId="489" priority="32"/>
  </conditionalFormatting>
  <conditionalFormatting sqref="B60">
    <cfRule type="duplicateValues" dxfId="488" priority="31" stopIfTrue="1"/>
  </conditionalFormatting>
  <conditionalFormatting sqref="B60">
    <cfRule type="duplicateValues" dxfId="487" priority="30"/>
  </conditionalFormatting>
  <conditionalFormatting sqref="B60">
    <cfRule type="duplicateValues" dxfId="486" priority="29"/>
  </conditionalFormatting>
  <conditionalFormatting sqref="B60">
    <cfRule type="duplicateValues" dxfId="485" priority="28"/>
  </conditionalFormatting>
  <conditionalFormatting sqref="B60">
    <cfRule type="duplicateValues" dxfId="484" priority="27"/>
  </conditionalFormatting>
  <conditionalFormatting sqref="B60">
    <cfRule type="duplicateValues" dxfId="483" priority="26"/>
  </conditionalFormatting>
  <conditionalFormatting sqref="B60">
    <cfRule type="duplicateValues" dxfId="482" priority="25"/>
  </conditionalFormatting>
  <conditionalFormatting sqref="B60">
    <cfRule type="duplicateValues" dxfId="481" priority="24"/>
  </conditionalFormatting>
  <conditionalFormatting sqref="B61">
    <cfRule type="duplicateValues" dxfId="480" priority="23"/>
  </conditionalFormatting>
  <conditionalFormatting sqref="B61">
    <cfRule type="duplicateValues" dxfId="479" priority="22" stopIfTrue="1"/>
  </conditionalFormatting>
  <conditionalFormatting sqref="B61">
    <cfRule type="duplicateValues" dxfId="478" priority="21"/>
  </conditionalFormatting>
  <conditionalFormatting sqref="B61">
    <cfRule type="duplicateValues" dxfId="477" priority="20"/>
  </conditionalFormatting>
  <conditionalFormatting sqref="B61">
    <cfRule type="duplicateValues" dxfId="476" priority="19"/>
  </conditionalFormatting>
  <conditionalFormatting sqref="B61">
    <cfRule type="duplicateValues" dxfId="475" priority="18"/>
  </conditionalFormatting>
  <conditionalFormatting sqref="B61">
    <cfRule type="duplicateValues" dxfId="474" priority="17"/>
  </conditionalFormatting>
  <conditionalFormatting sqref="B59">
    <cfRule type="duplicateValues" dxfId="473" priority="7810"/>
  </conditionalFormatting>
  <conditionalFormatting sqref="B59">
    <cfRule type="duplicateValues" dxfId="472" priority="7811" stopIfTrue="1"/>
  </conditionalFormatting>
  <conditionalFormatting sqref="B45">
    <cfRule type="duplicateValues" dxfId="471" priority="13"/>
  </conditionalFormatting>
  <conditionalFormatting sqref="B45">
    <cfRule type="duplicateValues" dxfId="470" priority="14"/>
  </conditionalFormatting>
  <conditionalFormatting sqref="B45">
    <cfRule type="duplicateValues" dxfId="469" priority="15"/>
  </conditionalFormatting>
  <conditionalFormatting sqref="B45">
    <cfRule type="duplicateValues" dxfId="468" priority="16"/>
  </conditionalFormatting>
  <conditionalFormatting sqref="B45">
    <cfRule type="duplicateValues" dxfId="467" priority="12"/>
  </conditionalFormatting>
  <conditionalFormatting sqref="B45">
    <cfRule type="duplicateValues" dxfId="466" priority="11"/>
  </conditionalFormatting>
  <conditionalFormatting sqref="B37:B44">
    <cfRule type="duplicateValues" dxfId="465" priority="7813"/>
  </conditionalFormatting>
  <conditionalFormatting sqref="B32">
    <cfRule type="duplicateValues" dxfId="464" priority="1"/>
  </conditionalFormatting>
  <conditionalFormatting sqref="B32">
    <cfRule type="duplicateValues" dxfId="463" priority="2"/>
  </conditionalFormatting>
  <conditionalFormatting sqref="B33:B1048576 B1:B31">
    <cfRule type="duplicateValues" dxfId="462" priority="8320"/>
  </conditionalFormatting>
  <conditionalFormatting sqref="B7:B11 B13:B17 B19:B22 B4:B5 B33:B34 B24:B31">
    <cfRule type="duplicateValues" dxfId="461" priority="8322"/>
  </conditionalFormatting>
  <pageMargins left="0.2" right="0.2" top="0.5" bottom="0.5" header="0.3" footer="0.3"/>
  <pageSetup scale="51" orientation="landscape" r:id="rId1"/>
  <colBreaks count="1" manualBreakCount="1"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1079"/>
  <sheetViews>
    <sheetView workbookViewId="0">
      <pane xSplit="39" ySplit="2" topLeftCell="AW1069" activePane="bottomRight" state="frozen"/>
      <selection pane="topRight" activeCell="AN1" sqref="AN1"/>
      <selection pane="bottomLeft" activeCell="A3" sqref="A3"/>
      <selection pane="bottomRight" activeCell="A1078" sqref="A1078"/>
    </sheetView>
  </sheetViews>
  <sheetFormatPr defaultRowHeight="27" customHeight="1"/>
  <cols>
    <col min="2" max="2" width="0" hidden="1" customWidth="1"/>
    <col min="4" max="7" width="0" hidden="1" customWidth="1"/>
    <col min="11" max="12" width="0" hidden="1" customWidth="1"/>
    <col min="13" max="13" width="12.7109375" customWidth="1"/>
    <col min="14" max="14" width="0" hidden="1" customWidth="1"/>
    <col min="15" max="15" width="12.28515625" hidden="1" customWidth="1"/>
    <col min="16" max="16" width="17.28515625" customWidth="1"/>
    <col min="18" max="39" width="0" hidden="1" customWidth="1"/>
    <col min="45" max="45" width="11" customWidth="1"/>
    <col min="47" max="47" width="13.28515625" style="317" customWidth="1"/>
    <col min="53" max="53" width="11" customWidth="1"/>
    <col min="55" max="55" width="13.7109375" style="317" bestFit="1" customWidth="1"/>
    <col min="56" max="56" width="11.42578125" bestFit="1" customWidth="1"/>
    <col min="63" max="63" width="11" customWidth="1"/>
  </cols>
  <sheetData>
    <row r="1" spans="1:63" ht="27" customHeight="1">
      <c r="A1" s="30" t="s">
        <v>61</v>
      </c>
      <c r="B1" s="31" t="s">
        <v>130</v>
      </c>
      <c r="C1" s="31" t="s">
        <v>69</v>
      </c>
      <c r="D1" s="30" t="s">
        <v>131</v>
      </c>
      <c r="E1" s="63" t="s">
        <v>132</v>
      </c>
      <c r="F1" s="32" t="s">
        <v>133</v>
      </c>
      <c r="G1" s="62" t="s">
        <v>134</v>
      </c>
      <c r="H1" s="32" t="s">
        <v>62</v>
      </c>
      <c r="I1" s="62" t="s">
        <v>63</v>
      </c>
      <c r="J1" s="64" t="s">
        <v>135</v>
      </c>
      <c r="K1" s="33" t="s">
        <v>64</v>
      </c>
      <c r="L1" s="62" t="s">
        <v>136</v>
      </c>
      <c r="M1" s="62" t="s">
        <v>65</v>
      </c>
      <c r="N1" s="62" t="s">
        <v>137</v>
      </c>
      <c r="O1" s="62" t="s">
        <v>66</v>
      </c>
      <c r="P1" s="62" t="s">
        <v>67</v>
      </c>
      <c r="Q1" s="65" t="s">
        <v>138</v>
      </c>
      <c r="R1" s="62" t="s">
        <v>139</v>
      </c>
      <c r="S1" s="66" t="s">
        <v>140</v>
      </c>
      <c r="T1" s="349" t="s">
        <v>141</v>
      </c>
      <c r="U1" s="351" t="s">
        <v>142</v>
      </c>
      <c r="V1" s="352" t="s">
        <v>143</v>
      </c>
      <c r="W1" s="352" t="s">
        <v>144</v>
      </c>
      <c r="X1" s="352" t="s">
        <v>145</v>
      </c>
      <c r="Y1" s="348" t="s">
        <v>146</v>
      </c>
      <c r="Z1" s="354" t="s">
        <v>147</v>
      </c>
      <c r="AA1" s="354"/>
      <c r="AB1" s="354"/>
      <c r="AC1" s="354"/>
      <c r="AD1" s="354"/>
      <c r="AE1" s="354"/>
      <c r="AF1" s="354"/>
      <c r="AG1" s="354"/>
      <c r="AH1" s="354"/>
      <c r="AI1" s="354"/>
      <c r="AJ1" s="352" t="s">
        <v>148</v>
      </c>
      <c r="AK1" s="352" t="s">
        <v>149</v>
      </c>
      <c r="AL1" s="352" t="s">
        <v>150</v>
      </c>
      <c r="AM1" s="356" t="s">
        <v>151</v>
      </c>
      <c r="AN1" s="358" t="s">
        <v>117</v>
      </c>
      <c r="AO1" s="358"/>
      <c r="AP1" s="358"/>
      <c r="AQ1" s="358"/>
      <c r="AR1" s="358"/>
      <c r="AS1" s="358"/>
      <c r="AT1" s="358"/>
      <c r="AU1" s="358"/>
      <c r="AV1" s="353" t="s">
        <v>6014</v>
      </c>
      <c r="AW1" s="353"/>
      <c r="AX1" s="353"/>
      <c r="AY1" s="353"/>
      <c r="AZ1" s="353"/>
      <c r="BA1" s="353"/>
      <c r="BB1" s="353"/>
      <c r="BC1" s="353"/>
    </row>
    <row r="2" spans="1:63" ht="27" customHeight="1">
      <c r="A2" s="34" t="s">
        <v>68</v>
      </c>
      <c r="B2" s="67" t="s">
        <v>152</v>
      </c>
      <c r="C2" s="35" t="s">
        <v>69</v>
      </c>
      <c r="D2" s="34" t="s">
        <v>153</v>
      </c>
      <c r="E2" s="68" t="s">
        <v>154</v>
      </c>
      <c r="F2" s="60" t="s">
        <v>155</v>
      </c>
      <c r="G2" s="61" t="s">
        <v>70</v>
      </c>
      <c r="H2" s="60" t="s">
        <v>71</v>
      </c>
      <c r="I2" s="61" t="s">
        <v>70</v>
      </c>
      <c r="J2" s="69" t="s">
        <v>156</v>
      </c>
      <c r="K2" s="36" t="s">
        <v>72</v>
      </c>
      <c r="L2" s="61" t="s">
        <v>157</v>
      </c>
      <c r="M2" s="61" t="s">
        <v>4</v>
      </c>
      <c r="N2" s="61" t="s">
        <v>158</v>
      </c>
      <c r="O2" s="61" t="s">
        <v>73</v>
      </c>
      <c r="P2" s="61" t="s">
        <v>3</v>
      </c>
      <c r="Q2" s="70" t="s">
        <v>159</v>
      </c>
      <c r="R2" s="61" t="s">
        <v>160</v>
      </c>
      <c r="S2" s="71" t="s">
        <v>161</v>
      </c>
      <c r="T2" s="350"/>
      <c r="U2" s="350"/>
      <c r="V2" s="350"/>
      <c r="W2" s="350"/>
      <c r="X2" s="350"/>
      <c r="Y2" s="348"/>
      <c r="Z2" s="72" t="s">
        <v>162</v>
      </c>
      <c r="AA2" s="72" t="s">
        <v>163</v>
      </c>
      <c r="AB2" s="72" t="s">
        <v>164</v>
      </c>
      <c r="AC2" s="73" t="s">
        <v>165</v>
      </c>
      <c r="AD2" s="74" t="s">
        <v>166</v>
      </c>
      <c r="AE2" s="74" t="s">
        <v>167</v>
      </c>
      <c r="AF2" s="74" t="s">
        <v>168</v>
      </c>
      <c r="AG2" s="74" t="s">
        <v>169</v>
      </c>
      <c r="AH2" s="74" t="s">
        <v>170</v>
      </c>
      <c r="AI2" s="74" t="s">
        <v>171</v>
      </c>
      <c r="AJ2" s="355"/>
      <c r="AK2" s="350"/>
      <c r="AL2" s="350"/>
      <c r="AM2" s="357"/>
      <c r="AN2" s="75" t="s">
        <v>74</v>
      </c>
      <c r="AO2" s="75" t="s">
        <v>5</v>
      </c>
      <c r="AP2" s="75" t="s">
        <v>6</v>
      </c>
      <c r="AQ2" s="75" t="s">
        <v>3</v>
      </c>
      <c r="AR2" s="75" t="s">
        <v>7</v>
      </c>
      <c r="AS2" s="314" t="s">
        <v>75</v>
      </c>
      <c r="AT2" s="75" t="s">
        <v>76</v>
      </c>
      <c r="AU2" s="315" t="s">
        <v>77</v>
      </c>
      <c r="AV2" s="318" t="s">
        <v>74</v>
      </c>
      <c r="AW2" s="318" t="s">
        <v>5</v>
      </c>
      <c r="AX2" s="318" t="s">
        <v>6</v>
      </c>
      <c r="AY2" s="318" t="s">
        <v>3</v>
      </c>
      <c r="AZ2" s="318" t="s">
        <v>7</v>
      </c>
      <c r="BA2" s="319" t="s">
        <v>75</v>
      </c>
      <c r="BB2" s="318" t="s">
        <v>76</v>
      </c>
      <c r="BC2" s="318" t="s">
        <v>77</v>
      </c>
    </row>
    <row r="3" spans="1:63" ht="27" customHeight="1">
      <c r="A3" s="13">
        <v>1</v>
      </c>
      <c r="B3" s="14" t="s">
        <v>172</v>
      </c>
      <c r="C3" s="10">
        <v>10</v>
      </c>
      <c r="D3" s="76" t="s">
        <v>173</v>
      </c>
      <c r="E3" s="77">
        <v>130083359</v>
      </c>
      <c r="F3" s="78" t="s">
        <v>174</v>
      </c>
      <c r="G3" s="79" t="s">
        <v>175</v>
      </c>
      <c r="H3" s="15" t="s">
        <v>176</v>
      </c>
      <c r="I3" s="16" t="s">
        <v>177</v>
      </c>
      <c r="J3" s="80" t="s">
        <v>178</v>
      </c>
      <c r="K3" s="81">
        <v>30135</v>
      </c>
      <c r="L3" s="82" t="s">
        <v>179</v>
      </c>
      <c r="M3" s="83">
        <v>41575</v>
      </c>
      <c r="N3" s="83"/>
      <c r="O3" s="17" t="s">
        <v>34</v>
      </c>
      <c r="P3" s="18" t="s">
        <v>180</v>
      </c>
      <c r="Q3" s="18" t="s">
        <v>181</v>
      </c>
      <c r="R3" s="19" t="s">
        <v>182</v>
      </c>
      <c r="S3" s="19" t="s">
        <v>183</v>
      </c>
      <c r="T3" s="20"/>
      <c r="U3" s="20"/>
      <c r="V3" s="84" t="s">
        <v>184</v>
      </c>
      <c r="W3" s="84">
        <v>130</v>
      </c>
      <c r="X3" s="84">
        <v>5</v>
      </c>
      <c r="Y3" s="85" t="s">
        <v>185</v>
      </c>
      <c r="Z3" s="59"/>
      <c r="AA3" s="86" t="s">
        <v>186</v>
      </c>
      <c r="AB3" s="59"/>
      <c r="AC3" s="21" t="s">
        <v>187</v>
      </c>
      <c r="AD3" s="21" t="s">
        <v>188</v>
      </c>
      <c r="AE3" s="21" t="s">
        <v>189</v>
      </c>
      <c r="AF3" s="87"/>
      <c r="AG3" s="59"/>
      <c r="AH3" s="59"/>
      <c r="AI3" s="59"/>
      <c r="AJ3" s="21" t="s">
        <v>190</v>
      </c>
      <c r="AK3" s="21" t="s">
        <v>190</v>
      </c>
      <c r="AL3" s="21" t="s">
        <v>191</v>
      </c>
      <c r="AM3" s="88" t="s">
        <v>192</v>
      </c>
      <c r="AN3" s="22">
        <v>182</v>
      </c>
      <c r="AO3" s="22">
        <v>7</v>
      </c>
      <c r="AP3" s="22">
        <v>0</v>
      </c>
      <c r="AQ3" s="22">
        <v>170</v>
      </c>
      <c r="AR3" s="22">
        <v>75</v>
      </c>
      <c r="AS3" s="22">
        <v>7</v>
      </c>
      <c r="AT3" s="22">
        <v>10</v>
      </c>
      <c r="AU3" s="316">
        <f>SUM(AN3:AT3)</f>
        <v>451</v>
      </c>
      <c r="AV3" s="22">
        <v>190</v>
      </c>
      <c r="AW3" s="22">
        <v>7</v>
      </c>
      <c r="AX3" s="22">
        <v>0</v>
      </c>
      <c r="AY3" s="22">
        <v>170</v>
      </c>
      <c r="AZ3" s="22">
        <v>75</v>
      </c>
      <c r="BA3" s="22">
        <v>7</v>
      </c>
      <c r="BB3" s="22">
        <v>10</v>
      </c>
      <c r="BC3" s="316">
        <f>SUM(AV3:BB3)</f>
        <v>459</v>
      </c>
      <c r="BD3" s="58">
        <f t="shared" ref="BD3:BK3" si="0">AV3-AN3</f>
        <v>8</v>
      </c>
      <c r="BE3" s="58">
        <f t="shared" si="0"/>
        <v>0</v>
      </c>
      <c r="BF3" s="58">
        <f t="shared" si="0"/>
        <v>0</v>
      </c>
      <c r="BG3" s="58">
        <f t="shared" si="0"/>
        <v>0</v>
      </c>
      <c r="BH3" s="58">
        <f t="shared" si="0"/>
        <v>0</v>
      </c>
      <c r="BI3" s="58">
        <f t="shared" si="0"/>
        <v>0</v>
      </c>
      <c r="BJ3" s="58">
        <f t="shared" si="0"/>
        <v>0</v>
      </c>
      <c r="BK3" s="58">
        <f t="shared" si="0"/>
        <v>8</v>
      </c>
    </row>
    <row r="4" spans="1:63" ht="27" customHeight="1">
      <c r="A4" s="13">
        <f>1+A3</f>
        <v>2</v>
      </c>
      <c r="B4" s="14" t="s">
        <v>193</v>
      </c>
      <c r="C4" s="10">
        <v>14</v>
      </c>
      <c r="D4" s="76" t="s">
        <v>194</v>
      </c>
      <c r="E4" s="77">
        <v>60289486</v>
      </c>
      <c r="F4" s="78" t="s">
        <v>195</v>
      </c>
      <c r="G4" s="79" t="s">
        <v>196</v>
      </c>
      <c r="H4" s="15" t="s">
        <v>197</v>
      </c>
      <c r="I4" s="16" t="s">
        <v>198</v>
      </c>
      <c r="J4" s="80" t="s">
        <v>178</v>
      </c>
      <c r="K4" s="81">
        <v>27490</v>
      </c>
      <c r="L4" s="82" t="s">
        <v>179</v>
      </c>
      <c r="M4" s="83">
        <v>41573</v>
      </c>
      <c r="N4" s="83"/>
      <c r="O4" s="17" t="s">
        <v>80</v>
      </c>
      <c r="P4" s="18" t="s">
        <v>199</v>
      </c>
      <c r="Q4" s="18" t="s">
        <v>181</v>
      </c>
      <c r="R4" s="19" t="s">
        <v>182</v>
      </c>
      <c r="S4" s="19" t="s">
        <v>183</v>
      </c>
      <c r="T4" s="20"/>
      <c r="U4" s="20"/>
      <c r="V4" s="84" t="s">
        <v>200</v>
      </c>
      <c r="W4" s="84">
        <v>3060</v>
      </c>
      <c r="X4" s="84">
        <v>10</v>
      </c>
      <c r="Y4" s="85" t="s">
        <v>201</v>
      </c>
      <c r="Z4" s="59"/>
      <c r="AA4" s="86" t="s">
        <v>186</v>
      </c>
      <c r="AB4" s="59"/>
      <c r="AC4" s="21" t="s">
        <v>202</v>
      </c>
      <c r="AD4" s="21" t="s">
        <v>188</v>
      </c>
      <c r="AE4" s="21" t="s">
        <v>188</v>
      </c>
      <c r="AF4" s="87"/>
      <c r="AG4" s="59"/>
      <c r="AH4" s="59"/>
      <c r="AI4" s="59"/>
      <c r="AJ4" s="21" t="s">
        <v>190</v>
      </c>
      <c r="AK4" s="21" t="s">
        <v>190</v>
      </c>
      <c r="AL4" s="21" t="s">
        <v>203</v>
      </c>
      <c r="AM4" s="88" t="s">
        <v>204</v>
      </c>
      <c r="AN4" s="22">
        <v>182</v>
      </c>
      <c r="AO4" s="22">
        <v>7</v>
      </c>
      <c r="AP4" s="22">
        <v>0</v>
      </c>
      <c r="AQ4" s="22">
        <v>50</v>
      </c>
      <c r="AR4" s="22">
        <v>0</v>
      </c>
      <c r="AS4" s="22">
        <v>7</v>
      </c>
      <c r="AT4" s="22">
        <v>10</v>
      </c>
      <c r="AU4" s="316">
        <f t="shared" ref="AU4:AU67" si="1">SUM(AN4:AT4)</f>
        <v>256</v>
      </c>
      <c r="AV4" s="22">
        <v>190</v>
      </c>
      <c r="AW4" s="22">
        <v>7</v>
      </c>
      <c r="AX4" s="22">
        <v>0</v>
      </c>
      <c r="AY4" s="22">
        <v>50</v>
      </c>
      <c r="AZ4" s="22">
        <v>0</v>
      </c>
      <c r="BA4" s="22">
        <v>7</v>
      </c>
      <c r="BB4" s="22">
        <v>10</v>
      </c>
      <c r="BC4" s="316">
        <f t="shared" ref="BC4:BC67" si="2">SUM(AV4:BB4)</f>
        <v>264</v>
      </c>
      <c r="BD4" s="58">
        <f t="shared" ref="BD4:BD67" si="3">AV4-AN4</f>
        <v>8</v>
      </c>
      <c r="BE4" s="58">
        <f t="shared" ref="BE4:BE67" si="4">AW4-AO4</f>
        <v>0</v>
      </c>
      <c r="BF4" s="58">
        <f t="shared" ref="BF4:BF67" si="5">AX4-AP4</f>
        <v>0</v>
      </c>
      <c r="BG4" s="58">
        <f t="shared" ref="BG4:BG67" si="6">AY4-AQ4</f>
        <v>0</v>
      </c>
      <c r="BH4" s="58">
        <f t="shared" ref="BH4:BH67" si="7">AZ4-AR4</f>
        <v>0</v>
      </c>
      <c r="BI4" s="58">
        <f t="shared" ref="BI4:BI67" si="8">BA4-AS4</f>
        <v>0</v>
      </c>
      <c r="BJ4" s="58">
        <f t="shared" ref="BJ4:BJ67" si="9">BB4-AT4</f>
        <v>0</v>
      </c>
      <c r="BK4" s="58">
        <f t="shared" ref="BK4:BK67" si="10">BC4-AU4</f>
        <v>8</v>
      </c>
    </row>
    <row r="5" spans="1:63" ht="27" customHeight="1">
      <c r="A5" s="13">
        <f t="shared" ref="A5:A68" si="11">1+A4</f>
        <v>3</v>
      </c>
      <c r="B5" s="14" t="s">
        <v>205</v>
      </c>
      <c r="C5" s="10">
        <v>18</v>
      </c>
      <c r="D5" s="76" t="s">
        <v>206</v>
      </c>
      <c r="E5" s="77">
        <v>130097677</v>
      </c>
      <c r="F5" s="78" t="s">
        <v>178</v>
      </c>
      <c r="G5" s="79" t="s">
        <v>207</v>
      </c>
      <c r="H5" s="15" t="s">
        <v>94</v>
      </c>
      <c r="I5" s="16" t="s">
        <v>208</v>
      </c>
      <c r="J5" s="80" t="s">
        <v>209</v>
      </c>
      <c r="K5" s="81">
        <v>33771</v>
      </c>
      <c r="L5" s="82" t="s">
        <v>179</v>
      </c>
      <c r="M5" s="83">
        <v>41577</v>
      </c>
      <c r="N5" s="83"/>
      <c r="O5" s="17" t="s">
        <v>14</v>
      </c>
      <c r="P5" s="18" t="s">
        <v>210</v>
      </c>
      <c r="Q5" s="18" t="s">
        <v>181</v>
      </c>
      <c r="R5" s="19" t="s">
        <v>182</v>
      </c>
      <c r="S5" s="19" t="s">
        <v>211</v>
      </c>
      <c r="T5" s="20"/>
      <c r="U5" s="20"/>
      <c r="V5" s="84" t="s">
        <v>184</v>
      </c>
      <c r="W5" s="84">
        <v>1542</v>
      </c>
      <c r="X5" s="84">
        <v>9</v>
      </c>
      <c r="Y5" s="85" t="s">
        <v>212</v>
      </c>
      <c r="Z5" s="86"/>
      <c r="AA5" s="86" t="s">
        <v>186</v>
      </c>
      <c r="AB5" s="21"/>
      <c r="AC5" s="21" t="s">
        <v>213</v>
      </c>
      <c r="AD5" s="21" t="s">
        <v>188</v>
      </c>
      <c r="AE5" s="21"/>
      <c r="AF5" s="89"/>
      <c r="AG5" s="21"/>
      <c r="AH5" s="21"/>
      <c r="AI5" s="21"/>
      <c r="AJ5" s="21" t="s">
        <v>190</v>
      </c>
      <c r="AK5" s="21" t="s">
        <v>190</v>
      </c>
      <c r="AL5" s="21" t="s">
        <v>203</v>
      </c>
      <c r="AM5" s="88" t="s">
        <v>214</v>
      </c>
      <c r="AN5" s="22">
        <v>260</v>
      </c>
      <c r="AO5" s="22">
        <v>7</v>
      </c>
      <c r="AP5" s="22">
        <v>0</v>
      </c>
      <c r="AQ5" s="22">
        <v>52</v>
      </c>
      <c r="AR5" s="22">
        <v>66</v>
      </c>
      <c r="AS5" s="22">
        <v>7</v>
      </c>
      <c r="AT5" s="22">
        <v>10</v>
      </c>
      <c r="AU5" s="316">
        <f t="shared" si="1"/>
        <v>402</v>
      </c>
      <c r="AV5" s="22">
        <v>260</v>
      </c>
      <c r="AW5" s="22">
        <v>7</v>
      </c>
      <c r="AX5" s="22">
        <v>0</v>
      </c>
      <c r="AY5" s="22">
        <v>52</v>
      </c>
      <c r="AZ5" s="22">
        <v>66</v>
      </c>
      <c r="BA5" s="22">
        <v>7</v>
      </c>
      <c r="BB5" s="22">
        <v>10</v>
      </c>
      <c r="BC5" s="316">
        <f t="shared" si="2"/>
        <v>402</v>
      </c>
      <c r="BD5" s="58">
        <f t="shared" si="3"/>
        <v>0</v>
      </c>
      <c r="BE5" s="58">
        <f t="shared" si="4"/>
        <v>0</v>
      </c>
      <c r="BF5" s="58">
        <f t="shared" si="5"/>
        <v>0</v>
      </c>
      <c r="BG5" s="58">
        <f t="shared" si="6"/>
        <v>0</v>
      </c>
      <c r="BH5" s="58">
        <f t="shared" si="7"/>
        <v>0</v>
      </c>
      <c r="BI5" s="58">
        <f t="shared" si="8"/>
        <v>0</v>
      </c>
      <c r="BJ5" s="58">
        <f t="shared" si="9"/>
        <v>0</v>
      </c>
      <c r="BK5" s="58">
        <f t="shared" si="10"/>
        <v>0</v>
      </c>
    </row>
    <row r="6" spans="1:63" ht="27" customHeight="1">
      <c r="A6" s="13">
        <f t="shared" si="11"/>
        <v>4</v>
      </c>
      <c r="B6" s="14" t="s">
        <v>215</v>
      </c>
      <c r="C6" s="10">
        <v>20</v>
      </c>
      <c r="D6" s="90" t="s">
        <v>216</v>
      </c>
      <c r="E6" s="77">
        <v>50444045</v>
      </c>
      <c r="F6" s="78" t="s">
        <v>217</v>
      </c>
      <c r="G6" s="79" t="s">
        <v>218</v>
      </c>
      <c r="H6" s="15" t="s">
        <v>12</v>
      </c>
      <c r="I6" s="16" t="s">
        <v>13</v>
      </c>
      <c r="J6" s="80" t="s">
        <v>209</v>
      </c>
      <c r="K6" s="81">
        <v>31525</v>
      </c>
      <c r="L6" s="82" t="s">
        <v>179</v>
      </c>
      <c r="M6" s="83">
        <v>41577</v>
      </c>
      <c r="N6" s="83"/>
      <c r="O6" s="17" t="s">
        <v>14</v>
      </c>
      <c r="P6" s="18" t="s">
        <v>15</v>
      </c>
      <c r="Q6" s="18" t="s">
        <v>181</v>
      </c>
      <c r="R6" s="19" t="s">
        <v>182</v>
      </c>
      <c r="S6" s="19" t="s">
        <v>219</v>
      </c>
      <c r="T6" s="20"/>
      <c r="U6" s="20"/>
      <c r="V6" s="84" t="s">
        <v>184</v>
      </c>
      <c r="W6" s="84">
        <v>474</v>
      </c>
      <c r="X6" s="84">
        <v>2</v>
      </c>
      <c r="Y6" s="85" t="s">
        <v>184</v>
      </c>
      <c r="Z6" s="59"/>
      <c r="AA6" s="86" t="s">
        <v>186</v>
      </c>
      <c r="AB6" s="59"/>
      <c r="AC6" s="21" t="s">
        <v>213</v>
      </c>
      <c r="AD6" s="59"/>
      <c r="AE6" s="59"/>
      <c r="AF6" s="87"/>
      <c r="AG6" s="59"/>
      <c r="AH6" s="59"/>
      <c r="AI6" s="59"/>
      <c r="AJ6" s="21" t="s">
        <v>190</v>
      </c>
      <c r="AK6" s="21" t="s">
        <v>190</v>
      </c>
      <c r="AL6" s="21" t="s">
        <v>203</v>
      </c>
      <c r="AM6" s="88" t="s">
        <v>220</v>
      </c>
      <c r="AN6" s="22">
        <v>182</v>
      </c>
      <c r="AO6" s="22">
        <v>7</v>
      </c>
      <c r="AP6" s="22">
        <v>0</v>
      </c>
      <c r="AQ6" s="22">
        <v>97</v>
      </c>
      <c r="AR6" s="22">
        <v>25</v>
      </c>
      <c r="AS6" s="22">
        <v>7</v>
      </c>
      <c r="AT6" s="22">
        <v>10</v>
      </c>
      <c r="AU6" s="316">
        <f t="shared" si="1"/>
        <v>328</v>
      </c>
      <c r="AV6" s="22">
        <v>190</v>
      </c>
      <c r="AW6" s="22">
        <v>7</v>
      </c>
      <c r="AX6" s="22">
        <v>0</v>
      </c>
      <c r="AY6" s="22">
        <v>97</v>
      </c>
      <c r="AZ6" s="22">
        <v>25</v>
      </c>
      <c r="BA6" s="22">
        <v>7</v>
      </c>
      <c r="BB6" s="22">
        <v>10</v>
      </c>
      <c r="BC6" s="316">
        <f t="shared" si="2"/>
        <v>336</v>
      </c>
      <c r="BD6" s="58">
        <f t="shared" si="3"/>
        <v>8</v>
      </c>
      <c r="BE6" s="58">
        <f t="shared" si="4"/>
        <v>0</v>
      </c>
      <c r="BF6" s="58">
        <f t="shared" si="5"/>
        <v>0</v>
      </c>
      <c r="BG6" s="58">
        <f t="shared" si="6"/>
        <v>0</v>
      </c>
      <c r="BH6" s="58">
        <f t="shared" si="7"/>
        <v>0</v>
      </c>
      <c r="BI6" s="58">
        <f t="shared" si="8"/>
        <v>0</v>
      </c>
      <c r="BJ6" s="58">
        <f t="shared" si="9"/>
        <v>0</v>
      </c>
      <c r="BK6" s="58">
        <f t="shared" si="10"/>
        <v>8</v>
      </c>
    </row>
    <row r="7" spans="1:63" ht="27" customHeight="1">
      <c r="A7" s="13">
        <f t="shared" si="11"/>
        <v>5</v>
      </c>
      <c r="B7" s="14" t="s">
        <v>221</v>
      </c>
      <c r="C7" s="10">
        <v>24</v>
      </c>
      <c r="D7" s="91" t="s">
        <v>222</v>
      </c>
      <c r="E7" s="92"/>
      <c r="F7" s="78" t="s">
        <v>223</v>
      </c>
      <c r="G7" s="79" t="s">
        <v>224</v>
      </c>
      <c r="H7" s="15" t="s">
        <v>225</v>
      </c>
      <c r="I7" s="16" t="s">
        <v>226</v>
      </c>
      <c r="J7" s="80" t="s">
        <v>178</v>
      </c>
      <c r="K7" s="81">
        <v>30165</v>
      </c>
      <c r="L7" s="93" t="s">
        <v>179</v>
      </c>
      <c r="M7" s="37">
        <v>41579</v>
      </c>
      <c r="N7" s="37"/>
      <c r="O7" s="17" t="s">
        <v>34</v>
      </c>
      <c r="P7" s="18" t="s">
        <v>227</v>
      </c>
      <c r="Q7" s="18" t="s">
        <v>181</v>
      </c>
      <c r="R7" s="19" t="s">
        <v>182</v>
      </c>
      <c r="S7" s="19" t="s">
        <v>228</v>
      </c>
      <c r="T7" s="20"/>
      <c r="U7" s="20"/>
      <c r="V7" s="84" t="s">
        <v>184</v>
      </c>
      <c r="W7" s="84" t="s">
        <v>200</v>
      </c>
      <c r="X7" s="19">
        <v>4</v>
      </c>
      <c r="Y7" s="85" t="s">
        <v>184</v>
      </c>
      <c r="Z7" s="86" t="s">
        <v>186</v>
      </c>
      <c r="AA7" s="59"/>
      <c r="AB7" s="59"/>
      <c r="AC7" s="59"/>
      <c r="AD7" s="59"/>
      <c r="AE7" s="59"/>
      <c r="AF7" s="87"/>
      <c r="AG7" s="59"/>
      <c r="AH7" s="59"/>
      <c r="AI7" s="59"/>
      <c r="AJ7" s="21" t="s">
        <v>190</v>
      </c>
      <c r="AK7" s="21" t="s">
        <v>190</v>
      </c>
      <c r="AL7" s="21" t="s">
        <v>203</v>
      </c>
      <c r="AM7" s="88" t="s">
        <v>229</v>
      </c>
      <c r="AN7" s="22">
        <v>182</v>
      </c>
      <c r="AO7" s="22">
        <v>7</v>
      </c>
      <c r="AP7" s="22">
        <v>0</v>
      </c>
      <c r="AQ7" s="22">
        <v>37</v>
      </c>
      <c r="AR7" s="22">
        <v>15</v>
      </c>
      <c r="AS7" s="22">
        <v>7</v>
      </c>
      <c r="AT7" s="22">
        <v>10</v>
      </c>
      <c r="AU7" s="316">
        <f t="shared" si="1"/>
        <v>258</v>
      </c>
      <c r="AV7" s="22">
        <v>190</v>
      </c>
      <c r="AW7" s="22">
        <v>7</v>
      </c>
      <c r="AX7" s="22">
        <v>0</v>
      </c>
      <c r="AY7" s="22">
        <v>37</v>
      </c>
      <c r="AZ7" s="22">
        <v>15</v>
      </c>
      <c r="BA7" s="22">
        <v>7</v>
      </c>
      <c r="BB7" s="22">
        <v>10</v>
      </c>
      <c r="BC7" s="316">
        <f t="shared" si="2"/>
        <v>266</v>
      </c>
      <c r="BD7" s="58">
        <f t="shared" si="3"/>
        <v>8</v>
      </c>
      <c r="BE7" s="58">
        <f t="shared" si="4"/>
        <v>0</v>
      </c>
      <c r="BF7" s="58">
        <f t="shared" si="5"/>
        <v>0</v>
      </c>
      <c r="BG7" s="58">
        <f t="shared" si="6"/>
        <v>0</v>
      </c>
      <c r="BH7" s="58">
        <f t="shared" si="7"/>
        <v>0</v>
      </c>
      <c r="BI7" s="58">
        <f t="shared" si="8"/>
        <v>0</v>
      </c>
      <c r="BJ7" s="58">
        <f t="shared" si="9"/>
        <v>0</v>
      </c>
      <c r="BK7" s="58">
        <f t="shared" si="10"/>
        <v>8</v>
      </c>
    </row>
    <row r="8" spans="1:63" ht="27" customHeight="1">
      <c r="A8" s="13">
        <f t="shared" si="11"/>
        <v>6</v>
      </c>
      <c r="B8" s="10" t="s">
        <v>230</v>
      </c>
      <c r="C8" s="10">
        <v>28</v>
      </c>
      <c r="D8" s="91" t="s">
        <v>231</v>
      </c>
      <c r="E8" s="85">
        <v>50659721</v>
      </c>
      <c r="F8" s="78" t="s">
        <v>195</v>
      </c>
      <c r="G8" s="79" t="s">
        <v>232</v>
      </c>
      <c r="H8" s="15" t="s">
        <v>96</v>
      </c>
      <c r="I8" s="16" t="s">
        <v>97</v>
      </c>
      <c r="J8" s="80" t="s">
        <v>178</v>
      </c>
      <c r="K8" s="81">
        <v>31731</v>
      </c>
      <c r="L8" s="93" t="s">
        <v>179</v>
      </c>
      <c r="M8" s="37">
        <v>41579</v>
      </c>
      <c r="N8" s="37"/>
      <c r="O8" s="19" t="s">
        <v>87</v>
      </c>
      <c r="P8" s="18" t="s">
        <v>81</v>
      </c>
      <c r="Q8" s="18" t="s">
        <v>181</v>
      </c>
      <c r="R8" s="19" t="s">
        <v>182</v>
      </c>
      <c r="S8" s="19" t="s">
        <v>219</v>
      </c>
      <c r="T8" s="20"/>
      <c r="U8" s="20"/>
      <c r="V8" s="84" t="s">
        <v>184</v>
      </c>
      <c r="W8" s="84" t="s">
        <v>184</v>
      </c>
      <c r="X8" s="84">
        <v>8</v>
      </c>
      <c r="Y8" s="85" t="s">
        <v>233</v>
      </c>
      <c r="Z8" s="94" t="s">
        <v>186</v>
      </c>
      <c r="AA8" s="95"/>
      <c r="AB8" s="95"/>
      <c r="AC8" s="95"/>
      <c r="AD8" s="95"/>
      <c r="AE8" s="95"/>
      <c r="AF8" s="96"/>
      <c r="AG8" s="95"/>
      <c r="AH8" s="95"/>
      <c r="AI8" s="95"/>
      <c r="AJ8" s="84" t="s">
        <v>190</v>
      </c>
      <c r="AK8" s="84" t="s">
        <v>190</v>
      </c>
      <c r="AL8" s="84" t="s">
        <v>203</v>
      </c>
      <c r="AM8" s="97" t="s">
        <v>229</v>
      </c>
      <c r="AN8" s="22">
        <v>182</v>
      </c>
      <c r="AO8" s="22">
        <v>0</v>
      </c>
      <c r="AP8" s="22">
        <v>0</v>
      </c>
      <c r="AQ8" s="22">
        <v>20</v>
      </c>
      <c r="AR8" s="22">
        <v>10</v>
      </c>
      <c r="AS8" s="22">
        <v>7</v>
      </c>
      <c r="AT8" s="22">
        <v>10</v>
      </c>
      <c r="AU8" s="316">
        <f t="shared" si="1"/>
        <v>229</v>
      </c>
      <c r="AV8" s="22">
        <v>190</v>
      </c>
      <c r="AW8" s="22">
        <v>0</v>
      </c>
      <c r="AX8" s="22">
        <v>0</v>
      </c>
      <c r="AY8" s="22">
        <v>20</v>
      </c>
      <c r="AZ8" s="22">
        <v>10</v>
      </c>
      <c r="BA8" s="22">
        <v>7</v>
      </c>
      <c r="BB8" s="22">
        <v>10</v>
      </c>
      <c r="BC8" s="316">
        <f t="shared" si="2"/>
        <v>237</v>
      </c>
      <c r="BD8" s="58">
        <f t="shared" si="3"/>
        <v>8</v>
      </c>
      <c r="BE8" s="58">
        <f t="shared" si="4"/>
        <v>0</v>
      </c>
      <c r="BF8" s="58">
        <f t="shared" si="5"/>
        <v>0</v>
      </c>
      <c r="BG8" s="58">
        <f t="shared" si="6"/>
        <v>0</v>
      </c>
      <c r="BH8" s="58">
        <f t="shared" si="7"/>
        <v>0</v>
      </c>
      <c r="BI8" s="58">
        <f t="shared" si="8"/>
        <v>0</v>
      </c>
      <c r="BJ8" s="58">
        <f t="shared" si="9"/>
        <v>0</v>
      </c>
      <c r="BK8" s="58">
        <f t="shared" si="10"/>
        <v>8</v>
      </c>
    </row>
    <row r="9" spans="1:63" ht="27" customHeight="1">
      <c r="A9" s="13">
        <f t="shared" si="11"/>
        <v>7</v>
      </c>
      <c r="B9" s="14" t="s">
        <v>234</v>
      </c>
      <c r="C9" s="10">
        <v>30</v>
      </c>
      <c r="D9" s="91" t="s">
        <v>235</v>
      </c>
      <c r="E9" s="85">
        <v>110365001</v>
      </c>
      <c r="F9" s="78" t="s">
        <v>236</v>
      </c>
      <c r="G9" s="79" t="s">
        <v>237</v>
      </c>
      <c r="H9" s="15" t="s">
        <v>238</v>
      </c>
      <c r="I9" s="16" t="s">
        <v>60</v>
      </c>
      <c r="J9" s="80" t="s">
        <v>178</v>
      </c>
      <c r="K9" s="81">
        <v>29927</v>
      </c>
      <c r="L9" s="93" t="s">
        <v>179</v>
      </c>
      <c r="M9" s="37">
        <v>41579</v>
      </c>
      <c r="N9" s="37"/>
      <c r="O9" s="17" t="s">
        <v>34</v>
      </c>
      <c r="P9" s="18" t="s">
        <v>180</v>
      </c>
      <c r="Q9" s="18" t="s">
        <v>181</v>
      </c>
      <c r="R9" s="19" t="s">
        <v>182</v>
      </c>
      <c r="S9" s="19" t="s">
        <v>228</v>
      </c>
      <c r="T9" s="20"/>
      <c r="U9" s="20"/>
      <c r="V9" s="84" t="s">
        <v>200</v>
      </c>
      <c r="W9" s="84" t="s">
        <v>184</v>
      </c>
      <c r="X9" s="19">
        <v>10</v>
      </c>
      <c r="Y9" s="85" t="s">
        <v>239</v>
      </c>
      <c r="Z9" s="59"/>
      <c r="AA9" s="86" t="s">
        <v>186</v>
      </c>
      <c r="AB9" s="59"/>
      <c r="AC9" s="21" t="s">
        <v>240</v>
      </c>
      <c r="AD9" s="21" t="s">
        <v>188</v>
      </c>
      <c r="AE9" s="21" t="s">
        <v>189</v>
      </c>
      <c r="AF9" s="87"/>
      <c r="AG9" s="59"/>
      <c r="AH9" s="59"/>
      <c r="AI9" s="59"/>
      <c r="AJ9" s="21" t="s">
        <v>190</v>
      </c>
      <c r="AK9" s="21" t="s">
        <v>190</v>
      </c>
      <c r="AL9" s="21" t="s">
        <v>203</v>
      </c>
      <c r="AM9" s="88" t="s">
        <v>241</v>
      </c>
      <c r="AN9" s="22">
        <v>182</v>
      </c>
      <c r="AO9" s="22">
        <v>7</v>
      </c>
      <c r="AP9" s="22">
        <v>0</v>
      </c>
      <c r="AQ9" s="22">
        <v>150</v>
      </c>
      <c r="AR9" s="22">
        <v>75</v>
      </c>
      <c r="AS9" s="22">
        <v>7</v>
      </c>
      <c r="AT9" s="22">
        <v>10</v>
      </c>
      <c r="AU9" s="316">
        <f t="shared" si="1"/>
        <v>431</v>
      </c>
      <c r="AV9" s="22">
        <v>190</v>
      </c>
      <c r="AW9" s="22">
        <v>7</v>
      </c>
      <c r="AX9" s="22">
        <v>0</v>
      </c>
      <c r="AY9" s="22">
        <v>150</v>
      </c>
      <c r="AZ9" s="22">
        <v>75</v>
      </c>
      <c r="BA9" s="22">
        <v>7</v>
      </c>
      <c r="BB9" s="22">
        <v>10</v>
      </c>
      <c r="BC9" s="316">
        <f t="shared" si="2"/>
        <v>439</v>
      </c>
      <c r="BD9" s="58">
        <f t="shared" si="3"/>
        <v>8</v>
      </c>
      <c r="BE9" s="58">
        <f t="shared" si="4"/>
        <v>0</v>
      </c>
      <c r="BF9" s="58">
        <f t="shared" si="5"/>
        <v>0</v>
      </c>
      <c r="BG9" s="58">
        <f t="shared" si="6"/>
        <v>0</v>
      </c>
      <c r="BH9" s="58">
        <f t="shared" si="7"/>
        <v>0</v>
      </c>
      <c r="BI9" s="58">
        <f t="shared" si="8"/>
        <v>0</v>
      </c>
      <c r="BJ9" s="58">
        <f t="shared" si="9"/>
        <v>0</v>
      </c>
      <c r="BK9" s="58">
        <f t="shared" si="10"/>
        <v>8</v>
      </c>
    </row>
    <row r="10" spans="1:63" ht="27" customHeight="1">
      <c r="A10" s="13">
        <f t="shared" si="11"/>
        <v>8</v>
      </c>
      <c r="B10" s="14" t="s">
        <v>242</v>
      </c>
      <c r="C10" s="10">
        <v>32</v>
      </c>
      <c r="D10" s="91" t="s">
        <v>243</v>
      </c>
      <c r="E10" s="85">
        <v>130112728</v>
      </c>
      <c r="F10" s="78" t="s">
        <v>244</v>
      </c>
      <c r="G10" s="79" t="s">
        <v>245</v>
      </c>
      <c r="H10" s="15" t="s">
        <v>246</v>
      </c>
      <c r="I10" s="16" t="s">
        <v>247</v>
      </c>
      <c r="J10" s="80" t="s">
        <v>178</v>
      </c>
      <c r="K10" s="81">
        <v>27885</v>
      </c>
      <c r="L10" s="93" t="s">
        <v>179</v>
      </c>
      <c r="M10" s="37">
        <v>41579</v>
      </c>
      <c r="N10" s="37"/>
      <c r="O10" s="17" t="s">
        <v>34</v>
      </c>
      <c r="P10" s="18" t="s">
        <v>248</v>
      </c>
      <c r="Q10" s="18" t="s">
        <v>249</v>
      </c>
      <c r="R10" s="19" t="s">
        <v>182</v>
      </c>
      <c r="S10" s="19" t="s">
        <v>211</v>
      </c>
      <c r="T10" s="20"/>
      <c r="U10" s="20"/>
      <c r="V10" s="84" t="s">
        <v>184</v>
      </c>
      <c r="W10" s="84" t="s">
        <v>184</v>
      </c>
      <c r="X10" s="84" t="s">
        <v>190</v>
      </c>
      <c r="Y10" s="85" t="s">
        <v>250</v>
      </c>
      <c r="Z10" s="59"/>
      <c r="AA10" s="86" t="s">
        <v>186</v>
      </c>
      <c r="AB10" s="59"/>
      <c r="AC10" s="21" t="s">
        <v>213</v>
      </c>
      <c r="AD10" s="21" t="s">
        <v>188</v>
      </c>
      <c r="AE10" s="59"/>
      <c r="AF10" s="87"/>
      <c r="AG10" s="59"/>
      <c r="AH10" s="59"/>
      <c r="AI10" s="59"/>
      <c r="AJ10" s="21" t="s">
        <v>190</v>
      </c>
      <c r="AK10" s="21" t="s">
        <v>190</v>
      </c>
      <c r="AL10" s="21" t="s">
        <v>190</v>
      </c>
      <c r="AM10" s="88" t="s">
        <v>251</v>
      </c>
      <c r="AN10" s="22">
        <v>182</v>
      </c>
      <c r="AO10" s="22">
        <v>7</v>
      </c>
      <c r="AP10" s="22">
        <v>0</v>
      </c>
      <c r="AQ10" s="22">
        <v>235</v>
      </c>
      <c r="AR10" s="22">
        <v>50</v>
      </c>
      <c r="AS10" s="22">
        <v>7</v>
      </c>
      <c r="AT10" s="22">
        <v>10</v>
      </c>
      <c r="AU10" s="316">
        <f t="shared" si="1"/>
        <v>491</v>
      </c>
      <c r="AV10" s="22">
        <v>190</v>
      </c>
      <c r="AW10" s="22">
        <v>7</v>
      </c>
      <c r="AX10" s="22">
        <v>0</v>
      </c>
      <c r="AY10" s="22">
        <v>235</v>
      </c>
      <c r="AZ10" s="22">
        <v>50</v>
      </c>
      <c r="BA10" s="22">
        <v>7</v>
      </c>
      <c r="BB10" s="22">
        <v>10</v>
      </c>
      <c r="BC10" s="316">
        <f t="shared" si="2"/>
        <v>499</v>
      </c>
      <c r="BD10" s="58">
        <f t="shared" si="3"/>
        <v>8</v>
      </c>
      <c r="BE10" s="58">
        <f t="shared" si="4"/>
        <v>0</v>
      </c>
      <c r="BF10" s="58">
        <f t="shared" si="5"/>
        <v>0</v>
      </c>
      <c r="BG10" s="58">
        <f t="shared" si="6"/>
        <v>0</v>
      </c>
      <c r="BH10" s="58">
        <f t="shared" si="7"/>
        <v>0</v>
      </c>
      <c r="BI10" s="58">
        <f t="shared" si="8"/>
        <v>0</v>
      </c>
      <c r="BJ10" s="58">
        <f t="shared" si="9"/>
        <v>0</v>
      </c>
      <c r="BK10" s="58">
        <f t="shared" si="10"/>
        <v>8</v>
      </c>
    </row>
    <row r="11" spans="1:63" ht="27" customHeight="1">
      <c r="A11" s="13">
        <f t="shared" si="11"/>
        <v>9</v>
      </c>
      <c r="B11" s="14" t="s">
        <v>252</v>
      </c>
      <c r="C11" s="10">
        <v>39</v>
      </c>
      <c r="D11" s="76" t="s">
        <v>253</v>
      </c>
      <c r="E11" s="77">
        <v>130079599</v>
      </c>
      <c r="F11" s="78" t="s">
        <v>223</v>
      </c>
      <c r="G11" s="79" t="s">
        <v>254</v>
      </c>
      <c r="H11" s="15" t="s">
        <v>85</v>
      </c>
      <c r="I11" s="27" t="s">
        <v>255</v>
      </c>
      <c r="J11" s="98" t="s">
        <v>178</v>
      </c>
      <c r="K11" s="99">
        <v>32600</v>
      </c>
      <c r="L11" s="82" t="s">
        <v>179</v>
      </c>
      <c r="M11" s="83">
        <v>41579</v>
      </c>
      <c r="N11" s="83"/>
      <c r="O11" s="17" t="s">
        <v>26</v>
      </c>
      <c r="P11" s="18" t="s">
        <v>27</v>
      </c>
      <c r="Q11" s="18" t="s">
        <v>181</v>
      </c>
      <c r="R11" s="19" t="s">
        <v>182</v>
      </c>
      <c r="S11" s="19" t="s">
        <v>256</v>
      </c>
      <c r="T11" s="20"/>
      <c r="U11" s="20"/>
      <c r="V11" s="84" t="s">
        <v>200</v>
      </c>
      <c r="W11" s="84">
        <v>1555</v>
      </c>
      <c r="X11" s="84">
        <v>9</v>
      </c>
      <c r="Y11" s="85" t="s">
        <v>257</v>
      </c>
      <c r="Z11" s="59"/>
      <c r="AA11" s="86" t="s">
        <v>186</v>
      </c>
      <c r="AB11" s="59"/>
      <c r="AC11" s="21" t="s">
        <v>213</v>
      </c>
      <c r="AD11" s="21" t="s">
        <v>189</v>
      </c>
      <c r="AE11" s="59"/>
      <c r="AF11" s="87"/>
      <c r="AG11" s="59"/>
      <c r="AH11" s="59"/>
      <c r="AI11" s="59"/>
      <c r="AJ11" s="21" t="s">
        <v>190</v>
      </c>
      <c r="AK11" s="21" t="s">
        <v>190</v>
      </c>
      <c r="AL11" s="21" t="s">
        <v>203</v>
      </c>
      <c r="AM11" s="88" t="s">
        <v>258</v>
      </c>
      <c r="AN11" s="22">
        <v>182</v>
      </c>
      <c r="AO11" s="22">
        <v>7</v>
      </c>
      <c r="AP11" s="22">
        <v>0</v>
      </c>
      <c r="AQ11" s="22">
        <v>234</v>
      </c>
      <c r="AR11" s="22">
        <v>234</v>
      </c>
      <c r="AS11" s="22">
        <v>7</v>
      </c>
      <c r="AT11" s="22">
        <v>10</v>
      </c>
      <c r="AU11" s="316">
        <f t="shared" si="1"/>
        <v>674</v>
      </c>
      <c r="AV11" s="22">
        <v>190</v>
      </c>
      <c r="AW11" s="22">
        <v>7</v>
      </c>
      <c r="AX11" s="22">
        <v>0</v>
      </c>
      <c r="AY11" s="22">
        <v>234</v>
      </c>
      <c r="AZ11" s="22">
        <v>234</v>
      </c>
      <c r="BA11" s="22">
        <v>7</v>
      </c>
      <c r="BB11" s="22">
        <v>10</v>
      </c>
      <c r="BC11" s="316">
        <f t="shared" si="2"/>
        <v>682</v>
      </c>
      <c r="BD11" s="58">
        <f t="shared" si="3"/>
        <v>8</v>
      </c>
      <c r="BE11" s="58">
        <f t="shared" si="4"/>
        <v>0</v>
      </c>
      <c r="BF11" s="58">
        <f t="shared" si="5"/>
        <v>0</v>
      </c>
      <c r="BG11" s="58">
        <f t="shared" si="6"/>
        <v>0</v>
      </c>
      <c r="BH11" s="58">
        <f t="shared" si="7"/>
        <v>0</v>
      </c>
      <c r="BI11" s="58">
        <f t="shared" si="8"/>
        <v>0</v>
      </c>
      <c r="BJ11" s="58">
        <f t="shared" si="9"/>
        <v>0</v>
      </c>
      <c r="BK11" s="58">
        <f t="shared" si="10"/>
        <v>8</v>
      </c>
    </row>
    <row r="12" spans="1:63" ht="27" customHeight="1">
      <c r="A12" s="13">
        <f t="shared" si="11"/>
        <v>10</v>
      </c>
      <c r="B12" s="14" t="s">
        <v>259</v>
      </c>
      <c r="C12" s="10">
        <v>44</v>
      </c>
      <c r="D12" s="76" t="s">
        <v>260</v>
      </c>
      <c r="E12" s="85">
        <v>110476977</v>
      </c>
      <c r="F12" s="78" t="s">
        <v>261</v>
      </c>
      <c r="G12" s="79" t="s">
        <v>262</v>
      </c>
      <c r="H12" s="15" t="s">
        <v>263</v>
      </c>
      <c r="I12" s="16" t="s">
        <v>264</v>
      </c>
      <c r="J12" s="80" t="s">
        <v>178</v>
      </c>
      <c r="K12" s="81">
        <v>31836</v>
      </c>
      <c r="L12" s="93" t="s">
        <v>179</v>
      </c>
      <c r="M12" s="37">
        <v>41579</v>
      </c>
      <c r="N12" s="37"/>
      <c r="O12" s="19" t="s">
        <v>34</v>
      </c>
      <c r="P12" s="18" t="s">
        <v>265</v>
      </c>
      <c r="Q12" s="18" t="s">
        <v>181</v>
      </c>
      <c r="R12" s="19" t="s">
        <v>182</v>
      </c>
      <c r="S12" s="19" t="s">
        <v>228</v>
      </c>
      <c r="T12" s="20"/>
      <c r="U12" s="20"/>
      <c r="V12" s="84" t="s">
        <v>184</v>
      </c>
      <c r="W12" s="84">
        <v>3164</v>
      </c>
      <c r="X12" s="84">
        <v>9</v>
      </c>
      <c r="Y12" s="85" t="s">
        <v>184</v>
      </c>
      <c r="Z12" s="100"/>
      <c r="AA12" s="86" t="s">
        <v>186</v>
      </c>
      <c r="AB12" s="100"/>
      <c r="AC12" s="101" t="s">
        <v>202</v>
      </c>
      <c r="AD12" s="102" t="s">
        <v>188</v>
      </c>
      <c r="AE12" s="102" t="s">
        <v>188</v>
      </c>
      <c r="AF12" s="103"/>
      <c r="AG12" s="100"/>
      <c r="AH12" s="100"/>
      <c r="AI12" s="100"/>
      <c r="AJ12" s="21" t="s">
        <v>190</v>
      </c>
      <c r="AK12" s="21" t="s">
        <v>190</v>
      </c>
      <c r="AL12" s="101" t="s">
        <v>203</v>
      </c>
      <c r="AM12" s="104" t="s">
        <v>266</v>
      </c>
      <c r="AN12" s="22">
        <v>182</v>
      </c>
      <c r="AO12" s="22">
        <v>7</v>
      </c>
      <c r="AP12" s="22">
        <v>0</v>
      </c>
      <c r="AQ12" s="22">
        <v>30</v>
      </c>
      <c r="AR12" s="22">
        <v>10</v>
      </c>
      <c r="AS12" s="22">
        <v>7</v>
      </c>
      <c r="AT12" s="22">
        <v>10</v>
      </c>
      <c r="AU12" s="316">
        <f t="shared" si="1"/>
        <v>246</v>
      </c>
      <c r="AV12" s="22">
        <v>190</v>
      </c>
      <c r="AW12" s="22">
        <v>7</v>
      </c>
      <c r="AX12" s="22">
        <v>0</v>
      </c>
      <c r="AY12" s="22">
        <v>30</v>
      </c>
      <c r="AZ12" s="22">
        <v>10</v>
      </c>
      <c r="BA12" s="22">
        <v>7</v>
      </c>
      <c r="BB12" s="22">
        <v>10</v>
      </c>
      <c r="BC12" s="316">
        <f t="shared" si="2"/>
        <v>254</v>
      </c>
      <c r="BD12" s="58">
        <f t="shared" si="3"/>
        <v>8</v>
      </c>
      <c r="BE12" s="58">
        <f t="shared" si="4"/>
        <v>0</v>
      </c>
      <c r="BF12" s="58">
        <f t="shared" si="5"/>
        <v>0</v>
      </c>
      <c r="BG12" s="58">
        <f t="shared" si="6"/>
        <v>0</v>
      </c>
      <c r="BH12" s="58">
        <f t="shared" si="7"/>
        <v>0</v>
      </c>
      <c r="BI12" s="58">
        <f t="shared" si="8"/>
        <v>0</v>
      </c>
      <c r="BJ12" s="58">
        <f t="shared" si="9"/>
        <v>0</v>
      </c>
      <c r="BK12" s="58">
        <f t="shared" si="10"/>
        <v>8</v>
      </c>
    </row>
    <row r="13" spans="1:63" ht="27" customHeight="1">
      <c r="A13" s="13">
        <f t="shared" si="11"/>
        <v>11</v>
      </c>
      <c r="B13" s="14" t="s">
        <v>267</v>
      </c>
      <c r="C13" s="10">
        <v>47</v>
      </c>
      <c r="D13" s="76" t="s">
        <v>268</v>
      </c>
      <c r="E13" s="77">
        <v>130006899</v>
      </c>
      <c r="F13" s="106" t="s">
        <v>269</v>
      </c>
      <c r="G13" s="107" t="s">
        <v>270</v>
      </c>
      <c r="H13" s="26" t="s">
        <v>271</v>
      </c>
      <c r="I13" s="27" t="s">
        <v>272</v>
      </c>
      <c r="J13" s="98" t="s">
        <v>178</v>
      </c>
      <c r="K13" s="99">
        <v>24152</v>
      </c>
      <c r="L13" s="82" t="s">
        <v>179</v>
      </c>
      <c r="M13" s="83">
        <v>41583</v>
      </c>
      <c r="N13" s="83"/>
      <c r="O13" s="17" t="s">
        <v>34</v>
      </c>
      <c r="P13" s="18" t="s">
        <v>273</v>
      </c>
      <c r="Q13" s="18" t="s">
        <v>181</v>
      </c>
      <c r="R13" s="19" t="s">
        <v>182</v>
      </c>
      <c r="S13" s="19" t="s">
        <v>228</v>
      </c>
      <c r="T13" s="20"/>
      <c r="U13" s="20"/>
      <c r="V13" s="84" t="s">
        <v>200</v>
      </c>
      <c r="W13" s="84" t="s">
        <v>184</v>
      </c>
      <c r="X13" s="19">
        <v>5</v>
      </c>
      <c r="Y13" s="85" t="s">
        <v>274</v>
      </c>
      <c r="Z13" s="59"/>
      <c r="AA13" s="86" t="s">
        <v>186</v>
      </c>
      <c r="AB13" s="59"/>
      <c r="AC13" s="21" t="s">
        <v>202</v>
      </c>
      <c r="AD13" s="108" t="s">
        <v>187</v>
      </c>
      <c r="AE13" s="108" t="s">
        <v>187</v>
      </c>
      <c r="AF13" s="89" t="s">
        <v>188</v>
      </c>
      <c r="AG13" s="108" t="s">
        <v>188</v>
      </c>
      <c r="AH13" s="59"/>
      <c r="AI13" s="59"/>
      <c r="AJ13" s="21" t="s">
        <v>190</v>
      </c>
      <c r="AK13" s="21" t="s">
        <v>190</v>
      </c>
      <c r="AL13" s="21" t="s">
        <v>190</v>
      </c>
      <c r="AM13" s="88" t="s">
        <v>275</v>
      </c>
      <c r="AN13" s="22">
        <v>197</v>
      </c>
      <c r="AO13" s="22">
        <v>7</v>
      </c>
      <c r="AP13" s="22">
        <v>0</v>
      </c>
      <c r="AQ13" s="22">
        <v>0</v>
      </c>
      <c r="AR13" s="22">
        <v>0</v>
      </c>
      <c r="AS13" s="22">
        <v>7</v>
      </c>
      <c r="AT13" s="22">
        <v>10</v>
      </c>
      <c r="AU13" s="316">
        <f t="shared" si="1"/>
        <v>221</v>
      </c>
      <c r="AV13" s="22">
        <v>197</v>
      </c>
      <c r="AW13" s="22">
        <v>7</v>
      </c>
      <c r="AX13" s="22">
        <v>0</v>
      </c>
      <c r="AY13" s="22">
        <v>0</v>
      </c>
      <c r="AZ13" s="22">
        <v>0</v>
      </c>
      <c r="BA13" s="22">
        <v>7</v>
      </c>
      <c r="BB13" s="22">
        <v>10</v>
      </c>
      <c r="BC13" s="316">
        <f t="shared" si="2"/>
        <v>221</v>
      </c>
      <c r="BD13" s="58">
        <f t="shared" si="3"/>
        <v>0</v>
      </c>
      <c r="BE13" s="58">
        <f t="shared" si="4"/>
        <v>0</v>
      </c>
      <c r="BF13" s="58">
        <f t="shared" si="5"/>
        <v>0</v>
      </c>
      <c r="BG13" s="58">
        <f t="shared" si="6"/>
        <v>0</v>
      </c>
      <c r="BH13" s="58">
        <f t="shared" si="7"/>
        <v>0</v>
      </c>
      <c r="BI13" s="58">
        <f t="shared" si="8"/>
        <v>0</v>
      </c>
      <c r="BJ13" s="58">
        <f t="shared" si="9"/>
        <v>0</v>
      </c>
      <c r="BK13" s="58">
        <f t="shared" si="10"/>
        <v>0</v>
      </c>
    </row>
    <row r="14" spans="1:63" ht="27" customHeight="1">
      <c r="A14" s="13">
        <f t="shared" si="11"/>
        <v>12</v>
      </c>
      <c r="B14" s="14" t="s">
        <v>276</v>
      </c>
      <c r="C14" s="109">
        <v>66</v>
      </c>
      <c r="D14" s="91" t="s">
        <v>277</v>
      </c>
      <c r="E14" s="85">
        <v>130053226</v>
      </c>
      <c r="F14" s="78" t="s">
        <v>278</v>
      </c>
      <c r="G14" s="79" t="s">
        <v>279</v>
      </c>
      <c r="H14" s="15" t="s">
        <v>280</v>
      </c>
      <c r="I14" s="16" t="s">
        <v>281</v>
      </c>
      <c r="J14" s="80" t="s">
        <v>178</v>
      </c>
      <c r="K14" s="81">
        <v>28007</v>
      </c>
      <c r="L14" s="93" t="s">
        <v>179</v>
      </c>
      <c r="M14" s="37">
        <v>41590</v>
      </c>
      <c r="N14" s="37"/>
      <c r="O14" s="17" t="s">
        <v>34</v>
      </c>
      <c r="P14" s="18" t="s">
        <v>282</v>
      </c>
      <c r="Q14" s="18" t="s">
        <v>249</v>
      </c>
      <c r="R14" s="19" t="s">
        <v>182</v>
      </c>
      <c r="S14" s="19" t="s">
        <v>211</v>
      </c>
      <c r="T14" s="20"/>
      <c r="U14" s="20"/>
      <c r="V14" s="84" t="s">
        <v>184</v>
      </c>
      <c r="W14" s="84" t="s">
        <v>184</v>
      </c>
      <c r="X14" s="19">
        <v>10</v>
      </c>
      <c r="Y14" s="85" t="s">
        <v>283</v>
      </c>
      <c r="Z14" s="59"/>
      <c r="AA14" s="86" t="s">
        <v>186</v>
      </c>
      <c r="AB14" s="59"/>
      <c r="AC14" s="21" t="s">
        <v>284</v>
      </c>
      <c r="AD14" s="108" t="s">
        <v>188</v>
      </c>
      <c r="AE14" s="108" t="s">
        <v>188</v>
      </c>
      <c r="AF14" s="89"/>
      <c r="AG14" s="108"/>
      <c r="AH14" s="59"/>
      <c r="AI14" s="59"/>
      <c r="AJ14" s="21" t="s">
        <v>190</v>
      </c>
      <c r="AK14" s="21" t="s">
        <v>190</v>
      </c>
      <c r="AL14" s="21" t="s">
        <v>203</v>
      </c>
      <c r="AM14" s="88" t="s">
        <v>204</v>
      </c>
      <c r="AN14" s="22">
        <v>182</v>
      </c>
      <c r="AO14" s="22">
        <v>0</v>
      </c>
      <c r="AP14" s="22">
        <v>0</v>
      </c>
      <c r="AQ14" s="22">
        <v>20</v>
      </c>
      <c r="AR14" s="22">
        <v>0</v>
      </c>
      <c r="AS14" s="22">
        <v>7</v>
      </c>
      <c r="AT14" s="22">
        <v>10</v>
      </c>
      <c r="AU14" s="316">
        <f t="shared" si="1"/>
        <v>219</v>
      </c>
      <c r="AV14" s="22">
        <v>190</v>
      </c>
      <c r="AW14" s="22">
        <v>0</v>
      </c>
      <c r="AX14" s="22">
        <v>0</v>
      </c>
      <c r="AY14" s="22">
        <v>20</v>
      </c>
      <c r="AZ14" s="22">
        <v>0</v>
      </c>
      <c r="BA14" s="22">
        <v>7</v>
      </c>
      <c r="BB14" s="22">
        <v>10</v>
      </c>
      <c r="BC14" s="316">
        <f t="shared" si="2"/>
        <v>227</v>
      </c>
      <c r="BD14" s="58">
        <f t="shared" si="3"/>
        <v>8</v>
      </c>
      <c r="BE14" s="58">
        <f t="shared" si="4"/>
        <v>0</v>
      </c>
      <c r="BF14" s="58">
        <f t="shared" si="5"/>
        <v>0</v>
      </c>
      <c r="BG14" s="58">
        <f t="shared" si="6"/>
        <v>0</v>
      </c>
      <c r="BH14" s="58">
        <f t="shared" si="7"/>
        <v>0</v>
      </c>
      <c r="BI14" s="58">
        <f t="shared" si="8"/>
        <v>0</v>
      </c>
      <c r="BJ14" s="58">
        <f t="shared" si="9"/>
        <v>0</v>
      </c>
      <c r="BK14" s="58">
        <f t="shared" si="10"/>
        <v>8</v>
      </c>
    </row>
    <row r="15" spans="1:63" ht="27" customHeight="1">
      <c r="A15" s="13">
        <f t="shared" si="11"/>
        <v>13</v>
      </c>
      <c r="B15" s="14" t="s">
        <v>285</v>
      </c>
      <c r="C15" s="10">
        <v>67</v>
      </c>
      <c r="D15" s="91" t="s">
        <v>286</v>
      </c>
      <c r="E15" s="85">
        <v>130068781</v>
      </c>
      <c r="F15" s="78" t="s">
        <v>287</v>
      </c>
      <c r="G15" s="79" t="s">
        <v>288</v>
      </c>
      <c r="H15" s="15" t="s">
        <v>289</v>
      </c>
      <c r="I15" s="16" t="s">
        <v>290</v>
      </c>
      <c r="J15" s="80" t="s">
        <v>178</v>
      </c>
      <c r="K15" s="81">
        <v>30439</v>
      </c>
      <c r="L15" s="93" t="s">
        <v>179</v>
      </c>
      <c r="M15" s="37">
        <v>41591</v>
      </c>
      <c r="N15" s="37"/>
      <c r="O15" s="17" t="s">
        <v>291</v>
      </c>
      <c r="P15" s="18" t="s">
        <v>292</v>
      </c>
      <c r="Q15" s="18" t="s">
        <v>181</v>
      </c>
      <c r="R15" s="19" t="s">
        <v>182</v>
      </c>
      <c r="S15" s="19" t="s">
        <v>256</v>
      </c>
      <c r="T15" s="20"/>
      <c r="U15" s="20"/>
      <c r="V15" s="84" t="s">
        <v>184</v>
      </c>
      <c r="W15" s="84" t="s">
        <v>184</v>
      </c>
      <c r="X15" s="19">
        <v>4</v>
      </c>
      <c r="Y15" s="85">
        <v>97666051</v>
      </c>
      <c r="Z15" s="59"/>
      <c r="AA15" s="86" t="s">
        <v>186</v>
      </c>
      <c r="AB15" s="59"/>
      <c r="AC15" s="21" t="s">
        <v>293</v>
      </c>
      <c r="AD15" s="108" t="s">
        <v>188</v>
      </c>
      <c r="AE15" s="108"/>
      <c r="AF15" s="89"/>
      <c r="AG15" s="108"/>
      <c r="AH15" s="59"/>
      <c r="AI15" s="59"/>
      <c r="AJ15" s="21" t="s">
        <v>190</v>
      </c>
      <c r="AK15" s="21" t="s">
        <v>190</v>
      </c>
      <c r="AL15" s="21" t="s">
        <v>203</v>
      </c>
      <c r="AM15" s="88" t="s">
        <v>204</v>
      </c>
      <c r="AN15" s="22">
        <v>182</v>
      </c>
      <c r="AO15" s="22">
        <v>7</v>
      </c>
      <c r="AP15" s="22">
        <v>20</v>
      </c>
      <c r="AQ15" s="22">
        <v>0</v>
      </c>
      <c r="AR15" s="22">
        <v>0</v>
      </c>
      <c r="AS15" s="22">
        <v>7</v>
      </c>
      <c r="AT15" s="22">
        <v>10</v>
      </c>
      <c r="AU15" s="316">
        <f t="shared" si="1"/>
        <v>226</v>
      </c>
      <c r="AV15" s="22">
        <v>190</v>
      </c>
      <c r="AW15" s="22">
        <v>7</v>
      </c>
      <c r="AX15" s="22">
        <v>20</v>
      </c>
      <c r="AY15" s="22">
        <v>0</v>
      </c>
      <c r="AZ15" s="22">
        <v>0</v>
      </c>
      <c r="BA15" s="22">
        <v>7</v>
      </c>
      <c r="BB15" s="22">
        <v>10</v>
      </c>
      <c r="BC15" s="316">
        <f t="shared" si="2"/>
        <v>234</v>
      </c>
      <c r="BD15" s="58">
        <f t="shared" si="3"/>
        <v>8</v>
      </c>
      <c r="BE15" s="58">
        <f t="shared" si="4"/>
        <v>0</v>
      </c>
      <c r="BF15" s="58">
        <f t="shared" si="5"/>
        <v>0</v>
      </c>
      <c r="BG15" s="58">
        <f t="shared" si="6"/>
        <v>0</v>
      </c>
      <c r="BH15" s="58">
        <f t="shared" si="7"/>
        <v>0</v>
      </c>
      <c r="BI15" s="58">
        <f t="shared" si="8"/>
        <v>0</v>
      </c>
      <c r="BJ15" s="58">
        <f t="shared" si="9"/>
        <v>0</v>
      </c>
      <c r="BK15" s="58">
        <f t="shared" si="10"/>
        <v>8</v>
      </c>
    </row>
    <row r="16" spans="1:63" ht="27" customHeight="1">
      <c r="A16" s="13">
        <f t="shared" si="11"/>
        <v>14</v>
      </c>
      <c r="B16" s="14" t="s">
        <v>294</v>
      </c>
      <c r="C16" s="10">
        <v>69</v>
      </c>
      <c r="D16" s="91" t="s">
        <v>295</v>
      </c>
      <c r="E16" s="85" t="s">
        <v>296</v>
      </c>
      <c r="F16" s="78" t="s">
        <v>297</v>
      </c>
      <c r="G16" s="79" t="s">
        <v>298</v>
      </c>
      <c r="H16" s="15" t="s">
        <v>299</v>
      </c>
      <c r="I16" s="16" t="s">
        <v>300</v>
      </c>
      <c r="J16" s="80" t="s">
        <v>178</v>
      </c>
      <c r="K16" s="81">
        <v>29285</v>
      </c>
      <c r="L16" s="93" t="s">
        <v>179</v>
      </c>
      <c r="M16" s="37">
        <v>41591</v>
      </c>
      <c r="N16" s="37"/>
      <c r="O16" s="17" t="s">
        <v>34</v>
      </c>
      <c r="P16" s="18" t="s">
        <v>301</v>
      </c>
      <c r="Q16" s="18" t="s">
        <v>181</v>
      </c>
      <c r="R16" s="19" t="s">
        <v>182</v>
      </c>
      <c r="S16" s="19" t="s">
        <v>228</v>
      </c>
      <c r="T16" s="20"/>
      <c r="U16" s="20"/>
      <c r="V16" s="84" t="s">
        <v>184</v>
      </c>
      <c r="W16" s="84" t="s">
        <v>184</v>
      </c>
      <c r="X16" s="19">
        <v>6</v>
      </c>
      <c r="Y16" s="85">
        <v>70320251</v>
      </c>
      <c r="Z16" s="21"/>
      <c r="AA16" s="86" t="s">
        <v>186</v>
      </c>
      <c r="AB16" s="59"/>
      <c r="AC16" s="21"/>
      <c r="AD16" s="108" t="s">
        <v>188</v>
      </c>
      <c r="AE16" s="108" t="s">
        <v>188</v>
      </c>
      <c r="AF16" s="89"/>
      <c r="AG16" s="108"/>
      <c r="AH16" s="59"/>
      <c r="AI16" s="59"/>
      <c r="AJ16" s="21" t="s">
        <v>190</v>
      </c>
      <c r="AK16" s="21" t="s">
        <v>190</v>
      </c>
      <c r="AL16" s="21" t="s">
        <v>203</v>
      </c>
      <c r="AM16" s="88" t="s">
        <v>302</v>
      </c>
      <c r="AN16" s="22">
        <v>182</v>
      </c>
      <c r="AO16" s="22">
        <v>7</v>
      </c>
      <c r="AP16" s="22">
        <v>0</v>
      </c>
      <c r="AQ16" s="22">
        <v>0</v>
      </c>
      <c r="AR16" s="22">
        <v>0</v>
      </c>
      <c r="AS16" s="22">
        <v>7</v>
      </c>
      <c r="AT16" s="22">
        <v>10</v>
      </c>
      <c r="AU16" s="316">
        <f t="shared" si="1"/>
        <v>206</v>
      </c>
      <c r="AV16" s="22">
        <v>190</v>
      </c>
      <c r="AW16" s="22">
        <v>7</v>
      </c>
      <c r="AX16" s="22">
        <v>0</v>
      </c>
      <c r="AY16" s="22">
        <v>0</v>
      </c>
      <c r="AZ16" s="22">
        <v>0</v>
      </c>
      <c r="BA16" s="22">
        <v>7</v>
      </c>
      <c r="BB16" s="22">
        <v>10</v>
      </c>
      <c r="BC16" s="316">
        <f t="shared" si="2"/>
        <v>214</v>
      </c>
      <c r="BD16" s="58">
        <f t="shared" si="3"/>
        <v>8</v>
      </c>
      <c r="BE16" s="58">
        <f t="shared" si="4"/>
        <v>0</v>
      </c>
      <c r="BF16" s="58">
        <f t="shared" si="5"/>
        <v>0</v>
      </c>
      <c r="BG16" s="58">
        <f t="shared" si="6"/>
        <v>0</v>
      </c>
      <c r="BH16" s="58">
        <f t="shared" si="7"/>
        <v>0</v>
      </c>
      <c r="BI16" s="58">
        <f t="shared" si="8"/>
        <v>0</v>
      </c>
      <c r="BJ16" s="58">
        <f t="shared" si="9"/>
        <v>0</v>
      </c>
      <c r="BK16" s="58">
        <f t="shared" si="10"/>
        <v>8</v>
      </c>
    </row>
    <row r="17" spans="1:63" ht="27" customHeight="1">
      <c r="A17" s="13">
        <f t="shared" si="11"/>
        <v>15</v>
      </c>
      <c r="B17" s="14" t="s">
        <v>303</v>
      </c>
      <c r="C17" s="10">
        <v>74</v>
      </c>
      <c r="D17" s="110" t="s">
        <v>304</v>
      </c>
      <c r="E17" s="85" t="s">
        <v>296</v>
      </c>
      <c r="F17" s="78" t="s">
        <v>305</v>
      </c>
      <c r="G17" s="79" t="s">
        <v>306</v>
      </c>
      <c r="H17" s="15" t="s">
        <v>307</v>
      </c>
      <c r="I17" s="16" t="s">
        <v>308</v>
      </c>
      <c r="J17" s="80" t="s">
        <v>178</v>
      </c>
      <c r="K17" s="81">
        <v>29108</v>
      </c>
      <c r="L17" s="93" t="s">
        <v>179</v>
      </c>
      <c r="M17" s="37">
        <v>41598</v>
      </c>
      <c r="N17" s="37"/>
      <c r="O17" s="17" t="s">
        <v>34</v>
      </c>
      <c r="P17" s="18" t="s">
        <v>309</v>
      </c>
      <c r="Q17" s="18" t="s">
        <v>181</v>
      </c>
      <c r="R17" s="19" t="s">
        <v>182</v>
      </c>
      <c r="S17" s="19" t="s">
        <v>310</v>
      </c>
      <c r="T17" s="20"/>
      <c r="U17" s="20"/>
      <c r="V17" s="84" t="s">
        <v>200</v>
      </c>
      <c r="W17" s="84">
        <v>81</v>
      </c>
      <c r="X17" s="19">
        <v>5</v>
      </c>
      <c r="Y17" s="85" t="s">
        <v>311</v>
      </c>
      <c r="Z17" s="21"/>
      <c r="AA17" s="86" t="s">
        <v>186</v>
      </c>
      <c r="AB17" s="59"/>
      <c r="AC17" s="21" t="s">
        <v>138</v>
      </c>
      <c r="AD17" s="108" t="s">
        <v>189</v>
      </c>
      <c r="AE17" s="108" t="s">
        <v>189</v>
      </c>
      <c r="AF17" s="89" t="s">
        <v>189</v>
      </c>
      <c r="AG17" s="108"/>
      <c r="AH17" s="59"/>
      <c r="AI17" s="59"/>
      <c r="AJ17" s="21" t="s">
        <v>190</v>
      </c>
      <c r="AK17" s="21" t="s">
        <v>190</v>
      </c>
      <c r="AL17" s="21" t="s">
        <v>203</v>
      </c>
      <c r="AM17" s="88" t="s">
        <v>241</v>
      </c>
      <c r="AN17" s="22">
        <v>182</v>
      </c>
      <c r="AO17" s="22">
        <v>7</v>
      </c>
      <c r="AP17" s="22">
        <v>0</v>
      </c>
      <c r="AQ17" s="22">
        <v>32</v>
      </c>
      <c r="AR17" s="22">
        <v>15</v>
      </c>
      <c r="AS17" s="22">
        <v>7</v>
      </c>
      <c r="AT17" s="22">
        <v>10</v>
      </c>
      <c r="AU17" s="316">
        <f t="shared" si="1"/>
        <v>253</v>
      </c>
      <c r="AV17" s="22">
        <v>190</v>
      </c>
      <c r="AW17" s="22">
        <v>7</v>
      </c>
      <c r="AX17" s="22">
        <v>0</v>
      </c>
      <c r="AY17" s="22">
        <v>32</v>
      </c>
      <c r="AZ17" s="22">
        <v>15</v>
      </c>
      <c r="BA17" s="22">
        <v>7</v>
      </c>
      <c r="BB17" s="22">
        <v>10</v>
      </c>
      <c r="BC17" s="316">
        <f t="shared" si="2"/>
        <v>261</v>
      </c>
      <c r="BD17" s="58">
        <f t="shared" si="3"/>
        <v>8</v>
      </c>
      <c r="BE17" s="58">
        <f t="shared" si="4"/>
        <v>0</v>
      </c>
      <c r="BF17" s="58">
        <f t="shared" si="5"/>
        <v>0</v>
      </c>
      <c r="BG17" s="58">
        <f t="shared" si="6"/>
        <v>0</v>
      </c>
      <c r="BH17" s="58">
        <f t="shared" si="7"/>
        <v>0</v>
      </c>
      <c r="BI17" s="58">
        <f t="shared" si="8"/>
        <v>0</v>
      </c>
      <c r="BJ17" s="58">
        <f t="shared" si="9"/>
        <v>0</v>
      </c>
      <c r="BK17" s="58">
        <f t="shared" si="10"/>
        <v>8</v>
      </c>
    </row>
    <row r="18" spans="1:63" ht="27" customHeight="1">
      <c r="A18" s="13">
        <f t="shared" si="11"/>
        <v>16</v>
      </c>
      <c r="B18" s="14" t="s">
        <v>312</v>
      </c>
      <c r="C18" s="109">
        <v>78</v>
      </c>
      <c r="D18" s="91" t="s">
        <v>313</v>
      </c>
      <c r="E18" s="85" t="s">
        <v>296</v>
      </c>
      <c r="F18" s="78" t="s">
        <v>314</v>
      </c>
      <c r="G18" s="79" t="s">
        <v>315</v>
      </c>
      <c r="H18" s="15" t="s">
        <v>316</v>
      </c>
      <c r="I18" s="16" t="s">
        <v>317</v>
      </c>
      <c r="J18" s="80" t="s">
        <v>178</v>
      </c>
      <c r="K18" s="81">
        <v>31630</v>
      </c>
      <c r="L18" s="93" t="s">
        <v>179</v>
      </c>
      <c r="M18" s="37">
        <v>41598</v>
      </c>
      <c r="N18" s="37"/>
      <c r="O18" s="17" t="s">
        <v>34</v>
      </c>
      <c r="P18" s="18" t="s">
        <v>318</v>
      </c>
      <c r="Q18" s="18" t="s">
        <v>249</v>
      </c>
      <c r="R18" s="19" t="s">
        <v>182</v>
      </c>
      <c r="S18" s="19" t="s">
        <v>310</v>
      </c>
      <c r="T18" s="20"/>
      <c r="U18" s="20"/>
      <c r="V18" s="84" t="s">
        <v>184</v>
      </c>
      <c r="W18" s="84" t="s">
        <v>184</v>
      </c>
      <c r="X18" s="19">
        <v>8</v>
      </c>
      <c r="Y18" s="85">
        <v>10860064</v>
      </c>
      <c r="Z18" s="86" t="s">
        <v>186</v>
      </c>
      <c r="AA18" s="21"/>
      <c r="AB18" s="59"/>
      <c r="AC18" s="21"/>
      <c r="AD18" s="108"/>
      <c r="AE18" s="108"/>
      <c r="AF18" s="89"/>
      <c r="AG18" s="108"/>
      <c r="AH18" s="59"/>
      <c r="AI18" s="59"/>
      <c r="AJ18" s="21" t="s">
        <v>190</v>
      </c>
      <c r="AK18" s="21" t="s">
        <v>190</v>
      </c>
      <c r="AL18" s="21" t="s">
        <v>203</v>
      </c>
      <c r="AM18" s="88" t="s">
        <v>241</v>
      </c>
      <c r="AN18" s="22">
        <v>182</v>
      </c>
      <c r="AO18" s="22">
        <v>7</v>
      </c>
      <c r="AP18" s="22">
        <v>20</v>
      </c>
      <c r="AQ18" s="22">
        <v>0</v>
      </c>
      <c r="AR18" s="22">
        <v>0</v>
      </c>
      <c r="AS18" s="22">
        <v>7</v>
      </c>
      <c r="AT18" s="22">
        <v>10</v>
      </c>
      <c r="AU18" s="316">
        <f t="shared" si="1"/>
        <v>226</v>
      </c>
      <c r="AV18" s="22">
        <v>190</v>
      </c>
      <c r="AW18" s="22">
        <v>7</v>
      </c>
      <c r="AX18" s="22">
        <v>20</v>
      </c>
      <c r="AY18" s="22">
        <v>0</v>
      </c>
      <c r="AZ18" s="22">
        <v>0</v>
      </c>
      <c r="BA18" s="22">
        <v>7</v>
      </c>
      <c r="BB18" s="22">
        <v>10</v>
      </c>
      <c r="BC18" s="316">
        <f t="shared" si="2"/>
        <v>234</v>
      </c>
      <c r="BD18" s="58">
        <f t="shared" si="3"/>
        <v>8</v>
      </c>
      <c r="BE18" s="58">
        <f t="shared" si="4"/>
        <v>0</v>
      </c>
      <c r="BF18" s="58">
        <f t="shared" si="5"/>
        <v>0</v>
      </c>
      <c r="BG18" s="58">
        <f t="shared" si="6"/>
        <v>0</v>
      </c>
      <c r="BH18" s="58">
        <f t="shared" si="7"/>
        <v>0</v>
      </c>
      <c r="BI18" s="58">
        <f t="shared" si="8"/>
        <v>0</v>
      </c>
      <c r="BJ18" s="58">
        <f t="shared" si="9"/>
        <v>0</v>
      </c>
      <c r="BK18" s="58">
        <f t="shared" si="10"/>
        <v>8</v>
      </c>
    </row>
    <row r="19" spans="1:63" ht="27" customHeight="1">
      <c r="A19" s="13">
        <f t="shared" si="11"/>
        <v>17</v>
      </c>
      <c r="B19" s="14" t="s">
        <v>319</v>
      </c>
      <c r="C19" s="109">
        <v>81</v>
      </c>
      <c r="D19" s="91" t="s">
        <v>320</v>
      </c>
      <c r="E19" s="85">
        <v>60333150</v>
      </c>
      <c r="F19" s="78" t="s">
        <v>321</v>
      </c>
      <c r="G19" s="79" t="s">
        <v>322</v>
      </c>
      <c r="H19" s="15" t="s">
        <v>323</v>
      </c>
      <c r="I19" s="16" t="s">
        <v>324</v>
      </c>
      <c r="J19" s="80" t="s">
        <v>178</v>
      </c>
      <c r="K19" s="81">
        <v>28299</v>
      </c>
      <c r="L19" s="93" t="s">
        <v>179</v>
      </c>
      <c r="M19" s="37">
        <v>41599</v>
      </c>
      <c r="N19" s="37"/>
      <c r="O19" s="17" t="s">
        <v>34</v>
      </c>
      <c r="P19" s="18" t="s">
        <v>318</v>
      </c>
      <c r="Q19" s="18" t="s">
        <v>249</v>
      </c>
      <c r="R19" s="19" t="s">
        <v>182</v>
      </c>
      <c r="S19" s="19" t="s">
        <v>183</v>
      </c>
      <c r="T19" s="20"/>
      <c r="U19" s="20"/>
      <c r="V19" s="84" t="s">
        <v>184</v>
      </c>
      <c r="W19" s="84" t="s">
        <v>184</v>
      </c>
      <c r="X19" s="19" t="s">
        <v>190</v>
      </c>
      <c r="Y19" s="85">
        <v>87644178</v>
      </c>
      <c r="Z19" s="21"/>
      <c r="AA19" s="86" t="s">
        <v>186</v>
      </c>
      <c r="AB19" s="59"/>
      <c r="AC19" s="21" t="s">
        <v>325</v>
      </c>
      <c r="AD19" s="108" t="s">
        <v>188</v>
      </c>
      <c r="AE19" s="108"/>
      <c r="AF19" s="89"/>
      <c r="AG19" s="108"/>
      <c r="AH19" s="59"/>
      <c r="AI19" s="59"/>
      <c r="AJ19" s="21" t="s">
        <v>190</v>
      </c>
      <c r="AK19" s="21" t="s">
        <v>190</v>
      </c>
      <c r="AL19" s="21" t="s">
        <v>203</v>
      </c>
      <c r="AM19" s="88" t="s">
        <v>302</v>
      </c>
      <c r="AN19" s="22">
        <v>182</v>
      </c>
      <c r="AO19" s="22">
        <v>7</v>
      </c>
      <c r="AP19" s="22">
        <v>20</v>
      </c>
      <c r="AQ19" s="22">
        <v>0</v>
      </c>
      <c r="AR19" s="22">
        <v>0</v>
      </c>
      <c r="AS19" s="22">
        <v>7</v>
      </c>
      <c r="AT19" s="22">
        <v>10</v>
      </c>
      <c r="AU19" s="316">
        <f t="shared" si="1"/>
        <v>226</v>
      </c>
      <c r="AV19" s="22">
        <v>190</v>
      </c>
      <c r="AW19" s="22">
        <v>7</v>
      </c>
      <c r="AX19" s="22">
        <v>20</v>
      </c>
      <c r="AY19" s="22">
        <v>0</v>
      </c>
      <c r="AZ19" s="22">
        <v>0</v>
      </c>
      <c r="BA19" s="22">
        <v>7</v>
      </c>
      <c r="BB19" s="22">
        <v>10</v>
      </c>
      <c r="BC19" s="316">
        <f t="shared" si="2"/>
        <v>234</v>
      </c>
      <c r="BD19" s="58">
        <f t="shared" si="3"/>
        <v>8</v>
      </c>
      <c r="BE19" s="58">
        <f t="shared" si="4"/>
        <v>0</v>
      </c>
      <c r="BF19" s="58">
        <f t="shared" si="5"/>
        <v>0</v>
      </c>
      <c r="BG19" s="58">
        <f t="shared" si="6"/>
        <v>0</v>
      </c>
      <c r="BH19" s="58">
        <f t="shared" si="7"/>
        <v>0</v>
      </c>
      <c r="BI19" s="58">
        <f t="shared" si="8"/>
        <v>0</v>
      </c>
      <c r="BJ19" s="58">
        <f t="shared" si="9"/>
        <v>0</v>
      </c>
      <c r="BK19" s="58">
        <f t="shared" si="10"/>
        <v>8</v>
      </c>
    </row>
    <row r="20" spans="1:63" ht="27" customHeight="1">
      <c r="A20" s="13">
        <f t="shared" si="11"/>
        <v>18</v>
      </c>
      <c r="B20" s="14" t="s">
        <v>326</v>
      </c>
      <c r="C20" s="109">
        <v>90</v>
      </c>
      <c r="D20" s="91" t="s">
        <v>327</v>
      </c>
      <c r="E20" s="85">
        <v>130102162</v>
      </c>
      <c r="F20" s="78" t="s">
        <v>245</v>
      </c>
      <c r="G20" s="79" t="s">
        <v>328</v>
      </c>
      <c r="H20" s="15" t="s">
        <v>329</v>
      </c>
      <c r="I20" s="16" t="s">
        <v>330</v>
      </c>
      <c r="J20" s="80" t="s">
        <v>178</v>
      </c>
      <c r="K20" s="81">
        <v>33244</v>
      </c>
      <c r="L20" s="93" t="s">
        <v>179</v>
      </c>
      <c r="M20" s="37">
        <v>41598</v>
      </c>
      <c r="N20" s="37"/>
      <c r="O20" s="17" t="s">
        <v>34</v>
      </c>
      <c r="P20" s="18" t="s">
        <v>318</v>
      </c>
      <c r="Q20" s="18" t="s">
        <v>249</v>
      </c>
      <c r="R20" s="19" t="s">
        <v>182</v>
      </c>
      <c r="S20" s="18" t="s">
        <v>331</v>
      </c>
      <c r="T20" s="20"/>
      <c r="U20" s="20"/>
      <c r="V20" s="84" t="s">
        <v>184</v>
      </c>
      <c r="W20" s="84" t="s">
        <v>184</v>
      </c>
      <c r="X20" s="19" t="s">
        <v>190</v>
      </c>
      <c r="Y20" s="85">
        <v>86549196</v>
      </c>
      <c r="Z20" s="86" t="s">
        <v>186</v>
      </c>
      <c r="AA20" s="21"/>
      <c r="AB20" s="59"/>
      <c r="AC20" s="21"/>
      <c r="AD20" s="108"/>
      <c r="AE20" s="108"/>
      <c r="AF20" s="89"/>
      <c r="AG20" s="108"/>
      <c r="AH20" s="59"/>
      <c r="AI20" s="59"/>
      <c r="AJ20" s="21" t="s">
        <v>190</v>
      </c>
      <c r="AK20" s="21" t="s">
        <v>190</v>
      </c>
      <c r="AL20" s="21" t="s">
        <v>203</v>
      </c>
      <c r="AM20" s="88" t="s">
        <v>332</v>
      </c>
      <c r="AN20" s="22">
        <v>182</v>
      </c>
      <c r="AO20" s="22">
        <v>7</v>
      </c>
      <c r="AP20" s="22">
        <v>20</v>
      </c>
      <c r="AQ20" s="22">
        <v>0</v>
      </c>
      <c r="AR20" s="22">
        <v>0</v>
      </c>
      <c r="AS20" s="22">
        <v>7</v>
      </c>
      <c r="AT20" s="22">
        <v>10</v>
      </c>
      <c r="AU20" s="316">
        <f t="shared" si="1"/>
        <v>226</v>
      </c>
      <c r="AV20" s="22">
        <v>190</v>
      </c>
      <c r="AW20" s="22">
        <v>7</v>
      </c>
      <c r="AX20" s="22">
        <v>20</v>
      </c>
      <c r="AY20" s="22">
        <v>0</v>
      </c>
      <c r="AZ20" s="22">
        <v>0</v>
      </c>
      <c r="BA20" s="22">
        <v>7</v>
      </c>
      <c r="BB20" s="22">
        <v>10</v>
      </c>
      <c r="BC20" s="316">
        <f t="shared" si="2"/>
        <v>234</v>
      </c>
      <c r="BD20" s="58">
        <f t="shared" si="3"/>
        <v>8</v>
      </c>
      <c r="BE20" s="58">
        <f t="shared" si="4"/>
        <v>0</v>
      </c>
      <c r="BF20" s="58">
        <f t="shared" si="5"/>
        <v>0</v>
      </c>
      <c r="BG20" s="58">
        <f t="shared" si="6"/>
        <v>0</v>
      </c>
      <c r="BH20" s="58">
        <f t="shared" si="7"/>
        <v>0</v>
      </c>
      <c r="BI20" s="58">
        <f t="shared" si="8"/>
        <v>0</v>
      </c>
      <c r="BJ20" s="58">
        <f t="shared" si="9"/>
        <v>0</v>
      </c>
      <c r="BK20" s="58">
        <f t="shared" si="10"/>
        <v>8</v>
      </c>
    </row>
    <row r="21" spans="1:63" ht="27" customHeight="1">
      <c r="A21" s="13">
        <f t="shared" si="11"/>
        <v>19</v>
      </c>
      <c r="B21" s="14" t="s">
        <v>333</v>
      </c>
      <c r="C21" s="10">
        <v>110</v>
      </c>
      <c r="D21" s="91" t="s">
        <v>334</v>
      </c>
      <c r="E21" s="85">
        <v>50048892</v>
      </c>
      <c r="F21" s="78" t="s">
        <v>335</v>
      </c>
      <c r="G21" s="79" t="s">
        <v>336</v>
      </c>
      <c r="H21" s="15" t="s">
        <v>337</v>
      </c>
      <c r="I21" s="16" t="s">
        <v>338</v>
      </c>
      <c r="J21" s="80" t="s">
        <v>178</v>
      </c>
      <c r="K21" s="81">
        <v>29523</v>
      </c>
      <c r="L21" s="93" t="s">
        <v>179</v>
      </c>
      <c r="M21" s="37">
        <v>41600</v>
      </c>
      <c r="N21" s="37"/>
      <c r="O21" s="17" t="s">
        <v>34</v>
      </c>
      <c r="P21" s="18" t="s">
        <v>339</v>
      </c>
      <c r="Q21" s="18" t="s">
        <v>181</v>
      </c>
      <c r="R21" s="19" t="s">
        <v>182</v>
      </c>
      <c r="S21" s="18" t="s">
        <v>331</v>
      </c>
      <c r="T21" s="20" t="s">
        <v>340</v>
      </c>
      <c r="U21" s="20" t="s">
        <v>341</v>
      </c>
      <c r="V21" s="84" t="s">
        <v>200</v>
      </c>
      <c r="W21" s="84" t="s">
        <v>184</v>
      </c>
      <c r="X21" s="19" t="s">
        <v>190</v>
      </c>
      <c r="Y21" s="85">
        <v>81450460</v>
      </c>
      <c r="Z21" s="101"/>
      <c r="AA21" s="111" t="s">
        <v>186</v>
      </c>
      <c r="AB21" s="100"/>
      <c r="AC21" s="101" t="s">
        <v>138</v>
      </c>
      <c r="AD21" s="102" t="s">
        <v>188</v>
      </c>
      <c r="AE21" s="102" t="s">
        <v>189</v>
      </c>
      <c r="AF21" s="112"/>
      <c r="AG21" s="102"/>
      <c r="AH21" s="100"/>
      <c r="AI21" s="100"/>
      <c r="AJ21" s="101" t="s">
        <v>190</v>
      </c>
      <c r="AK21" s="101" t="s">
        <v>190</v>
      </c>
      <c r="AL21" s="101" t="s">
        <v>203</v>
      </c>
      <c r="AM21" s="104" t="s">
        <v>204</v>
      </c>
      <c r="AN21" s="22">
        <v>182</v>
      </c>
      <c r="AO21" s="22">
        <v>7</v>
      </c>
      <c r="AP21" s="22">
        <v>0</v>
      </c>
      <c r="AQ21" s="22">
        <v>32</v>
      </c>
      <c r="AR21" s="22">
        <v>0</v>
      </c>
      <c r="AS21" s="22">
        <v>7</v>
      </c>
      <c r="AT21" s="22">
        <v>10</v>
      </c>
      <c r="AU21" s="316">
        <f t="shared" si="1"/>
        <v>238</v>
      </c>
      <c r="AV21" s="22">
        <v>190</v>
      </c>
      <c r="AW21" s="22">
        <v>7</v>
      </c>
      <c r="AX21" s="22">
        <v>0</v>
      </c>
      <c r="AY21" s="22">
        <v>32</v>
      </c>
      <c r="AZ21" s="22">
        <v>0</v>
      </c>
      <c r="BA21" s="22">
        <v>7</v>
      </c>
      <c r="BB21" s="22">
        <v>10</v>
      </c>
      <c r="BC21" s="316">
        <f t="shared" si="2"/>
        <v>246</v>
      </c>
      <c r="BD21" s="58">
        <f t="shared" si="3"/>
        <v>8</v>
      </c>
      <c r="BE21" s="58">
        <f t="shared" si="4"/>
        <v>0</v>
      </c>
      <c r="BF21" s="58">
        <f t="shared" si="5"/>
        <v>0</v>
      </c>
      <c r="BG21" s="58">
        <f t="shared" si="6"/>
        <v>0</v>
      </c>
      <c r="BH21" s="58">
        <f t="shared" si="7"/>
        <v>0</v>
      </c>
      <c r="BI21" s="58">
        <f t="shared" si="8"/>
        <v>0</v>
      </c>
      <c r="BJ21" s="58">
        <f t="shared" si="9"/>
        <v>0</v>
      </c>
      <c r="BK21" s="58">
        <f t="shared" si="10"/>
        <v>8</v>
      </c>
    </row>
    <row r="22" spans="1:63" ht="27" customHeight="1">
      <c r="A22" s="13">
        <f t="shared" si="11"/>
        <v>20</v>
      </c>
      <c r="B22" s="14" t="s">
        <v>342</v>
      </c>
      <c r="C22" s="10">
        <v>113</v>
      </c>
      <c r="D22" s="91" t="s">
        <v>343</v>
      </c>
      <c r="E22" s="85">
        <v>1300211861</v>
      </c>
      <c r="F22" s="78" t="s">
        <v>344</v>
      </c>
      <c r="G22" s="79" t="s">
        <v>345</v>
      </c>
      <c r="H22" s="15" t="s">
        <v>346</v>
      </c>
      <c r="I22" s="16" t="s">
        <v>347</v>
      </c>
      <c r="J22" s="80" t="s">
        <v>178</v>
      </c>
      <c r="K22" s="81">
        <v>29385</v>
      </c>
      <c r="L22" s="93" t="s">
        <v>179</v>
      </c>
      <c r="M22" s="37">
        <v>41612</v>
      </c>
      <c r="N22" s="37"/>
      <c r="O22" s="17" t="s">
        <v>34</v>
      </c>
      <c r="P22" s="18" t="s">
        <v>348</v>
      </c>
      <c r="Q22" s="18" t="s">
        <v>181</v>
      </c>
      <c r="R22" s="19" t="s">
        <v>182</v>
      </c>
      <c r="S22" s="18" t="s">
        <v>310</v>
      </c>
      <c r="T22" s="20"/>
      <c r="U22" s="20"/>
      <c r="V22" s="84" t="s">
        <v>184</v>
      </c>
      <c r="W22" s="84" t="s">
        <v>184</v>
      </c>
      <c r="X22" s="19">
        <v>7</v>
      </c>
      <c r="Y22" s="85" t="s">
        <v>184</v>
      </c>
      <c r="Z22" s="21"/>
      <c r="AA22" s="86" t="s">
        <v>186</v>
      </c>
      <c r="AB22" s="59"/>
      <c r="AC22" s="21" t="s">
        <v>202</v>
      </c>
      <c r="AD22" s="108" t="s">
        <v>189</v>
      </c>
      <c r="AE22" s="108" t="s">
        <v>188</v>
      </c>
      <c r="AF22" s="89"/>
      <c r="AG22" s="108"/>
      <c r="AH22" s="59"/>
      <c r="AI22" s="59"/>
      <c r="AJ22" s="21" t="s">
        <v>190</v>
      </c>
      <c r="AK22" s="21" t="s">
        <v>190</v>
      </c>
      <c r="AL22" s="21" t="s">
        <v>203</v>
      </c>
      <c r="AM22" s="88" t="s">
        <v>204</v>
      </c>
      <c r="AN22" s="22">
        <v>182</v>
      </c>
      <c r="AO22" s="22">
        <v>7</v>
      </c>
      <c r="AP22" s="22">
        <v>0</v>
      </c>
      <c r="AQ22" s="22">
        <v>0</v>
      </c>
      <c r="AR22" s="22">
        <v>0</v>
      </c>
      <c r="AS22" s="22">
        <v>7</v>
      </c>
      <c r="AT22" s="22">
        <v>10</v>
      </c>
      <c r="AU22" s="316">
        <f t="shared" si="1"/>
        <v>206</v>
      </c>
      <c r="AV22" s="22">
        <v>190</v>
      </c>
      <c r="AW22" s="22">
        <v>7</v>
      </c>
      <c r="AX22" s="22">
        <v>0</v>
      </c>
      <c r="AY22" s="22">
        <v>0</v>
      </c>
      <c r="AZ22" s="22">
        <v>0</v>
      </c>
      <c r="BA22" s="22">
        <v>7</v>
      </c>
      <c r="BB22" s="22">
        <v>10</v>
      </c>
      <c r="BC22" s="316">
        <f t="shared" si="2"/>
        <v>214</v>
      </c>
      <c r="BD22" s="58">
        <f t="shared" si="3"/>
        <v>8</v>
      </c>
      <c r="BE22" s="58">
        <f t="shared" si="4"/>
        <v>0</v>
      </c>
      <c r="BF22" s="58">
        <f t="shared" si="5"/>
        <v>0</v>
      </c>
      <c r="BG22" s="58">
        <f t="shared" si="6"/>
        <v>0</v>
      </c>
      <c r="BH22" s="58">
        <f t="shared" si="7"/>
        <v>0</v>
      </c>
      <c r="BI22" s="58">
        <f t="shared" si="8"/>
        <v>0</v>
      </c>
      <c r="BJ22" s="58">
        <f t="shared" si="9"/>
        <v>0</v>
      </c>
      <c r="BK22" s="58">
        <f t="shared" si="10"/>
        <v>8</v>
      </c>
    </row>
    <row r="23" spans="1:63" ht="27" customHeight="1">
      <c r="A23" s="13">
        <f t="shared" si="11"/>
        <v>21</v>
      </c>
      <c r="B23" s="14" t="s">
        <v>349</v>
      </c>
      <c r="C23" s="109">
        <v>114</v>
      </c>
      <c r="D23" s="110" t="s">
        <v>350</v>
      </c>
      <c r="E23" s="85">
        <v>30336241</v>
      </c>
      <c r="F23" s="78" t="s">
        <v>351</v>
      </c>
      <c r="G23" s="79" t="s">
        <v>352</v>
      </c>
      <c r="H23" s="15" t="s">
        <v>353</v>
      </c>
      <c r="I23" s="16" t="s">
        <v>354</v>
      </c>
      <c r="J23" s="80" t="s">
        <v>178</v>
      </c>
      <c r="K23" s="81">
        <v>30211</v>
      </c>
      <c r="L23" s="93" t="s">
        <v>179</v>
      </c>
      <c r="M23" s="37">
        <v>41612</v>
      </c>
      <c r="N23" s="37"/>
      <c r="O23" s="17" t="s">
        <v>34</v>
      </c>
      <c r="P23" s="18" t="s">
        <v>273</v>
      </c>
      <c r="Q23" s="18" t="s">
        <v>181</v>
      </c>
      <c r="R23" s="17" t="s">
        <v>182</v>
      </c>
      <c r="S23" s="17" t="s">
        <v>228</v>
      </c>
      <c r="T23" s="22" t="s">
        <v>340</v>
      </c>
      <c r="U23" s="22" t="s">
        <v>355</v>
      </c>
      <c r="V23" s="21" t="s">
        <v>184</v>
      </c>
      <c r="W23" s="21" t="s">
        <v>184</v>
      </c>
      <c r="X23" s="17">
        <v>4</v>
      </c>
      <c r="Y23" s="77" t="s">
        <v>184</v>
      </c>
      <c r="Z23" s="21"/>
      <c r="AA23" s="86" t="s">
        <v>186</v>
      </c>
      <c r="AB23" s="59"/>
      <c r="AC23" s="21" t="s">
        <v>356</v>
      </c>
      <c r="AD23" s="108" t="s">
        <v>188</v>
      </c>
      <c r="AE23" s="108" t="s">
        <v>188</v>
      </c>
      <c r="AF23" s="89"/>
      <c r="AG23" s="108"/>
      <c r="AH23" s="59"/>
      <c r="AI23" s="59"/>
      <c r="AJ23" s="21" t="s">
        <v>190</v>
      </c>
      <c r="AK23" s="21" t="s">
        <v>190</v>
      </c>
      <c r="AL23" s="21" t="s">
        <v>203</v>
      </c>
      <c r="AM23" s="88" t="s">
        <v>357</v>
      </c>
      <c r="AN23" s="22">
        <v>182</v>
      </c>
      <c r="AO23" s="22">
        <v>7</v>
      </c>
      <c r="AP23" s="22">
        <v>0</v>
      </c>
      <c r="AQ23" s="22">
        <v>0</v>
      </c>
      <c r="AR23" s="22">
        <v>0</v>
      </c>
      <c r="AS23" s="22">
        <v>7</v>
      </c>
      <c r="AT23" s="22">
        <v>10</v>
      </c>
      <c r="AU23" s="316">
        <f t="shared" si="1"/>
        <v>206</v>
      </c>
      <c r="AV23" s="22">
        <v>190</v>
      </c>
      <c r="AW23" s="22">
        <v>7</v>
      </c>
      <c r="AX23" s="22">
        <v>0</v>
      </c>
      <c r="AY23" s="22">
        <v>0</v>
      </c>
      <c r="AZ23" s="22">
        <v>0</v>
      </c>
      <c r="BA23" s="22">
        <v>7</v>
      </c>
      <c r="BB23" s="22">
        <v>10</v>
      </c>
      <c r="BC23" s="316">
        <f t="shared" si="2"/>
        <v>214</v>
      </c>
      <c r="BD23" s="58">
        <f t="shared" si="3"/>
        <v>8</v>
      </c>
      <c r="BE23" s="58">
        <f t="shared" si="4"/>
        <v>0</v>
      </c>
      <c r="BF23" s="58">
        <f t="shared" si="5"/>
        <v>0</v>
      </c>
      <c r="BG23" s="58">
        <f t="shared" si="6"/>
        <v>0</v>
      </c>
      <c r="BH23" s="58">
        <f t="shared" si="7"/>
        <v>0</v>
      </c>
      <c r="BI23" s="58">
        <f t="shared" si="8"/>
        <v>0</v>
      </c>
      <c r="BJ23" s="58">
        <f t="shared" si="9"/>
        <v>0</v>
      </c>
      <c r="BK23" s="58">
        <f t="shared" si="10"/>
        <v>8</v>
      </c>
    </row>
    <row r="24" spans="1:63" ht="27" customHeight="1">
      <c r="A24" s="13">
        <f t="shared" si="11"/>
        <v>22</v>
      </c>
      <c r="B24" s="14" t="s">
        <v>358</v>
      </c>
      <c r="C24" s="10">
        <v>122</v>
      </c>
      <c r="D24" s="91" t="s">
        <v>359</v>
      </c>
      <c r="E24" s="85">
        <v>110187098</v>
      </c>
      <c r="F24" s="78" t="s">
        <v>360</v>
      </c>
      <c r="G24" s="79" t="s">
        <v>361</v>
      </c>
      <c r="H24" s="15" t="s">
        <v>362</v>
      </c>
      <c r="I24" s="16" t="s">
        <v>363</v>
      </c>
      <c r="J24" s="80" t="s">
        <v>178</v>
      </c>
      <c r="K24" s="81">
        <v>29957</v>
      </c>
      <c r="L24" s="93" t="s">
        <v>179</v>
      </c>
      <c r="M24" s="37">
        <v>41612</v>
      </c>
      <c r="N24" s="37"/>
      <c r="O24" s="17" t="s">
        <v>34</v>
      </c>
      <c r="P24" s="18" t="s">
        <v>273</v>
      </c>
      <c r="Q24" s="18" t="s">
        <v>181</v>
      </c>
      <c r="R24" s="17" t="s">
        <v>182</v>
      </c>
      <c r="S24" s="17" t="s">
        <v>228</v>
      </c>
      <c r="T24" s="22"/>
      <c r="U24" s="22"/>
      <c r="V24" s="21" t="s">
        <v>184</v>
      </c>
      <c r="W24" s="21" t="s">
        <v>184</v>
      </c>
      <c r="X24" s="17">
        <v>5</v>
      </c>
      <c r="Y24" s="77">
        <v>16916295</v>
      </c>
      <c r="Z24" s="21"/>
      <c r="AA24" s="86" t="s">
        <v>186</v>
      </c>
      <c r="AB24" s="59"/>
      <c r="AC24" s="21" t="s">
        <v>364</v>
      </c>
      <c r="AD24" s="108" t="s">
        <v>189</v>
      </c>
      <c r="AE24" s="108"/>
      <c r="AF24" s="89"/>
      <c r="AG24" s="108"/>
      <c r="AH24" s="59"/>
      <c r="AI24" s="59"/>
      <c r="AJ24" s="21" t="s">
        <v>190</v>
      </c>
      <c r="AK24" s="21" t="s">
        <v>190</v>
      </c>
      <c r="AL24" s="21" t="s">
        <v>203</v>
      </c>
      <c r="AM24" s="88" t="s">
        <v>357</v>
      </c>
      <c r="AN24" s="22">
        <v>182</v>
      </c>
      <c r="AO24" s="22">
        <v>7</v>
      </c>
      <c r="AP24" s="22">
        <v>0</v>
      </c>
      <c r="AQ24" s="22">
        <v>5</v>
      </c>
      <c r="AR24" s="22">
        <v>0</v>
      </c>
      <c r="AS24" s="22">
        <v>7</v>
      </c>
      <c r="AT24" s="22">
        <v>10</v>
      </c>
      <c r="AU24" s="316">
        <f t="shared" si="1"/>
        <v>211</v>
      </c>
      <c r="AV24" s="22">
        <v>190</v>
      </c>
      <c r="AW24" s="22">
        <v>7</v>
      </c>
      <c r="AX24" s="22">
        <v>0</v>
      </c>
      <c r="AY24" s="22">
        <v>5</v>
      </c>
      <c r="AZ24" s="22">
        <v>0</v>
      </c>
      <c r="BA24" s="22">
        <v>7</v>
      </c>
      <c r="BB24" s="22">
        <v>10</v>
      </c>
      <c r="BC24" s="316">
        <f t="shared" si="2"/>
        <v>219</v>
      </c>
      <c r="BD24" s="58">
        <f t="shared" si="3"/>
        <v>8</v>
      </c>
      <c r="BE24" s="58">
        <f t="shared" si="4"/>
        <v>0</v>
      </c>
      <c r="BF24" s="58">
        <f t="shared" si="5"/>
        <v>0</v>
      </c>
      <c r="BG24" s="58">
        <f t="shared" si="6"/>
        <v>0</v>
      </c>
      <c r="BH24" s="58">
        <f t="shared" si="7"/>
        <v>0</v>
      </c>
      <c r="BI24" s="58">
        <f t="shared" si="8"/>
        <v>0</v>
      </c>
      <c r="BJ24" s="58">
        <f t="shared" si="9"/>
        <v>0</v>
      </c>
      <c r="BK24" s="58">
        <f t="shared" si="10"/>
        <v>8</v>
      </c>
    </row>
    <row r="25" spans="1:63" ht="27" customHeight="1">
      <c r="A25" s="13">
        <f t="shared" si="11"/>
        <v>23</v>
      </c>
      <c r="B25" s="14" t="s">
        <v>365</v>
      </c>
      <c r="C25" s="10">
        <v>135</v>
      </c>
      <c r="D25" s="91" t="s">
        <v>366</v>
      </c>
      <c r="E25" s="85">
        <v>100496251</v>
      </c>
      <c r="F25" s="78" t="s">
        <v>367</v>
      </c>
      <c r="G25" s="79" t="s">
        <v>368</v>
      </c>
      <c r="H25" s="15" t="s">
        <v>369</v>
      </c>
      <c r="I25" s="16" t="s">
        <v>370</v>
      </c>
      <c r="J25" s="80" t="s">
        <v>178</v>
      </c>
      <c r="K25" s="81">
        <v>30780</v>
      </c>
      <c r="L25" s="93" t="s">
        <v>179</v>
      </c>
      <c r="M25" s="37">
        <v>41619</v>
      </c>
      <c r="N25" s="37"/>
      <c r="O25" s="17" t="s">
        <v>34</v>
      </c>
      <c r="P25" s="18" t="s">
        <v>273</v>
      </c>
      <c r="Q25" s="18" t="s">
        <v>181</v>
      </c>
      <c r="R25" s="113" t="s">
        <v>182</v>
      </c>
      <c r="S25" s="19" t="s">
        <v>256</v>
      </c>
      <c r="T25" s="105"/>
      <c r="U25" s="105"/>
      <c r="V25" s="101" t="s">
        <v>200</v>
      </c>
      <c r="W25" s="101" t="s">
        <v>184</v>
      </c>
      <c r="X25" s="113">
        <v>6</v>
      </c>
      <c r="Y25" s="114">
        <v>93994346</v>
      </c>
      <c r="Z25" s="101"/>
      <c r="AA25" s="111" t="s">
        <v>186</v>
      </c>
      <c r="AB25" s="101"/>
      <c r="AC25" s="101" t="s">
        <v>371</v>
      </c>
      <c r="AD25" s="102" t="s">
        <v>188</v>
      </c>
      <c r="AE25" s="102"/>
      <c r="AF25" s="112"/>
      <c r="AG25" s="102"/>
      <c r="AH25" s="100"/>
      <c r="AI25" s="100"/>
      <c r="AJ25" s="101" t="s">
        <v>190</v>
      </c>
      <c r="AK25" s="101" t="s">
        <v>190</v>
      </c>
      <c r="AL25" s="101" t="s">
        <v>203</v>
      </c>
      <c r="AM25" s="104" t="s">
        <v>372</v>
      </c>
      <c r="AN25" s="22">
        <v>182</v>
      </c>
      <c r="AO25" s="22">
        <v>7</v>
      </c>
      <c r="AP25" s="22">
        <v>0</v>
      </c>
      <c r="AQ25" s="22">
        <v>0</v>
      </c>
      <c r="AR25" s="22">
        <v>0</v>
      </c>
      <c r="AS25" s="22">
        <v>7</v>
      </c>
      <c r="AT25" s="22">
        <v>10</v>
      </c>
      <c r="AU25" s="316">
        <f t="shared" si="1"/>
        <v>206</v>
      </c>
      <c r="AV25" s="22">
        <v>190</v>
      </c>
      <c r="AW25" s="22">
        <v>7</v>
      </c>
      <c r="AX25" s="22">
        <v>0</v>
      </c>
      <c r="AY25" s="22">
        <v>0</v>
      </c>
      <c r="AZ25" s="22">
        <v>0</v>
      </c>
      <c r="BA25" s="22">
        <v>7</v>
      </c>
      <c r="BB25" s="22">
        <v>10</v>
      </c>
      <c r="BC25" s="316">
        <f t="shared" si="2"/>
        <v>214</v>
      </c>
      <c r="BD25" s="58">
        <f t="shared" si="3"/>
        <v>8</v>
      </c>
      <c r="BE25" s="58">
        <f t="shared" si="4"/>
        <v>0</v>
      </c>
      <c r="BF25" s="58">
        <f t="shared" si="5"/>
        <v>0</v>
      </c>
      <c r="BG25" s="58">
        <f t="shared" si="6"/>
        <v>0</v>
      </c>
      <c r="BH25" s="58">
        <f t="shared" si="7"/>
        <v>0</v>
      </c>
      <c r="BI25" s="58">
        <f t="shared" si="8"/>
        <v>0</v>
      </c>
      <c r="BJ25" s="58">
        <f t="shared" si="9"/>
        <v>0</v>
      </c>
      <c r="BK25" s="58">
        <f t="shared" si="10"/>
        <v>8</v>
      </c>
    </row>
    <row r="26" spans="1:63" ht="27" customHeight="1">
      <c r="A26" s="13">
        <f t="shared" si="11"/>
        <v>24</v>
      </c>
      <c r="B26" s="14" t="s">
        <v>373</v>
      </c>
      <c r="C26" s="10">
        <v>141</v>
      </c>
      <c r="D26" s="76" t="s">
        <v>374</v>
      </c>
      <c r="E26" s="77">
        <v>30019785</v>
      </c>
      <c r="F26" s="78" t="s">
        <v>375</v>
      </c>
      <c r="G26" s="79" t="s">
        <v>376</v>
      </c>
      <c r="H26" s="15" t="s">
        <v>377</v>
      </c>
      <c r="I26" s="16" t="s">
        <v>378</v>
      </c>
      <c r="J26" s="80" t="s">
        <v>178</v>
      </c>
      <c r="K26" s="81">
        <v>29235</v>
      </c>
      <c r="L26" s="82" t="s">
        <v>179</v>
      </c>
      <c r="M26" s="83">
        <v>41619</v>
      </c>
      <c r="N26" s="83"/>
      <c r="O26" s="17" t="s">
        <v>34</v>
      </c>
      <c r="P26" s="18" t="s">
        <v>348</v>
      </c>
      <c r="Q26" s="18" t="s">
        <v>181</v>
      </c>
      <c r="R26" s="17" t="s">
        <v>182</v>
      </c>
      <c r="S26" s="13" t="s">
        <v>310</v>
      </c>
      <c r="T26" s="22"/>
      <c r="U26" s="22"/>
      <c r="V26" s="21" t="s">
        <v>184</v>
      </c>
      <c r="W26" s="21" t="s">
        <v>184</v>
      </c>
      <c r="X26" s="17">
        <v>1</v>
      </c>
      <c r="Y26" s="77">
        <v>967279837</v>
      </c>
      <c r="Z26" s="86" t="s">
        <v>186</v>
      </c>
      <c r="AA26" s="21"/>
      <c r="AB26" s="21"/>
      <c r="AC26" s="115" t="s">
        <v>379</v>
      </c>
      <c r="AD26" s="115" t="s">
        <v>188</v>
      </c>
      <c r="AE26" s="108"/>
      <c r="AF26" s="89"/>
      <c r="AG26" s="108"/>
      <c r="AH26" s="59"/>
      <c r="AI26" s="59"/>
      <c r="AJ26" s="21" t="s">
        <v>190</v>
      </c>
      <c r="AK26" s="21" t="s">
        <v>190</v>
      </c>
      <c r="AL26" s="21" t="s">
        <v>203</v>
      </c>
      <c r="AM26" s="88" t="s">
        <v>204</v>
      </c>
      <c r="AN26" s="22">
        <v>182</v>
      </c>
      <c r="AO26" s="22">
        <v>7</v>
      </c>
      <c r="AP26" s="22">
        <v>0</v>
      </c>
      <c r="AQ26" s="22">
        <v>0</v>
      </c>
      <c r="AR26" s="22">
        <v>0</v>
      </c>
      <c r="AS26" s="22">
        <v>7</v>
      </c>
      <c r="AT26" s="22">
        <v>10</v>
      </c>
      <c r="AU26" s="316">
        <f t="shared" si="1"/>
        <v>206</v>
      </c>
      <c r="AV26" s="22">
        <v>190</v>
      </c>
      <c r="AW26" s="22">
        <v>7</v>
      </c>
      <c r="AX26" s="22">
        <v>0</v>
      </c>
      <c r="AY26" s="22">
        <v>0</v>
      </c>
      <c r="AZ26" s="22">
        <v>0</v>
      </c>
      <c r="BA26" s="22">
        <v>7</v>
      </c>
      <c r="BB26" s="22">
        <v>10</v>
      </c>
      <c r="BC26" s="316">
        <f t="shared" si="2"/>
        <v>214</v>
      </c>
      <c r="BD26" s="58">
        <f t="shared" si="3"/>
        <v>8</v>
      </c>
      <c r="BE26" s="58">
        <f t="shared" si="4"/>
        <v>0</v>
      </c>
      <c r="BF26" s="58">
        <f t="shared" si="5"/>
        <v>0</v>
      </c>
      <c r="BG26" s="58">
        <f t="shared" si="6"/>
        <v>0</v>
      </c>
      <c r="BH26" s="58">
        <f t="shared" si="7"/>
        <v>0</v>
      </c>
      <c r="BI26" s="58">
        <f t="shared" si="8"/>
        <v>0</v>
      </c>
      <c r="BJ26" s="58">
        <f t="shared" si="9"/>
        <v>0</v>
      </c>
      <c r="BK26" s="58">
        <f t="shared" si="10"/>
        <v>8</v>
      </c>
    </row>
    <row r="27" spans="1:63" ht="27" customHeight="1">
      <c r="A27" s="13">
        <f t="shared" si="11"/>
        <v>25</v>
      </c>
      <c r="B27" s="14" t="s">
        <v>380</v>
      </c>
      <c r="C27" s="10">
        <v>146</v>
      </c>
      <c r="D27" s="76" t="s">
        <v>381</v>
      </c>
      <c r="E27" s="77">
        <v>110107110</v>
      </c>
      <c r="F27" s="78" t="s">
        <v>382</v>
      </c>
      <c r="G27" s="79" t="s">
        <v>383</v>
      </c>
      <c r="H27" s="15" t="s">
        <v>384</v>
      </c>
      <c r="I27" s="16" t="s">
        <v>385</v>
      </c>
      <c r="J27" s="80" t="s">
        <v>178</v>
      </c>
      <c r="K27" s="24">
        <v>25950</v>
      </c>
      <c r="L27" s="82" t="s">
        <v>179</v>
      </c>
      <c r="M27" s="83">
        <v>41619</v>
      </c>
      <c r="N27" s="83"/>
      <c r="O27" s="17" t="s">
        <v>34</v>
      </c>
      <c r="P27" s="18" t="s">
        <v>386</v>
      </c>
      <c r="Q27" s="18" t="s">
        <v>181</v>
      </c>
      <c r="R27" s="19" t="s">
        <v>182</v>
      </c>
      <c r="S27" s="19" t="s">
        <v>228</v>
      </c>
      <c r="T27" s="20"/>
      <c r="U27" s="20"/>
      <c r="V27" s="21" t="s">
        <v>184</v>
      </c>
      <c r="W27" s="21" t="s">
        <v>184</v>
      </c>
      <c r="X27" s="17">
        <v>2</v>
      </c>
      <c r="Y27" s="77">
        <v>979425534</v>
      </c>
      <c r="Z27" s="21"/>
      <c r="AA27" s="86" t="s">
        <v>186</v>
      </c>
      <c r="AB27" s="21"/>
      <c r="AC27" s="21" t="s">
        <v>387</v>
      </c>
      <c r="AD27" s="108" t="s">
        <v>189</v>
      </c>
      <c r="AE27" s="108" t="s">
        <v>189</v>
      </c>
      <c r="AF27" s="89"/>
      <c r="AG27" s="108"/>
      <c r="AH27" s="59"/>
      <c r="AI27" s="59"/>
      <c r="AJ27" s="21" t="s">
        <v>190</v>
      </c>
      <c r="AK27" s="21" t="s">
        <v>190</v>
      </c>
      <c r="AL27" s="21" t="s">
        <v>203</v>
      </c>
      <c r="AM27" s="88" t="s">
        <v>388</v>
      </c>
      <c r="AN27" s="22">
        <v>182</v>
      </c>
      <c r="AO27" s="22">
        <v>7</v>
      </c>
      <c r="AP27" s="22">
        <v>0</v>
      </c>
      <c r="AQ27" s="22">
        <v>0</v>
      </c>
      <c r="AR27" s="22">
        <v>0</v>
      </c>
      <c r="AS27" s="22">
        <v>7</v>
      </c>
      <c r="AT27" s="22">
        <v>10</v>
      </c>
      <c r="AU27" s="316">
        <f t="shared" si="1"/>
        <v>206</v>
      </c>
      <c r="AV27" s="22">
        <v>190</v>
      </c>
      <c r="AW27" s="22">
        <v>7</v>
      </c>
      <c r="AX27" s="22">
        <v>0</v>
      </c>
      <c r="AY27" s="22">
        <v>0</v>
      </c>
      <c r="AZ27" s="22">
        <v>0</v>
      </c>
      <c r="BA27" s="22">
        <v>7</v>
      </c>
      <c r="BB27" s="22">
        <v>10</v>
      </c>
      <c r="BC27" s="316">
        <f t="shared" si="2"/>
        <v>214</v>
      </c>
      <c r="BD27" s="58">
        <f t="shared" si="3"/>
        <v>8</v>
      </c>
      <c r="BE27" s="58">
        <f t="shared" si="4"/>
        <v>0</v>
      </c>
      <c r="BF27" s="58">
        <f t="shared" si="5"/>
        <v>0</v>
      </c>
      <c r="BG27" s="58">
        <f t="shared" si="6"/>
        <v>0</v>
      </c>
      <c r="BH27" s="58">
        <f t="shared" si="7"/>
        <v>0</v>
      </c>
      <c r="BI27" s="58">
        <f t="shared" si="8"/>
        <v>0</v>
      </c>
      <c r="BJ27" s="58">
        <f t="shared" si="9"/>
        <v>0</v>
      </c>
      <c r="BK27" s="58">
        <f t="shared" si="10"/>
        <v>8</v>
      </c>
    </row>
    <row r="28" spans="1:63" ht="27" customHeight="1">
      <c r="A28" s="13">
        <f t="shared" si="11"/>
        <v>26</v>
      </c>
      <c r="B28" s="14" t="s">
        <v>389</v>
      </c>
      <c r="C28" s="10">
        <v>161</v>
      </c>
      <c r="D28" s="76" t="s">
        <v>390</v>
      </c>
      <c r="E28" s="77">
        <v>110460526</v>
      </c>
      <c r="F28" s="78" t="s">
        <v>391</v>
      </c>
      <c r="G28" s="79" t="s">
        <v>392</v>
      </c>
      <c r="H28" s="15" t="s">
        <v>393</v>
      </c>
      <c r="I28" s="16" t="s">
        <v>394</v>
      </c>
      <c r="J28" s="80" t="s">
        <v>178</v>
      </c>
      <c r="K28" s="24">
        <v>34710</v>
      </c>
      <c r="L28" s="82" t="s">
        <v>179</v>
      </c>
      <c r="M28" s="25">
        <v>41674</v>
      </c>
      <c r="N28" s="25"/>
      <c r="O28" s="17" t="s">
        <v>34</v>
      </c>
      <c r="P28" s="18" t="s">
        <v>348</v>
      </c>
      <c r="Q28" s="18" t="s">
        <v>181</v>
      </c>
      <c r="R28" s="19" t="s">
        <v>182</v>
      </c>
      <c r="S28" s="19" t="s">
        <v>228</v>
      </c>
      <c r="T28" s="20"/>
      <c r="U28" s="20"/>
      <c r="V28" s="116" t="s">
        <v>200</v>
      </c>
      <c r="W28" s="116">
        <v>878</v>
      </c>
      <c r="X28" s="117">
        <v>6</v>
      </c>
      <c r="Y28" s="118" t="s">
        <v>395</v>
      </c>
      <c r="Z28" s="86" t="s">
        <v>186</v>
      </c>
      <c r="AA28" s="21"/>
      <c r="AB28" s="21"/>
      <c r="AC28" s="21"/>
      <c r="AD28" s="108"/>
      <c r="AE28" s="108"/>
      <c r="AF28" s="89"/>
      <c r="AG28" s="108"/>
      <c r="AH28" s="59"/>
      <c r="AI28" s="59"/>
      <c r="AJ28" s="21" t="s">
        <v>190</v>
      </c>
      <c r="AK28" s="21" t="s">
        <v>190</v>
      </c>
      <c r="AL28" s="21" t="s">
        <v>203</v>
      </c>
      <c r="AM28" s="88" t="s">
        <v>204</v>
      </c>
      <c r="AN28" s="22">
        <v>182</v>
      </c>
      <c r="AO28" s="22">
        <v>6</v>
      </c>
      <c r="AP28" s="22">
        <v>0</v>
      </c>
      <c r="AQ28" s="22">
        <v>30</v>
      </c>
      <c r="AR28" s="22">
        <v>0</v>
      </c>
      <c r="AS28" s="22">
        <v>7</v>
      </c>
      <c r="AT28" s="22">
        <v>10</v>
      </c>
      <c r="AU28" s="316">
        <f t="shared" si="1"/>
        <v>235</v>
      </c>
      <c r="AV28" s="22">
        <v>190</v>
      </c>
      <c r="AW28" s="22">
        <v>6</v>
      </c>
      <c r="AX28" s="22">
        <v>0</v>
      </c>
      <c r="AY28" s="22">
        <v>30</v>
      </c>
      <c r="AZ28" s="22">
        <v>0</v>
      </c>
      <c r="BA28" s="22">
        <v>7</v>
      </c>
      <c r="BB28" s="22">
        <v>10</v>
      </c>
      <c r="BC28" s="316">
        <f t="shared" si="2"/>
        <v>243</v>
      </c>
      <c r="BD28" s="58">
        <f t="shared" si="3"/>
        <v>8</v>
      </c>
      <c r="BE28" s="58">
        <f t="shared" si="4"/>
        <v>0</v>
      </c>
      <c r="BF28" s="58">
        <f t="shared" si="5"/>
        <v>0</v>
      </c>
      <c r="BG28" s="58">
        <f t="shared" si="6"/>
        <v>0</v>
      </c>
      <c r="BH28" s="58">
        <f t="shared" si="7"/>
        <v>0</v>
      </c>
      <c r="BI28" s="58">
        <f t="shared" si="8"/>
        <v>0</v>
      </c>
      <c r="BJ28" s="58">
        <f t="shared" si="9"/>
        <v>0</v>
      </c>
      <c r="BK28" s="58">
        <f t="shared" si="10"/>
        <v>8</v>
      </c>
    </row>
    <row r="29" spans="1:63" ht="27" customHeight="1">
      <c r="A29" s="13">
        <f t="shared" si="11"/>
        <v>27</v>
      </c>
      <c r="B29" s="14" t="s">
        <v>396</v>
      </c>
      <c r="C29" s="10">
        <v>163</v>
      </c>
      <c r="D29" s="76" t="s">
        <v>397</v>
      </c>
      <c r="E29" s="77">
        <v>130103206</v>
      </c>
      <c r="F29" s="78" t="s">
        <v>398</v>
      </c>
      <c r="G29" s="79" t="s">
        <v>399</v>
      </c>
      <c r="H29" s="15" t="s">
        <v>400</v>
      </c>
      <c r="I29" s="16" t="s">
        <v>401</v>
      </c>
      <c r="J29" s="80" t="s">
        <v>178</v>
      </c>
      <c r="K29" s="24">
        <v>30297</v>
      </c>
      <c r="L29" s="82" t="s">
        <v>179</v>
      </c>
      <c r="M29" s="25">
        <v>41676</v>
      </c>
      <c r="N29" s="25"/>
      <c r="O29" s="17" t="s">
        <v>34</v>
      </c>
      <c r="P29" s="18" t="s">
        <v>402</v>
      </c>
      <c r="Q29" s="18" t="s">
        <v>181</v>
      </c>
      <c r="R29" s="19" t="s">
        <v>182</v>
      </c>
      <c r="S29" s="19" t="s">
        <v>228</v>
      </c>
      <c r="T29" s="20" t="s">
        <v>340</v>
      </c>
      <c r="U29" s="20" t="s">
        <v>403</v>
      </c>
      <c r="V29" s="116" t="s">
        <v>200</v>
      </c>
      <c r="W29" s="116" t="s">
        <v>184</v>
      </c>
      <c r="X29" s="117">
        <v>12</v>
      </c>
      <c r="Y29" s="118" t="s">
        <v>404</v>
      </c>
      <c r="Z29" s="21"/>
      <c r="AA29" s="86" t="s">
        <v>186</v>
      </c>
      <c r="AB29" s="21"/>
      <c r="AC29" s="21" t="s">
        <v>202</v>
      </c>
      <c r="AD29" s="108" t="s">
        <v>188</v>
      </c>
      <c r="AE29" s="108"/>
      <c r="AF29" s="89"/>
      <c r="AG29" s="108"/>
      <c r="AH29" s="59"/>
      <c r="AI29" s="59"/>
      <c r="AJ29" s="21" t="s">
        <v>190</v>
      </c>
      <c r="AK29" s="21" t="s">
        <v>190</v>
      </c>
      <c r="AL29" s="21" t="s">
        <v>203</v>
      </c>
      <c r="AM29" s="88" t="s">
        <v>357</v>
      </c>
      <c r="AN29" s="22">
        <v>182</v>
      </c>
      <c r="AO29" s="22">
        <v>6</v>
      </c>
      <c r="AP29" s="22">
        <v>0</v>
      </c>
      <c r="AQ29" s="22">
        <v>10</v>
      </c>
      <c r="AR29" s="22">
        <v>0</v>
      </c>
      <c r="AS29" s="22">
        <v>7</v>
      </c>
      <c r="AT29" s="22">
        <v>10</v>
      </c>
      <c r="AU29" s="316">
        <f t="shared" si="1"/>
        <v>215</v>
      </c>
      <c r="AV29" s="22">
        <v>190</v>
      </c>
      <c r="AW29" s="22">
        <v>6</v>
      </c>
      <c r="AX29" s="22">
        <v>0</v>
      </c>
      <c r="AY29" s="22">
        <v>10</v>
      </c>
      <c r="AZ29" s="22">
        <v>0</v>
      </c>
      <c r="BA29" s="22">
        <v>7</v>
      </c>
      <c r="BB29" s="22">
        <v>10</v>
      </c>
      <c r="BC29" s="316">
        <f t="shared" si="2"/>
        <v>223</v>
      </c>
      <c r="BD29" s="58">
        <f t="shared" si="3"/>
        <v>8</v>
      </c>
      <c r="BE29" s="58">
        <f t="shared" si="4"/>
        <v>0</v>
      </c>
      <c r="BF29" s="58">
        <f t="shared" si="5"/>
        <v>0</v>
      </c>
      <c r="BG29" s="58">
        <f t="shared" si="6"/>
        <v>0</v>
      </c>
      <c r="BH29" s="58">
        <f t="shared" si="7"/>
        <v>0</v>
      </c>
      <c r="BI29" s="58">
        <f t="shared" si="8"/>
        <v>0</v>
      </c>
      <c r="BJ29" s="58">
        <f t="shared" si="9"/>
        <v>0</v>
      </c>
      <c r="BK29" s="58">
        <f t="shared" si="10"/>
        <v>8</v>
      </c>
    </row>
    <row r="30" spans="1:63" ht="27" customHeight="1">
      <c r="A30" s="13">
        <f t="shared" si="11"/>
        <v>28</v>
      </c>
      <c r="B30" s="14" t="s">
        <v>405</v>
      </c>
      <c r="C30" s="10">
        <v>171</v>
      </c>
      <c r="D30" s="76" t="s">
        <v>406</v>
      </c>
      <c r="E30" s="77">
        <v>130086056</v>
      </c>
      <c r="F30" s="78" t="s">
        <v>407</v>
      </c>
      <c r="G30" s="79" t="s">
        <v>336</v>
      </c>
      <c r="H30" s="15" t="s">
        <v>408</v>
      </c>
      <c r="I30" s="16" t="s">
        <v>338</v>
      </c>
      <c r="J30" s="80" t="s">
        <v>178</v>
      </c>
      <c r="K30" s="24">
        <v>32617</v>
      </c>
      <c r="L30" s="82" t="s">
        <v>179</v>
      </c>
      <c r="M30" s="25">
        <v>41680</v>
      </c>
      <c r="N30" s="25"/>
      <c r="O30" s="17" t="s">
        <v>80</v>
      </c>
      <c r="P30" s="18" t="s">
        <v>102</v>
      </c>
      <c r="Q30" s="18" t="s">
        <v>181</v>
      </c>
      <c r="R30" s="19" t="s">
        <v>182</v>
      </c>
      <c r="S30" s="19" t="s">
        <v>256</v>
      </c>
      <c r="T30" s="20"/>
      <c r="U30" s="20"/>
      <c r="V30" s="21" t="s">
        <v>200</v>
      </c>
      <c r="W30" s="21">
        <v>1198</v>
      </c>
      <c r="X30" s="21" t="s">
        <v>409</v>
      </c>
      <c r="Y30" s="77">
        <v>10596057</v>
      </c>
      <c r="Z30" s="86" t="s">
        <v>186</v>
      </c>
      <c r="AA30" s="21"/>
      <c r="AB30" s="21"/>
      <c r="AC30" s="21"/>
      <c r="AD30" s="108"/>
      <c r="AE30" s="108"/>
      <c r="AF30" s="89"/>
      <c r="AG30" s="108"/>
      <c r="AH30" s="59"/>
      <c r="AI30" s="59"/>
      <c r="AJ30" s="21" t="s">
        <v>190</v>
      </c>
      <c r="AK30" s="21" t="s">
        <v>190</v>
      </c>
      <c r="AL30" s="21" t="s">
        <v>191</v>
      </c>
      <c r="AM30" s="88" t="s">
        <v>388</v>
      </c>
      <c r="AN30" s="22">
        <v>182</v>
      </c>
      <c r="AO30" s="22">
        <v>6</v>
      </c>
      <c r="AP30" s="22">
        <v>0</v>
      </c>
      <c r="AQ30" s="22">
        <v>118</v>
      </c>
      <c r="AR30" s="22">
        <v>20</v>
      </c>
      <c r="AS30" s="22">
        <v>7</v>
      </c>
      <c r="AT30" s="22">
        <v>10</v>
      </c>
      <c r="AU30" s="316">
        <f t="shared" si="1"/>
        <v>343</v>
      </c>
      <c r="AV30" s="22">
        <v>190</v>
      </c>
      <c r="AW30" s="22">
        <v>6</v>
      </c>
      <c r="AX30" s="22">
        <v>0</v>
      </c>
      <c r="AY30" s="22">
        <v>118</v>
      </c>
      <c r="AZ30" s="22">
        <v>20</v>
      </c>
      <c r="BA30" s="22">
        <v>7</v>
      </c>
      <c r="BB30" s="22">
        <v>10</v>
      </c>
      <c r="BC30" s="316">
        <f t="shared" si="2"/>
        <v>351</v>
      </c>
      <c r="BD30" s="58">
        <f t="shared" si="3"/>
        <v>8</v>
      </c>
      <c r="BE30" s="58">
        <f t="shared" si="4"/>
        <v>0</v>
      </c>
      <c r="BF30" s="58">
        <f t="shared" si="5"/>
        <v>0</v>
      </c>
      <c r="BG30" s="58">
        <f t="shared" si="6"/>
        <v>0</v>
      </c>
      <c r="BH30" s="58">
        <f t="shared" si="7"/>
        <v>0</v>
      </c>
      <c r="BI30" s="58">
        <f t="shared" si="8"/>
        <v>0</v>
      </c>
      <c r="BJ30" s="58">
        <f t="shared" si="9"/>
        <v>0</v>
      </c>
      <c r="BK30" s="58">
        <f t="shared" si="10"/>
        <v>8</v>
      </c>
    </row>
    <row r="31" spans="1:63" ht="27" customHeight="1">
      <c r="A31" s="13">
        <f t="shared" si="11"/>
        <v>29</v>
      </c>
      <c r="B31" s="14" t="s">
        <v>410</v>
      </c>
      <c r="C31" s="10">
        <v>176</v>
      </c>
      <c r="D31" s="76" t="s">
        <v>411</v>
      </c>
      <c r="E31" s="77">
        <v>100031265</v>
      </c>
      <c r="F31" s="78" t="s">
        <v>412</v>
      </c>
      <c r="G31" s="79" t="s">
        <v>413</v>
      </c>
      <c r="H31" s="15" t="s">
        <v>414</v>
      </c>
      <c r="I31" s="16" t="s">
        <v>415</v>
      </c>
      <c r="J31" s="80" t="s">
        <v>178</v>
      </c>
      <c r="K31" s="24">
        <v>29575</v>
      </c>
      <c r="L31" s="82" t="s">
        <v>179</v>
      </c>
      <c r="M31" s="25">
        <v>41683</v>
      </c>
      <c r="N31" s="25"/>
      <c r="O31" s="17" t="s">
        <v>34</v>
      </c>
      <c r="P31" s="18" t="s">
        <v>416</v>
      </c>
      <c r="Q31" s="18" t="s">
        <v>181</v>
      </c>
      <c r="R31" s="19" t="s">
        <v>182</v>
      </c>
      <c r="S31" s="19" t="s">
        <v>228</v>
      </c>
      <c r="T31" s="20"/>
      <c r="U31" s="20"/>
      <c r="V31" s="21" t="s">
        <v>184</v>
      </c>
      <c r="W31" s="21">
        <v>5692</v>
      </c>
      <c r="X31" s="21">
        <v>9</v>
      </c>
      <c r="Y31" s="77" t="s">
        <v>417</v>
      </c>
      <c r="Z31" s="21"/>
      <c r="AA31" s="21"/>
      <c r="AB31" s="86" t="s">
        <v>186</v>
      </c>
      <c r="AC31" s="21"/>
      <c r="AD31" s="108" t="s">
        <v>188</v>
      </c>
      <c r="AE31" s="108" t="s">
        <v>188</v>
      </c>
      <c r="AF31" s="89"/>
      <c r="AG31" s="108"/>
      <c r="AH31" s="59"/>
      <c r="AI31" s="59"/>
      <c r="AJ31" s="21" t="s">
        <v>190</v>
      </c>
      <c r="AK31" s="21" t="s">
        <v>190</v>
      </c>
      <c r="AL31" s="21" t="s">
        <v>191</v>
      </c>
      <c r="AM31" s="88" t="s">
        <v>357</v>
      </c>
      <c r="AN31" s="22">
        <v>182</v>
      </c>
      <c r="AO31" s="22">
        <v>6</v>
      </c>
      <c r="AP31" s="22">
        <v>0</v>
      </c>
      <c r="AQ31" s="22">
        <v>30</v>
      </c>
      <c r="AR31" s="22">
        <v>0</v>
      </c>
      <c r="AS31" s="22">
        <v>7</v>
      </c>
      <c r="AT31" s="22">
        <v>10</v>
      </c>
      <c r="AU31" s="316">
        <f t="shared" si="1"/>
        <v>235</v>
      </c>
      <c r="AV31" s="22">
        <v>190</v>
      </c>
      <c r="AW31" s="22">
        <v>6</v>
      </c>
      <c r="AX31" s="22">
        <v>0</v>
      </c>
      <c r="AY31" s="22">
        <v>30</v>
      </c>
      <c r="AZ31" s="22">
        <v>0</v>
      </c>
      <c r="BA31" s="22">
        <v>7</v>
      </c>
      <c r="BB31" s="22">
        <v>10</v>
      </c>
      <c r="BC31" s="316">
        <f t="shared" si="2"/>
        <v>243</v>
      </c>
      <c r="BD31" s="58">
        <f t="shared" si="3"/>
        <v>8</v>
      </c>
      <c r="BE31" s="58">
        <f t="shared" si="4"/>
        <v>0</v>
      </c>
      <c r="BF31" s="58">
        <f t="shared" si="5"/>
        <v>0</v>
      </c>
      <c r="BG31" s="58">
        <f t="shared" si="6"/>
        <v>0</v>
      </c>
      <c r="BH31" s="58">
        <f t="shared" si="7"/>
        <v>0</v>
      </c>
      <c r="BI31" s="58">
        <f t="shared" si="8"/>
        <v>0</v>
      </c>
      <c r="BJ31" s="58">
        <f t="shared" si="9"/>
        <v>0</v>
      </c>
      <c r="BK31" s="58">
        <f t="shared" si="10"/>
        <v>8</v>
      </c>
    </row>
    <row r="32" spans="1:63" ht="27" customHeight="1">
      <c r="A32" s="13">
        <f t="shared" si="11"/>
        <v>30</v>
      </c>
      <c r="B32" s="14" t="s">
        <v>418</v>
      </c>
      <c r="C32" s="10">
        <v>207</v>
      </c>
      <c r="D32" s="76" t="s">
        <v>419</v>
      </c>
      <c r="E32" s="77">
        <v>60102471</v>
      </c>
      <c r="F32" s="78" t="s">
        <v>420</v>
      </c>
      <c r="G32" s="79" t="s">
        <v>421</v>
      </c>
      <c r="H32" s="15" t="s">
        <v>422</v>
      </c>
      <c r="I32" s="16" t="s">
        <v>423</v>
      </c>
      <c r="J32" s="80" t="s">
        <v>178</v>
      </c>
      <c r="K32" s="24">
        <v>26883</v>
      </c>
      <c r="L32" s="82" t="s">
        <v>179</v>
      </c>
      <c r="M32" s="83">
        <v>41697</v>
      </c>
      <c r="N32" s="25"/>
      <c r="O32" s="17" t="s">
        <v>80</v>
      </c>
      <c r="P32" s="18" t="s">
        <v>199</v>
      </c>
      <c r="Q32" s="18" t="s">
        <v>181</v>
      </c>
      <c r="R32" s="17" t="s">
        <v>182</v>
      </c>
      <c r="S32" s="19" t="s">
        <v>183</v>
      </c>
      <c r="T32" s="22"/>
      <c r="U32" s="22" t="s">
        <v>424</v>
      </c>
      <c r="V32" s="21" t="s">
        <v>200</v>
      </c>
      <c r="W32" s="21">
        <v>5950</v>
      </c>
      <c r="X32" s="17">
        <v>5</v>
      </c>
      <c r="Y32" s="77" t="s">
        <v>184</v>
      </c>
      <c r="Z32" s="21"/>
      <c r="AA32" s="86" t="s">
        <v>186</v>
      </c>
      <c r="AB32" s="21"/>
      <c r="AC32" s="21" t="s">
        <v>425</v>
      </c>
      <c r="AD32" s="108" t="s">
        <v>188</v>
      </c>
      <c r="AE32" s="108" t="s">
        <v>188</v>
      </c>
      <c r="AF32" s="89" t="s">
        <v>188</v>
      </c>
      <c r="AG32" s="108"/>
      <c r="AH32" s="59"/>
      <c r="AI32" s="59"/>
      <c r="AJ32" s="21" t="s">
        <v>203</v>
      </c>
      <c r="AK32" s="21" t="s">
        <v>190</v>
      </c>
      <c r="AL32" s="21" t="s">
        <v>191</v>
      </c>
      <c r="AM32" s="88" t="s">
        <v>426</v>
      </c>
      <c r="AN32" s="22">
        <v>182</v>
      </c>
      <c r="AO32" s="22">
        <v>6</v>
      </c>
      <c r="AP32" s="22">
        <v>0</v>
      </c>
      <c r="AQ32" s="22">
        <v>50</v>
      </c>
      <c r="AR32" s="22">
        <v>0</v>
      </c>
      <c r="AS32" s="22">
        <v>7</v>
      </c>
      <c r="AT32" s="22">
        <v>10</v>
      </c>
      <c r="AU32" s="316">
        <f t="shared" si="1"/>
        <v>255</v>
      </c>
      <c r="AV32" s="22">
        <v>190</v>
      </c>
      <c r="AW32" s="22">
        <v>6</v>
      </c>
      <c r="AX32" s="22">
        <v>0</v>
      </c>
      <c r="AY32" s="22">
        <v>50</v>
      </c>
      <c r="AZ32" s="22">
        <v>0</v>
      </c>
      <c r="BA32" s="22">
        <v>7</v>
      </c>
      <c r="BB32" s="22">
        <v>10</v>
      </c>
      <c r="BC32" s="316">
        <f t="shared" si="2"/>
        <v>263</v>
      </c>
      <c r="BD32" s="58">
        <f t="shared" si="3"/>
        <v>8</v>
      </c>
      <c r="BE32" s="58">
        <f t="shared" si="4"/>
        <v>0</v>
      </c>
      <c r="BF32" s="58">
        <f t="shared" si="5"/>
        <v>0</v>
      </c>
      <c r="BG32" s="58">
        <f t="shared" si="6"/>
        <v>0</v>
      </c>
      <c r="BH32" s="58">
        <f t="shared" si="7"/>
        <v>0</v>
      </c>
      <c r="BI32" s="58">
        <f t="shared" si="8"/>
        <v>0</v>
      </c>
      <c r="BJ32" s="58">
        <f t="shared" si="9"/>
        <v>0</v>
      </c>
      <c r="BK32" s="58">
        <f t="shared" si="10"/>
        <v>8</v>
      </c>
    </row>
    <row r="33" spans="1:63" ht="27" customHeight="1">
      <c r="A33" s="13">
        <f t="shared" si="11"/>
        <v>31</v>
      </c>
      <c r="B33" s="14" t="s">
        <v>427</v>
      </c>
      <c r="C33" s="10">
        <v>224</v>
      </c>
      <c r="D33" s="76" t="s">
        <v>428</v>
      </c>
      <c r="E33" s="77">
        <v>170497766</v>
      </c>
      <c r="F33" s="78" t="s">
        <v>429</v>
      </c>
      <c r="G33" s="79" t="s">
        <v>430</v>
      </c>
      <c r="H33" s="15" t="s">
        <v>431</v>
      </c>
      <c r="I33" s="16" t="s">
        <v>432</v>
      </c>
      <c r="J33" s="80" t="s">
        <v>178</v>
      </c>
      <c r="K33" s="24">
        <v>28491</v>
      </c>
      <c r="L33" s="82" t="s">
        <v>179</v>
      </c>
      <c r="M33" s="25">
        <v>41702</v>
      </c>
      <c r="N33" s="25"/>
      <c r="O33" s="17" t="s">
        <v>34</v>
      </c>
      <c r="P33" s="18" t="s">
        <v>386</v>
      </c>
      <c r="Q33" s="18" t="s">
        <v>181</v>
      </c>
      <c r="R33" s="17" t="s">
        <v>182</v>
      </c>
      <c r="S33" s="13" t="s">
        <v>433</v>
      </c>
      <c r="T33" s="22"/>
      <c r="U33" s="22"/>
      <c r="V33" s="21" t="s">
        <v>200</v>
      </c>
      <c r="W33" s="21">
        <v>294</v>
      </c>
      <c r="X33" s="17">
        <v>4</v>
      </c>
      <c r="Y33" s="77">
        <v>16940748</v>
      </c>
      <c r="Z33" s="21"/>
      <c r="AA33" s="86" t="s">
        <v>186</v>
      </c>
      <c r="AB33" s="21"/>
      <c r="AC33" s="21" t="s">
        <v>138</v>
      </c>
      <c r="AD33" s="108" t="s">
        <v>188</v>
      </c>
      <c r="AE33" s="108" t="s">
        <v>188</v>
      </c>
      <c r="AF33" s="89"/>
      <c r="AG33" s="108"/>
      <c r="AH33" s="59"/>
      <c r="AI33" s="59"/>
      <c r="AJ33" s="21" t="s">
        <v>203</v>
      </c>
      <c r="AK33" s="21" t="s">
        <v>190</v>
      </c>
      <c r="AL33" s="21" t="s">
        <v>191</v>
      </c>
      <c r="AM33" s="88" t="s">
        <v>204</v>
      </c>
      <c r="AN33" s="22">
        <v>182</v>
      </c>
      <c r="AO33" s="22">
        <v>6</v>
      </c>
      <c r="AP33" s="22">
        <v>0</v>
      </c>
      <c r="AQ33" s="22">
        <v>0</v>
      </c>
      <c r="AR33" s="22">
        <v>0</v>
      </c>
      <c r="AS33" s="22">
        <v>7</v>
      </c>
      <c r="AT33" s="22">
        <v>10</v>
      </c>
      <c r="AU33" s="316">
        <f t="shared" si="1"/>
        <v>205</v>
      </c>
      <c r="AV33" s="22">
        <v>190</v>
      </c>
      <c r="AW33" s="22">
        <v>6</v>
      </c>
      <c r="AX33" s="22">
        <v>0</v>
      </c>
      <c r="AY33" s="22">
        <v>0</v>
      </c>
      <c r="AZ33" s="22">
        <v>0</v>
      </c>
      <c r="BA33" s="22">
        <v>7</v>
      </c>
      <c r="BB33" s="22">
        <v>10</v>
      </c>
      <c r="BC33" s="316">
        <f t="shared" si="2"/>
        <v>213</v>
      </c>
      <c r="BD33" s="58">
        <f t="shared" si="3"/>
        <v>8</v>
      </c>
      <c r="BE33" s="58">
        <f t="shared" si="4"/>
        <v>0</v>
      </c>
      <c r="BF33" s="58">
        <f t="shared" si="5"/>
        <v>0</v>
      </c>
      <c r="BG33" s="58">
        <f t="shared" si="6"/>
        <v>0</v>
      </c>
      <c r="BH33" s="58">
        <f t="shared" si="7"/>
        <v>0</v>
      </c>
      <c r="BI33" s="58">
        <f t="shared" si="8"/>
        <v>0</v>
      </c>
      <c r="BJ33" s="58">
        <f t="shared" si="9"/>
        <v>0</v>
      </c>
      <c r="BK33" s="58">
        <f t="shared" si="10"/>
        <v>8</v>
      </c>
    </row>
    <row r="34" spans="1:63" ht="27" customHeight="1">
      <c r="A34" s="13">
        <f t="shared" si="11"/>
        <v>32</v>
      </c>
      <c r="B34" s="14" t="s">
        <v>434</v>
      </c>
      <c r="C34" s="10">
        <v>226</v>
      </c>
      <c r="D34" s="76" t="s">
        <v>435</v>
      </c>
      <c r="E34" s="77">
        <v>100463196</v>
      </c>
      <c r="F34" s="78" t="s">
        <v>436</v>
      </c>
      <c r="G34" s="79" t="s">
        <v>413</v>
      </c>
      <c r="H34" s="15" t="s">
        <v>437</v>
      </c>
      <c r="I34" s="16" t="s">
        <v>438</v>
      </c>
      <c r="J34" s="80" t="s">
        <v>178</v>
      </c>
      <c r="K34" s="24">
        <v>30275</v>
      </c>
      <c r="L34" s="82" t="s">
        <v>179</v>
      </c>
      <c r="M34" s="25">
        <v>41702</v>
      </c>
      <c r="N34" s="25"/>
      <c r="O34" s="17" t="s">
        <v>34</v>
      </c>
      <c r="P34" s="18" t="s">
        <v>386</v>
      </c>
      <c r="Q34" s="18" t="s">
        <v>181</v>
      </c>
      <c r="R34" s="17" t="s">
        <v>182</v>
      </c>
      <c r="S34" s="19" t="s">
        <v>211</v>
      </c>
      <c r="T34" s="22"/>
      <c r="U34" s="22"/>
      <c r="V34" s="21" t="s">
        <v>200</v>
      </c>
      <c r="W34" s="21" t="s">
        <v>184</v>
      </c>
      <c r="X34" s="17">
        <v>9</v>
      </c>
      <c r="Y34" s="77">
        <v>77211850</v>
      </c>
      <c r="Z34" s="21"/>
      <c r="AA34" s="86" t="s">
        <v>186</v>
      </c>
      <c r="AB34" s="21"/>
      <c r="AC34" s="21" t="s">
        <v>439</v>
      </c>
      <c r="AD34" s="108" t="s">
        <v>188</v>
      </c>
      <c r="AE34" s="108" t="s">
        <v>188</v>
      </c>
      <c r="AF34" s="89"/>
      <c r="AG34" s="108"/>
      <c r="AH34" s="59"/>
      <c r="AI34" s="59"/>
      <c r="AJ34" s="21" t="s">
        <v>203</v>
      </c>
      <c r="AK34" s="21" t="s">
        <v>190</v>
      </c>
      <c r="AL34" s="21" t="s">
        <v>190</v>
      </c>
      <c r="AM34" s="88" t="s">
        <v>440</v>
      </c>
      <c r="AN34" s="22">
        <v>182</v>
      </c>
      <c r="AO34" s="22">
        <v>6</v>
      </c>
      <c r="AP34" s="22">
        <v>0</v>
      </c>
      <c r="AQ34" s="22">
        <v>0</v>
      </c>
      <c r="AR34" s="22">
        <v>0</v>
      </c>
      <c r="AS34" s="22">
        <v>7</v>
      </c>
      <c r="AT34" s="22">
        <v>10</v>
      </c>
      <c r="AU34" s="316">
        <f t="shared" si="1"/>
        <v>205</v>
      </c>
      <c r="AV34" s="22">
        <v>190</v>
      </c>
      <c r="AW34" s="22">
        <v>6</v>
      </c>
      <c r="AX34" s="22">
        <v>0</v>
      </c>
      <c r="AY34" s="22">
        <v>0</v>
      </c>
      <c r="AZ34" s="22">
        <v>0</v>
      </c>
      <c r="BA34" s="22">
        <v>7</v>
      </c>
      <c r="BB34" s="22">
        <v>10</v>
      </c>
      <c r="BC34" s="316">
        <f t="shared" si="2"/>
        <v>213</v>
      </c>
      <c r="BD34" s="58">
        <f t="shared" si="3"/>
        <v>8</v>
      </c>
      <c r="BE34" s="58">
        <f t="shared" si="4"/>
        <v>0</v>
      </c>
      <c r="BF34" s="58">
        <f t="shared" si="5"/>
        <v>0</v>
      </c>
      <c r="BG34" s="58">
        <f t="shared" si="6"/>
        <v>0</v>
      </c>
      <c r="BH34" s="58">
        <f t="shared" si="7"/>
        <v>0</v>
      </c>
      <c r="BI34" s="58">
        <f t="shared" si="8"/>
        <v>0</v>
      </c>
      <c r="BJ34" s="58">
        <f t="shared" si="9"/>
        <v>0</v>
      </c>
      <c r="BK34" s="58">
        <f t="shared" si="10"/>
        <v>8</v>
      </c>
    </row>
    <row r="35" spans="1:63" ht="27" customHeight="1">
      <c r="A35" s="13">
        <f t="shared" si="11"/>
        <v>33</v>
      </c>
      <c r="B35" s="14" t="s">
        <v>441</v>
      </c>
      <c r="C35" s="10">
        <v>244</v>
      </c>
      <c r="D35" s="119" t="s">
        <v>442</v>
      </c>
      <c r="E35" s="77">
        <v>100399310</v>
      </c>
      <c r="F35" s="78" t="s">
        <v>443</v>
      </c>
      <c r="G35" s="79" t="s">
        <v>444</v>
      </c>
      <c r="H35" s="15" t="s">
        <v>445</v>
      </c>
      <c r="I35" s="16" t="s">
        <v>446</v>
      </c>
      <c r="J35" s="80" t="s">
        <v>178</v>
      </c>
      <c r="K35" s="24">
        <v>31205</v>
      </c>
      <c r="L35" s="82" t="s">
        <v>179</v>
      </c>
      <c r="M35" s="25">
        <v>41716</v>
      </c>
      <c r="N35" s="25"/>
      <c r="O35" s="17" t="s">
        <v>34</v>
      </c>
      <c r="P35" s="18" t="s">
        <v>273</v>
      </c>
      <c r="Q35" s="18" t="s">
        <v>181</v>
      </c>
      <c r="R35" s="17" t="s">
        <v>182</v>
      </c>
      <c r="S35" s="19" t="s">
        <v>256</v>
      </c>
      <c r="T35" s="22" t="s">
        <v>340</v>
      </c>
      <c r="U35" s="22" t="s">
        <v>447</v>
      </c>
      <c r="V35" s="21" t="s">
        <v>200</v>
      </c>
      <c r="W35" s="21">
        <v>1619</v>
      </c>
      <c r="X35" s="17">
        <v>6</v>
      </c>
      <c r="Y35" s="77" t="s">
        <v>184</v>
      </c>
      <c r="Z35" s="21"/>
      <c r="AA35" s="86" t="s">
        <v>186</v>
      </c>
      <c r="AB35" s="21"/>
      <c r="AC35" s="21" t="s">
        <v>356</v>
      </c>
      <c r="AD35" s="108" t="s">
        <v>189</v>
      </c>
      <c r="AE35" s="108"/>
      <c r="AF35" s="89"/>
      <c r="AG35" s="108"/>
      <c r="AH35" s="59"/>
      <c r="AI35" s="59"/>
      <c r="AJ35" s="21" t="s">
        <v>203</v>
      </c>
      <c r="AK35" s="21" t="s">
        <v>190</v>
      </c>
      <c r="AL35" s="21" t="s">
        <v>191</v>
      </c>
      <c r="AM35" s="88" t="s">
        <v>204</v>
      </c>
      <c r="AN35" s="22">
        <v>182</v>
      </c>
      <c r="AO35" s="22">
        <v>6</v>
      </c>
      <c r="AP35" s="22">
        <v>0</v>
      </c>
      <c r="AQ35" s="22">
        <v>0</v>
      </c>
      <c r="AR35" s="22">
        <v>0</v>
      </c>
      <c r="AS35" s="22">
        <v>7</v>
      </c>
      <c r="AT35" s="22">
        <v>10</v>
      </c>
      <c r="AU35" s="316">
        <f t="shared" si="1"/>
        <v>205</v>
      </c>
      <c r="AV35" s="22">
        <v>190</v>
      </c>
      <c r="AW35" s="22">
        <v>6</v>
      </c>
      <c r="AX35" s="22">
        <v>0</v>
      </c>
      <c r="AY35" s="22">
        <v>0</v>
      </c>
      <c r="AZ35" s="22">
        <v>0</v>
      </c>
      <c r="BA35" s="22">
        <v>7</v>
      </c>
      <c r="BB35" s="22">
        <v>10</v>
      </c>
      <c r="BC35" s="316">
        <f t="shared" si="2"/>
        <v>213</v>
      </c>
      <c r="BD35" s="58">
        <f t="shared" si="3"/>
        <v>8</v>
      </c>
      <c r="BE35" s="58">
        <f t="shared" si="4"/>
        <v>0</v>
      </c>
      <c r="BF35" s="58">
        <f t="shared" si="5"/>
        <v>0</v>
      </c>
      <c r="BG35" s="58">
        <f t="shared" si="6"/>
        <v>0</v>
      </c>
      <c r="BH35" s="58">
        <f t="shared" si="7"/>
        <v>0</v>
      </c>
      <c r="BI35" s="58">
        <f t="shared" si="8"/>
        <v>0</v>
      </c>
      <c r="BJ35" s="58">
        <f t="shared" si="9"/>
        <v>0</v>
      </c>
      <c r="BK35" s="58">
        <f t="shared" si="10"/>
        <v>8</v>
      </c>
    </row>
    <row r="36" spans="1:63" ht="27" customHeight="1">
      <c r="A36" s="13">
        <f t="shared" si="11"/>
        <v>34</v>
      </c>
      <c r="B36" s="14" t="s">
        <v>448</v>
      </c>
      <c r="C36" s="10">
        <v>271</v>
      </c>
      <c r="D36" s="76" t="s">
        <v>449</v>
      </c>
      <c r="E36" s="77">
        <v>110052399</v>
      </c>
      <c r="F36" s="78" t="s">
        <v>450</v>
      </c>
      <c r="G36" s="79" t="s">
        <v>451</v>
      </c>
      <c r="H36" s="15" t="s">
        <v>452</v>
      </c>
      <c r="I36" s="16" t="s">
        <v>453</v>
      </c>
      <c r="J36" s="80" t="s">
        <v>178</v>
      </c>
      <c r="K36" s="24">
        <v>29064</v>
      </c>
      <c r="L36" s="82" t="s">
        <v>179</v>
      </c>
      <c r="M36" s="25">
        <v>41730</v>
      </c>
      <c r="N36" s="25"/>
      <c r="O36" s="17" t="s">
        <v>34</v>
      </c>
      <c r="P36" s="18" t="s">
        <v>309</v>
      </c>
      <c r="Q36" s="18" t="s">
        <v>181</v>
      </c>
      <c r="R36" s="17" t="s">
        <v>182</v>
      </c>
      <c r="S36" s="19" t="s">
        <v>256</v>
      </c>
      <c r="T36" s="22"/>
      <c r="U36" s="22"/>
      <c r="V36" s="21" t="s">
        <v>184</v>
      </c>
      <c r="W36" s="21">
        <v>6289</v>
      </c>
      <c r="X36" s="120">
        <v>9</v>
      </c>
      <c r="Y36" s="77">
        <v>978745810</v>
      </c>
      <c r="Z36" s="21"/>
      <c r="AA36" s="86" t="s">
        <v>186</v>
      </c>
      <c r="AB36" s="21"/>
      <c r="AC36" s="21" t="s">
        <v>425</v>
      </c>
      <c r="AD36" s="108" t="s">
        <v>188</v>
      </c>
      <c r="AE36" s="108" t="s">
        <v>188</v>
      </c>
      <c r="AF36" s="89" t="s">
        <v>188</v>
      </c>
      <c r="AG36" s="108" t="s">
        <v>188</v>
      </c>
      <c r="AH36" s="59"/>
      <c r="AI36" s="59"/>
      <c r="AJ36" s="21" t="s">
        <v>203</v>
      </c>
      <c r="AK36" s="21" t="s">
        <v>190</v>
      </c>
      <c r="AL36" s="21" t="s">
        <v>190</v>
      </c>
      <c r="AM36" s="88" t="s">
        <v>454</v>
      </c>
      <c r="AN36" s="22">
        <v>182</v>
      </c>
      <c r="AO36" s="22">
        <v>6</v>
      </c>
      <c r="AP36" s="22">
        <v>0</v>
      </c>
      <c r="AQ36" s="22">
        <v>0</v>
      </c>
      <c r="AR36" s="22">
        <v>0</v>
      </c>
      <c r="AS36" s="22">
        <v>7</v>
      </c>
      <c r="AT36" s="22">
        <v>10</v>
      </c>
      <c r="AU36" s="316">
        <f t="shared" si="1"/>
        <v>205</v>
      </c>
      <c r="AV36" s="22">
        <v>190</v>
      </c>
      <c r="AW36" s="22">
        <v>6</v>
      </c>
      <c r="AX36" s="22">
        <v>0</v>
      </c>
      <c r="AY36" s="22">
        <v>0</v>
      </c>
      <c r="AZ36" s="22">
        <v>0</v>
      </c>
      <c r="BA36" s="22">
        <v>7</v>
      </c>
      <c r="BB36" s="22">
        <v>10</v>
      </c>
      <c r="BC36" s="316">
        <f t="shared" si="2"/>
        <v>213</v>
      </c>
      <c r="BD36" s="58">
        <f t="shared" si="3"/>
        <v>8</v>
      </c>
      <c r="BE36" s="58">
        <f t="shared" si="4"/>
        <v>0</v>
      </c>
      <c r="BF36" s="58">
        <f t="shared" si="5"/>
        <v>0</v>
      </c>
      <c r="BG36" s="58">
        <f t="shared" si="6"/>
        <v>0</v>
      </c>
      <c r="BH36" s="58">
        <f t="shared" si="7"/>
        <v>0</v>
      </c>
      <c r="BI36" s="58">
        <f t="shared" si="8"/>
        <v>0</v>
      </c>
      <c r="BJ36" s="58">
        <f t="shared" si="9"/>
        <v>0</v>
      </c>
      <c r="BK36" s="58">
        <f t="shared" si="10"/>
        <v>8</v>
      </c>
    </row>
    <row r="37" spans="1:63" ht="27" customHeight="1">
      <c r="A37" s="13">
        <f t="shared" si="11"/>
        <v>35</v>
      </c>
      <c r="B37" s="14" t="s">
        <v>455</v>
      </c>
      <c r="C37" s="10">
        <v>283</v>
      </c>
      <c r="D37" s="76" t="s">
        <v>456</v>
      </c>
      <c r="E37" s="77">
        <v>130098925</v>
      </c>
      <c r="F37" s="78" t="s">
        <v>457</v>
      </c>
      <c r="G37" s="79" t="s">
        <v>458</v>
      </c>
      <c r="H37" s="15" t="s">
        <v>459</v>
      </c>
      <c r="I37" s="16" t="s">
        <v>460</v>
      </c>
      <c r="J37" s="80" t="s">
        <v>178</v>
      </c>
      <c r="K37" s="24">
        <v>34151</v>
      </c>
      <c r="L37" s="82" t="s">
        <v>179</v>
      </c>
      <c r="M37" s="83">
        <v>41750</v>
      </c>
      <c r="N37" s="25"/>
      <c r="O37" s="17" t="s">
        <v>34</v>
      </c>
      <c r="P37" s="18" t="s">
        <v>301</v>
      </c>
      <c r="Q37" s="18" t="s">
        <v>181</v>
      </c>
      <c r="R37" s="17" t="s">
        <v>182</v>
      </c>
      <c r="S37" s="17" t="s">
        <v>228</v>
      </c>
      <c r="T37" s="22" t="s">
        <v>340</v>
      </c>
      <c r="U37" s="121" t="s">
        <v>447</v>
      </c>
      <c r="V37" s="21" t="s">
        <v>200</v>
      </c>
      <c r="W37" s="21">
        <v>8893</v>
      </c>
      <c r="X37" s="120">
        <v>5</v>
      </c>
      <c r="Y37" s="77">
        <v>16386891</v>
      </c>
      <c r="Z37" s="86"/>
      <c r="AA37" s="86" t="s">
        <v>186</v>
      </c>
      <c r="AB37" s="21"/>
      <c r="AC37" s="21" t="s">
        <v>425</v>
      </c>
      <c r="AD37" s="108" t="s">
        <v>189</v>
      </c>
      <c r="AE37" s="108" t="s">
        <v>189</v>
      </c>
      <c r="AF37" s="89"/>
      <c r="AG37" s="108"/>
      <c r="AH37" s="59"/>
      <c r="AI37" s="59"/>
      <c r="AJ37" s="21" t="s">
        <v>203</v>
      </c>
      <c r="AK37" s="21" t="s">
        <v>190</v>
      </c>
      <c r="AL37" s="21" t="s">
        <v>190</v>
      </c>
      <c r="AM37" s="88" t="s">
        <v>461</v>
      </c>
      <c r="AN37" s="22">
        <v>182</v>
      </c>
      <c r="AO37" s="22">
        <v>6</v>
      </c>
      <c r="AP37" s="22">
        <v>0</v>
      </c>
      <c r="AQ37" s="22">
        <v>0</v>
      </c>
      <c r="AR37" s="22">
        <v>0</v>
      </c>
      <c r="AS37" s="22">
        <v>7</v>
      </c>
      <c r="AT37" s="22">
        <v>10</v>
      </c>
      <c r="AU37" s="316">
        <f t="shared" si="1"/>
        <v>205</v>
      </c>
      <c r="AV37" s="22">
        <v>190</v>
      </c>
      <c r="AW37" s="22">
        <v>6</v>
      </c>
      <c r="AX37" s="22">
        <v>0</v>
      </c>
      <c r="AY37" s="22">
        <v>0</v>
      </c>
      <c r="AZ37" s="22">
        <v>0</v>
      </c>
      <c r="BA37" s="22">
        <v>7</v>
      </c>
      <c r="BB37" s="22">
        <v>10</v>
      </c>
      <c r="BC37" s="316">
        <f t="shared" si="2"/>
        <v>213</v>
      </c>
      <c r="BD37" s="58">
        <f t="shared" si="3"/>
        <v>8</v>
      </c>
      <c r="BE37" s="58">
        <f t="shared" si="4"/>
        <v>0</v>
      </c>
      <c r="BF37" s="58">
        <f t="shared" si="5"/>
        <v>0</v>
      </c>
      <c r="BG37" s="58">
        <f t="shared" si="6"/>
        <v>0</v>
      </c>
      <c r="BH37" s="58">
        <f t="shared" si="7"/>
        <v>0</v>
      </c>
      <c r="BI37" s="58">
        <f t="shared" si="8"/>
        <v>0</v>
      </c>
      <c r="BJ37" s="58">
        <f t="shared" si="9"/>
        <v>0</v>
      </c>
      <c r="BK37" s="58">
        <f t="shared" si="10"/>
        <v>8</v>
      </c>
    </row>
    <row r="38" spans="1:63" ht="27" customHeight="1">
      <c r="A38" s="13">
        <f t="shared" si="11"/>
        <v>36</v>
      </c>
      <c r="B38" s="14" t="s">
        <v>462</v>
      </c>
      <c r="C38" s="10">
        <v>286</v>
      </c>
      <c r="D38" s="76" t="s">
        <v>463</v>
      </c>
      <c r="E38" s="77">
        <v>10381978</v>
      </c>
      <c r="F38" s="78" t="s">
        <v>464</v>
      </c>
      <c r="G38" s="79" t="s">
        <v>465</v>
      </c>
      <c r="H38" s="15" t="s">
        <v>466</v>
      </c>
      <c r="I38" s="16" t="s">
        <v>29</v>
      </c>
      <c r="J38" s="80" t="s">
        <v>178</v>
      </c>
      <c r="K38" s="24">
        <v>26674</v>
      </c>
      <c r="L38" s="82" t="s">
        <v>179</v>
      </c>
      <c r="M38" s="25">
        <v>41751</v>
      </c>
      <c r="N38" s="25"/>
      <c r="O38" s="17" t="s">
        <v>34</v>
      </c>
      <c r="P38" s="18" t="s">
        <v>301</v>
      </c>
      <c r="Q38" s="18" t="s">
        <v>181</v>
      </c>
      <c r="R38" s="17" t="s">
        <v>182</v>
      </c>
      <c r="S38" s="13" t="s">
        <v>219</v>
      </c>
      <c r="T38" s="22"/>
      <c r="U38" s="22"/>
      <c r="V38" s="21" t="s">
        <v>200</v>
      </c>
      <c r="W38" s="21">
        <v>10821</v>
      </c>
      <c r="X38" s="120">
        <v>4</v>
      </c>
      <c r="Y38" s="77">
        <v>973692355</v>
      </c>
      <c r="Z38" s="21"/>
      <c r="AA38" s="86" t="s">
        <v>186</v>
      </c>
      <c r="AB38" s="21"/>
      <c r="AC38" s="122" t="s">
        <v>467</v>
      </c>
      <c r="AD38" s="122" t="s">
        <v>468</v>
      </c>
      <c r="AE38" s="108"/>
      <c r="AF38" s="89"/>
      <c r="AG38" s="108"/>
      <c r="AH38" s="59"/>
      <c r="AI38" s="59"/>
      <c r="AJ38" s="21" t="s">
        <v>203</v>
      </c>
      <c r="AK38" s="21" t="s">
        <v>190</v>
      </c>
      <c r="AL38" s="21" t="s">
        <v>190</v>
      </c>
      <c r="AM38" s="123" t="s">
        <v>469</v>
      </c>
      <c r="AN38" s="22">
        <v>182</v>
      </c>
      <c r="AO38" s="22">
        <v>6</v>
      </c>
      <c r="AP38" s="22">
        <v>0</v>
      </c>
      <c r="AQ38" s="22">
        <v>0</v>
      </c>
      <c r="AR38" s="22">
        <v>0</v>
      </c>
      <c r="AS38" s="22">
        <v>7</v>
      </c>
      <c r="AT38" s="22">
        <v>10</v>
      </c>
      <c r="AU38" s="316">
        <f t="shared" si="1"/>
        <v>205</v>
      </c>
      <c r="AV38" s="22">
        <v>190</v>
      </c>
      <c r="AW38" s="22">
        <v>6</v>
      </c>
      <c r="AX38" s="22">
        <v>0</v>
      </c>
      <c r="AY38" s="22">
        <v>0</v>
      </c>
      <c r="AZ38" s="22">
        <v>0</v>
      </c>
      <c r="BA38" s="22">
        <v>7</v>
      </c>
      <c r="BB38" s="22">
        <v>10</v>
      </c>
      <c r="BC38" s="316">
        <f t="shared" si="2"/>
        <v>213</v>
      </c>
      <c r="BD38" s="58">
        <f t="shared" si="3"/>
        <v>8</v>
      </c>
      <c r="BE38" s="58">
        <f t="shared" si="4"/>
        <v>0</v>
      </c>
      <c r="BF38" s="58">
        <f t="shared" si="5"/>
        <v>0</v>
      </c>
      <c r="BG38" s="58">
        <f t="shared" si="6"/>
        <v>0</v>
      </c>
      <c r="BH38" s="58">
        <f t="shared" si="7"/>
        <v>0</v>
      </c>
      <c r="BI38" s="58">
        <f t="shared" si="8"/>
        <v>0</v>
      </c>
      <c r="BJ38" s="58">
        <f t="shared" si="9"/>
        <v>0</v>
      </c>
      <c r="BK38" s="58">
        <f t="shared" si="10"/>
        <v>8</v>
      </c>
    </row>
    <row r="39" spans="1:63" ht="27" customHeight="1">
      <c r="A39" s="13">
        <f t="shared" si="11"/>
        <v>37</v>
      </c>
      <c r="B39" s="14" t="s">
        <v>470</v>
      </c>
      <c r="C39" s="10">
        <v>298</v>
      </c>
      <c r="D39" s="76" t="s">
        <v>471</v>
      </c>
      <c r="E39" s="77">
        <v>130009707</v>
      </c>
      <c r="F39" s="78" t="s">
        <v>472</v>
      </c>
      <c r="G39" s="79" t="s">
        <v>473</v>
      </c>
      <c r="H39" s="15" t="s">
        <v>474</v>
      </c>
      <c r="I39" s="16" t="s">
        <v>475</v>
      </c>
      <c r="J39" s="80" t="s">
        <v>178</v>
      </c>
      <c r="K39" s="24">
        <v>26830</v>
      </c>
      <c r="L39" s="82" t="s">
        <v>179</v>
      </c>
      <c r="M39" s="25">
        <v>41752</v>
      </c>
      <c r="N39" s="25"/>
      <c r="O39" s="17" t="s">
        <v>34</v>
      </c>
      <c r="P39" s="18" t="s">
        <v>301</v>
      </c>
      <c r="Q39" s="18" t="s">
        <v>181</v>
      </c>
      <c r="R39" s="17" t="s">
        <v>182</v>
      </c>
      <c r="S39" s="13" t="s">
        <v>219</v>
      </c>
      <c r="T39" s="22"/>
      <c r="U39" s="22"/>
      <c r="V39" s="21" t="s">
        <v>200</v>
      </c>
      <c r="W39" s="21" t="s">
        <v>184</v>
      </c>
      <c r="X39" s="120">
        <v>7</v>
      </c>
      <c r="Y39" s="77" t="s">
        <v>184</v>
      </c>
      <c r="Z39" s="21"/>
      <c r="AA39" s="86" t="s">
        <v>186</v>
      </c>
      <c r="AB39" s="21"/>
      <c r="AC39" s="122" t="s">
        <v>476</v>
      </c>
      <c r="AD39" s="122" t="s">
        <v>477</v>
      </c>
      <c r="AE39" s="122" t="s">
        <v>477</v>
      </c>
      <c r="AF39" s="89"/>
      <c r="AG39" s="108"/>
      <c r="AH39" s="59"/>
      <c r="AI39" s="59"/>
      <c r="AJ39" s="21" t="s">
        <v>203</v>
      </c>
      <c r="AK39" s="21" t="s">
        <v>190</v>
      </c>
      <c r="AL39" s="21" t="s">
        <v>190</v>
      </c>
      <c r="AM39" s="123" t="s">
        <v>478</v>
      </c>
      <c r="AN39" s="22">
        <v>182</v>
      </c>
      <c r="AO39" s="22">
        <v>6</v>
      </c>
      <c r="AP39" s="22">
        <v>0</v>
      </c>
      <c r="AQ39" s="22">
        <v>0</v>
      </c>
      <c r="AR39" s="22">
        <v>0</v>
      </c>
      <c r="AS39" s="22">
        <v>7</v>
      </c>
      <c r="AT39" s="22">
        <v>10</v>
      </c>
      <c r="AU39" s="316">
        <f t="shared" si="1"/>
        <v>205</v>
      </c>
      <c r="AV39" s="22">
        <v>190</v>
      </c>
      <c r="AW39" s="22">
        <v>6</v>
      </c>
      <c r="AX39" s="22">
        <v>0</v>
      </c>
      <c r="AY39" s="22">
        <v>0</v>
      </c>
      <c r="AZ39" s="22">
        <v>0</v>
      </c>
      <c r="BA39" s="22">
        <v>7</v>
      </c>
      <c r="BB39" s="22">
        <v>10</v>
      </c>
      <c r="BC39" s="316">
        <f t="shared" si="2"/>
        <v>213</v>
      </c>
      <c r="BD39" s="58">
        <f t="shared" si="3"/>
        <v>8</v>
      </c>
      <c r="BE39" s="58">
        <f t="shared" si="4"/>
        <v>0</v>
      </c>
      <c r="BF39" s="58">
        <f t="shared" si="5"/>
        <v>0</v>
      </c>
      <c r="BG39" s="58">
        <f t="shared" si="6"/>
        <v>0</v>
      </c>
      <c r="BH39" s="58">
        <f t="shared" si="7"/>
        <v>0</v>
      </c>
      <c r="BI39" s="58">
        <f t="shared" si="8"/>
        <v>0</v>
      </c>
      <c r="BJ39" s="58">
        <f t="shared" si="9"/>
        <v>0</v>
      </c>
      <c r="BK39" s="58">
        <f t="shared" si="10"/>
        <v>8</v>
      </c>
    </row>
    <row r="40" spans="1:63" ht="27" customHeight="1">
      <c r="A40" s="13">
        <f t="shared" si="11"/>
        <v>38</v>
      </c>
      <c r="B40" s="14" t="s">
        <v>479</v>
      </c>
      <c r="C40" s="10">
        <v>312</v>
      </c>
      <c r="D40" s="76" t="s">
        <v>480</v>
      </c>
      <c r="E40" s="77">
        <v>110297078</v>
      </c>
      <c r="F40" s="78" t="s">
        <v>481</v>
      </c>
      <c r="G40" s="79" t="s">
        <v>482</v>
      </c>
      <c r="H40" s="15" t="s">
        <v>483</v>
      </c>
      <c r="I40" s="16" t="s">
        <v>484</v>
      </c>
      <c r="J40" s="80" t="s">
        <v>178</v>
      </c>
      <c r="K40" s="24">
        <v>30906</v>
      </c>
      <c r="L40" s="82" t="s">
        <v>179</v>
      </c>
      <c r="M40" s="25">
        <v>41754</v>
      </c>
      <c r="N40" s="25"/>
      <c r="O40" s="17" t="s">
        <v>34</v>
      </c>
      <c r="P40" s="18" t="s">
        <v>301</v>
      </c>
      <c r="Q40" s="18" t="s">
        <v>181</v>
      </c>
      <c r="R40" s="17" t="s">
        <v>182</v>
      </c>
      <c r="S40" s="13" t="s">
        <v>228</v>
      </c>
      <c r="T40" s="22"/>
      <c r="U40" s="22"/>
      <c r="V40" s="21" t="s">
        <v>200</v>
      </c>
      <c r="W40" s="21" t="s">
        <v>184</v>
      </c>
      <c r="X40" s="120">
        <v>7</v>
      </c>
      <c r="Y40" s="77" t="s">
        <v>184</v>
      </c>
      <c r="Z40" s="21"/>
      <c r="AA40" s="86" t="s">
        <v>186</v>
      </c>
      <c r="AB40" s="21"/>
      <c r="AC40" s="122" t="s">
        <v>476</v>
      </c>
      <c r="AD40" s="122" t="s">
        <v>477</v>
      </c>
      <c r="AE40" s="122" t="s">
        <v>468</v>
      </c>
      <c r="AF40" s="124"/>
      <c r="AG40" s="108"/>
      <c r="AH40" s="59"/>
      <c r="AI40" s="59"/>
      <c r="AJ40" s="21" t="s">
        <v>203</v>
      </c>
      <c r="AK40" s="21" t="s">
        <v>190</v>
      </c>
      <c r="AL40" s="21" t="s">
        <v>191</v>
      </c>
      <c r="AM40" s="123" t="s">
        <v>485</v>
      </c>
      <c r="AN40" s="22">
        <v>182</v>
      </c>
      <c r="AO40" s="22">
        <v>6</v>
      </c>
      <c r="AP40" s="22">
        <v>0</v>
      </c>
      <c r="AQ40" s="22">
        <v>0</v>
      </c>
      <c r="AR40" s="22">
        <v>0</v>
      </c>
      <c r="AS40" s="22">
        <v>7</v>
      </c>
      <c r="AT40" s="22">
        <v>10</v>
      </c>
      <c r="AU40" s="316">
        <f t="shared" si="1"/>
        <v>205</v>
      </c>
      <c r="AV40" s="22">
        <v>190</v>
      </c>
      <c r="AW40" s="22">
        <v>6</v>
      </c>
      <c r="AX40" s="22">
        <v>0</v>
      </c>
      <c r="AY40" s="22">
        <v>0</v>
      </c>
      <c r="AZ40" s="22">
        <v>0</v>
      </c>
      <c r="BA40" s="22">
        <v>7</v>
      </c>
      <c r="BB40" s="22">
        <v>10</v>
      </c>
      <c r="BC40" s="316">
        <f t="shared" si="2"/>
        <v>213</v>
      </c>
      <c r="BD40" s="58">
        <f t="shared" si="3"/>
        <v>8</v>
      </c>
      <c r="BE40" s="58">
        <f t="shared" si="4"/>
        <v>0</v>
      </c>
      <c r="BF40" s="58">
        <f t="shared" si="5"/>
        <v>0</v>
      </c>
      <c r="BG40" s="58">
        <f t="shared" si="6"/>
        <v>0</v>
      </c>
      <c r="BH40" s="58">
        <f t="shared" si="7"/>
        <v>0</v>
      </c>
      <c r="BI40" s="58">
        <f t="shared" si="8"/>
        <v>0</v>
      </c>
      <c r="BJ40" s="58">
        <f t="shared" si="9"/>
        <v>0</v>
      </c>
      <c r="BK40" s="58">
        <f t="shared" si="10"/>
        <v>8</v>
      </c>
    </row>
    <row r="41" spans="1:63" ht="27" customHeight="1">
      <c r="A41" s="13">
        <f t="shared" si="11"/>
        <v>39</v>
      </c>
      <c r="B41" s="125" t="s">
        <v>486</v>
      </c>
      <c r="C41" s="125">
        <v>316</v>
      </c>
      <c r="D41" s="126" t="s">
        <v>487</v>
      </c>
      <c r="E41" s="127">
        <v>20978102</v>
      </c>
      <c r="F41" s="128" t="s">
        <v>488</v>
      </c>
      <c r="G41" s="129" t="s">
        <v>489</v>
      </c>
      <c r="H41" s="130" t="s">
        <v>98</v>
      </c>
      <c r="I41" s="131" t="s">
        <v>99</v>
      </c>
      <c r="J41" s="132" t="s">
        <v>178</v>
      </c>
      <c r="K41" s="133">
        <v>34981</v>
      </c>
      <c r="L41" s="134" t="s">
        <v>179</v>
      </c>
      <c r="M41" s="135">
        <v>41755</v>
      </c>
      <c r="N41" s="135"/>
      <c r="O41" s="136" t="s">
        <v>34</v>
      </c>
      <c r="P41" s="18" t="s">
        <v>81</v>
      </c>
      <c r="Q41" s="18" t="s">
        <v>181</v>
      </c>
      <c r="R41" s="136" t="s">
        <v>182</v>
      </c>
      <c r="S41" s="137" t="s">
        <v>331</v>
      </c>
      <c r="T41" s="138"/>
      <c r="U41" s="138"/>
      <c r="V41" s="139" t="s">
        <v>200</v>
      </c>
      <c r="W41" s="139">
        <v>233</v>
      </c>
      <c r="X41" s="140">
        <v>9</v>
      </c>
      <c r="Y41" s="127" t="s">
        <v>184</v>
      </c>
      <c r="Z41" s="141" t="s">
        <v>186</v>
      </c>
      <c r="AA41" s="139"/>
      <c r="AB41" s="139"/>
      <c r="AC41" s="139"/>
      <c r="AD41" s="142"/>
      <c r="AE41" s="142"/>
      <c r="AF41" s="143"/>
      <c r="AG41" s="142"/>
      <c r="AH41" s="144"/>
      <c r="AI41" s="144"/>
      <c r="AJ41" s="139" t="s">
        <v>203</v>
      </c>
      <c r="AK41" s="139" t="s">
        <v>190</v>
      </c>
      <c r="AL41" s="139" t="s">
        <v>191</v>
      </c>
      <c r="AM41" s="145" t="s">
        <v>490</v>
      </c>
      <c r="AN41" s="22">
        <v>182</v>
      </c>
      <c r="AO41" s="22">
        <v>6</v>
      </c>
      <c r="AP41" s="22">
        <v>0</v>
      </c>
      <c r="AQ41" s="22">
        <v>0</v>
      </c>
      <c r="AR41" s="22">
        <v>0</v>
      </c>
      <c r="AS41" s="22">
        <v>7</v>
      </c>
      <c r="AT41" s="22">
        <v>10</v>
      </c>
      <c r="AU41" s="316">
        <f t="shared" si="1"/>
        <v>205</v>
      </c>
      <c r="AV41" s="22">
        <v>190</v>
      </c>
      <c r="AW41" s="22">
        <v>6</v>
      </c>
      <c r="AX41" s="22">
        <v>0</v>
      </c>
      <c r="AY41" s="22">
        <v>0</v>
      </c>
      <c r="AZ41" s="22">
        <v>0</v>
      </c>
      <c r="BA41" s="22">
        <v>7</v>
      </c>
      <c r="BB41" s="22">
        <v>10</v>
      </c>
      <c r="BC41" s="316">
        <f t="shared" si="2"/>
        <v>213</v>
      </c>
      <c r="BD41" s="58">
        <f t="shared" si="3"/>
        <v>8</v>
      </c>
      <c r="BE41" s="58">
        <f t="shared" si="4"/>
        <v>0</v>
      </c>
      <c r="BF41" s="58">
        <f t="shared" si="5"/>
        <v>0</v>
      </c>
      <c r="BG41" s="58">
        <f t="shared" si="6"/>
        <v>0</v>
      </c>
      <c r="BH41" s="58">
        <f t="shared" si="7"/>
        <v>0</v>
      </c>
      <c r="BI41" s="58">
        <f t="shared" si="8"/>
        <v>0</v>
      </c>
      <c r="BJ41" s="58">
        <f t="shared" si="9"/>
        <v>0</v>
      </c>
      <c r="BK41" s="58">
        <f t="shared" si="10"/>
        <v>8</v>
      </c>
    </row>
    <row r="42" spans="1:63" ht="27" customHeight="1">
      <c r="A42" s="13">
        <f t="shared" si="11"/>
        <v>40</v>
      </c>
      <c r="B42" s="14" t="s">
        <v>491</v>
      </c>
      <c r="C42" s="10">
        <v>326</v>
      </c>
      <c r="D42" s="76" t="s">
        <v>492</v>
      </c>
      <c r="E42" s="77">
        <v>100371154</v>
      </c>
      <c r="F42" s="78" t="s">
        <v>493</v>
      </c>
      <c r="G42" s="79" t="s">
        <v>494</v>
      </c>
      <c r="H42" s="15" t="s">
        <v>495</v>
      </c>
      <c r="I42" s="16" t="s">
        <v>496</v>
      </c>
      <c r="J42" s="80" t="s">
        <v>178</v>
      </c>
      <c r="K42" s="24">
        <v>30929</v>
      </c>
      <c r="L42" s="82" t="s">
        <v>179</v>
      </c>
      <c r="M42" s="83">
        <v>41762</v>
      </c>
      <c r="N42" s="25"/>
      <c r="O42" s="17" t="s">
        <v>34</v>
      </c>
      <c r="P42" s="18" t="s">
        <v>348</v>
      </c>
      <c r="Q42" s="18" t="s">
        <v>181</v>
      </c>
      <c r="R42" s="19" t="s">
        <v>182</v>
      </c>
      <c r="S42" s="19" t="s">
        <v>256</v>
      </c>
      <c r="T42" s="20"/>
      <c r="U42" s="20"/>
      <c r="V42" s="84" t="s">
        <v>200</v>
      </c>
      <c r="W42" s="84">
        <v>2872</v>
      </c>
      <c r="X42" s="146">
        <v>6</v>
      </c>
      <c r="Y42" s="85" t="s">
        <v>184</v>
      </c>
      <c r="Z42" s="84"/>
      <c r="AA42" s="94" t="s">
        <v>186</v>
      </c>
      <c r="AB42" s="21"/>
      <c r="AC42" s="122" t="s">
        <v>497</v>
      </c>
      <c r="AD42" s="122" t="s">
        <v>477</v>
      </c>
      <c r="AE42" s="122" t="s">
        <v>477</v>
      </c>
      <c r="AF42" s="124"/>
      <c r="AG42" s="108"/>
      <c r="AH42" s="59"/>
      <c r="AI42" s="59"/>
      <c r="AJ42" s="21" t="s">
        <v>203</v>
      </c>
      <c r="AK42" s="21" t="s">
        <v>190</v>
      </c>
      <c r="AL42" s="21" t="s">
        <v>191</v>
      </c>
      <c r="AM42" s="123" t="s">
        <v>485</v>
      </c>
      <c r="AN42" s="22">
        <v>182</v>
      </c>
      <c r="AO42" s="22">
        <v>6</v>
      </c>
      <c r="AP42" s="22">
        <v>0</v>
      </c>
      <c r="AQ42" s="22">
        <v>0</v>
      </c>
      <c r="AR42" s="22">
        <v>0</v>
      </c>
      <c r="AS42" s="22">
        <v>7</v>
      </c>
      <c r="AT42" s="22">
        <v>10</v>
      </c>
      <c r="AU42" s="316">
        <f t="shared" si="1"/>
        <v>205</v>
      </c>
      <c r="AV42" s="22">
        <v>190</v>
      </c>
      <c r="AW42" s="22">
        <v>6</v>
      </c>
      <c r="AX42" s="22">
        <v>0</v>
      </c>
      <c r="AY42" s="22">
        <v>0</v>
      </c>
      <c r="AZ42" s="22">
        <v>0</v>
      </c>
      <c r="BA42" s="22">
        <v>7</v>
      </c>
      <c r="BB42" s="22">
        <v>10</v>
      </c>
      <c r="BC42" s="316">
        <f t="shared" si="2"/>
        <v>213</v>
      </c>
      <c r="BD42" s="58">
        <f t="shared" si="3"/>
        <v>8</v>
      </c>
      <c r="BE42" s="58">
        <f t="shared" si="4"/>
        <v>0</v>
      </c>
      <c r="BF42" s="58">
        <f t="shared" si="5"/>
        <v>0</v>
      </c>
      <c r="BG42" s="58">
        <f t="shared" si="6"/>
        <v>0</v>
      </c>
      <c r="BH42" s="58">
        <f t="shared" si="7"/>
        <v>0</v>
      </c>
      <c r="BI42" s="58">
        <f t="shared" si="8"/>
        <v>0</v>
      </c>
      <c r="BJ42" s="58">
        <f t="shared" si="9"/>
        <v>0</v>
      </c>
      <c r="BK42" s="58">
        <f t="shared" si="10"/>
        <v>8</v>
      </c>
    </row>
    <row r="43" spans="1:63" ht="27" customHeight="1">
      <c r="A43" s="13">
        <f t="shared" si="11"/>
        <v>41</v>
      </c>
      <c r="B43" s="14" t="s">
        <v>498</v>
      </c>
      <c r="C43" s="10">
        <v>355</v>
      </c>
      <c r="D43" s="76" t="s">
        <v>499</v>
      </c>
      <c r="E43" s="77">
        <v>70012129</v>
      </c>
      <c r="F43" s="78" t="s">
        <v>500</v>
      </c>
      <c r="G43" s="79" t="s">
        <v>501</v>
      </c>
      <c r="H43" s="15" t="s">
        <v>289</v>
      </c>
      <c r="I43" s="16" t="s">
        <v>502</v>
      </c>
      <c r="J43" s="80" t="s">
        <v>178</v>
      </c>
      <c r="K43" s="24">
        <v>29707</v>
      </c>
      <c r="L43" s="82" t="s">
        <v>179</v>
      </c>
      <c r="M43" s="25">
        <v>41765</v>
      </c>
      <c r="N43" s="25"/>
      <c r="O43" s="17" t="s">
        <v>34</v>
      </c>
      <c r="P43" s="18" t="s">
        <v>339</v>
      </c>
      <c r="Q43" s="18" t="s">
        <v>181</v>
      </c>
      <c r="R43" s="19" t="s">
        <v>182</v>
      </c>
      <c r="S43" s="18" t="s">
        <v>503</v>
      </c>
      <c r="T43" s="20"/>
      <c r="U43" s="20"/>
      <c r="V43" s="84" t="s">
        <v>184</v>
      </c>
      <c r="W43" s="84">
        <v>4236</v>
      </c>
      <c r="X43" s="146">
        <v>6</v>
      </c>
      <c r="Y43" s="85" t="s">
        <v>504</v>
      </c>
      <c r="Z43" s="84"/>
      <c r="AA43" s="84"/>
      <c r="AB43" s="86" t="s">
        <v>186</v>
      </c>
      <c r="AC43" s="122"/>
      <c r="AD43" s="122" t="s">
        <v>477</v>
      </c>
      <c r="AE43" s="122"/>
      <c r="AF43" s="124"/>
      <c r="AG43" s="108"/>
      <c r="AH43" s="59"/>
      <c r="AI43" s="59"/>
      <c r="AJ43" s="21" t="s">
        <v>203</v>
      </c>
      <c r="AK43" s="21" t="s">
        <v>190</v>
      </c>
      <c r="AL43" s="21" t="s">
        <v>191</v>
      </c>
      <c r="AM43" s="123" t="s">
        <v>505</v>
      </c>
      <c r="AN43" s="22">
        <v>182</v>
      </c>
      <c r="AO43" s="22">
        <v>6</v>
      </c>
      <c r="AP43" s="22">
        <v>0</v>
      </c>
      <c r="AQ43" s="22">
        <v>0</v>
      </c>
      <c r="AR43" s="22">
        <v>0</v>
      </c>
      <c r="AS43" s="22">
        <v>7</v>
      </c>
      <c r="AT43" s="22">
        <v>10</v>
      </c>
      <c r="AU43" s="316">
        <f t="shared" si="1"/>
        <v>205</v>
      </c>
      <c r="AV43" s="22">
        <v>190</v>
      </c>
      <c r="AW43" s="22">
        <v>6</v>
      </c>
      <c r="AX43" s="22">
        <v>0</v>
      </c>
      <c r="AY43" s="22">
        <v>0</v>
      </c>
      <c r="AZ43" s="22">
        <v>0</v>
      </c>
      <c r="BA43" s="22">
        <v>7</v>
      </c>
      <c r="BB43" s="22">
        <v>10</v>
      </c>
      <c r="BC43" s="316">
        <f t="shared" si="2"/>
        <v>213</v>
      </c>
      <c r="BD43" s="58">
        <f t="shared" si="3"/>
        <v>8</v>
      </c>
      <c r="BE43" s="58">
        <f t="shared" si="4"/>
        <v>0</v>
      </c>
      <c r="BF43" s="58">
        <f t="shared" si="5"/>
        <v>0</v>
      </c>
      <c r="BG43" s="58">
        <f t="shared" si="6"/>
        <v>0</v>
      </c>
      <c r="BH43" s="58">
        <f t="shared" si="7"/>
        <v>0</v>
      </c>
      <c r="BI43" s="58">
        <f t="shared" si="8"/>
        <v>0</v>
      </c>
      <c r="BJ43" s="58">
        <f t="shared" si="9"/>
        <v>0</v>
      </c>
      <c r="BK43" s="58">
        <f t="shared" si="10"/>
        <v>8</v>
      </c>
    </row>
    <row r="44" spans="1:63" ht="27" customHeight="1">
      <c r="A44" s="13">
        <f t="shared" si="11"/>
        <v>42</v>
      </c>
      <c r="B44" s="14" t="s">
        <v>506</v>
      </c>
      <c r="C44" s="10">
        <v>335</v>
      </c>
      <c r="D44" s="76" t="s">
        <v>507</v>
      </c>
      <c r="E44" s="77">
        <v>130009414</v>
      </c>
      <c r="F44" s="106" t="s">
        <v>508</v>
      </c>
      <c r="G44" s="107" t="s">
        <v>509</v>
      </c>
      <c r="H44" s="26" t="s">
        <v>510</v>
      </c>
      <c r="I44" s="27" t="s">
        <v>511</v>
      </c>
      <c r="J44" s="98" t="s">
        <v>178</v>
      </c>
      <c r="K44" s="28">
        <v>29999</v>
      </c>
      <c r="L44" s="82" t="s">
        <v>179</v>
      </c>
      <c r="M44" s="25">
        <v>41765</v>
      </c>
      <c r="N44" s="25"/>
      <c r="O44" s="17" t="s">
        <v>34</v>
      </c>
      <c r="P44" s="18" t="s">
        <v>512</v>
      </c>
      <c r="Q44" s="18" t="s">
        <v>181</v>
      </c>
      <c r="R44" s="17" t="s">
        <v>182</v>
      </c>
      <c r="S44" s="19" t="s">
        <v>256</v>
      </c>
      <c r="T44" s="22"/>
      <c r="U44" s="22"/>
      <c r="V44" s="21" t="s">
        <v>200</v>
      </c>
      <c r="W44" s="21" t="s">
        <v>184</v>
      </c>
      <c r="X44" s="120">
        <v>6</v>
      </c>
      <c r="Y44" s="77" t="s">
        <v>513</v>
      </c>
      <c r="Z44" s="21"/>
      <c r="AA44" s="86" t="s">
        <v>186</v>
      </c>
      <c r="AB44" s="21"/>
      <c r="AC44" s="122" t="s">
        <v>514</v>
      </c>
      <c r="AD44" s="122" t="s">
        <v>477</v>
      </c>
      <c r="AE44" s="122"/>
      <c r="AF44" s="124"/>
      <c r="AG44" s="122"/>
      <c r="AH44" s="59"/>
      <c r="AI44" s="59"/>
      <c r="AJ44" s="21" t="s">
        <v>203</v>
      </c>
      <c r="AK44" s="21" t="s">
        <v>190</v>
      </c>
      <c r="AL44" s="21" t="s">
        <v>191</v>
      </c>
      <c r="AM44" s="123" t="s">
        <v>515</v>
      </c>
      <c r="AN44" s="22">
        <v>182</v>
      </c>
      <c r="AO44" s="22">
        <v>6</v>
      </c>
      <c r="AP44" s="22">
        <v>0</v>
      </c>
      <c r="AQ44" s="22">
        <v>0</v>
      </c>
      <c r="AR44" s="22">
        <v>0</v>
      </c>
      <c r="AS44" s="22">
        <v>7</v>
      </c>
      <c r="AT44" s="22">
        <v>10</v>
      </c>
      <c r="AU44" s="316">
        <f t="shared" si="1"/>
        <v>205</v>
      </c>
      <c r="AV44" s="22">
        <v>190</v>
      </c>
      <c r="AW44" s="22">
        <v>6</v>
      </c>
      <c r="AX44" s="22">
        <v>0</v>
      </c>
      <c r="AY44" s="22">
        <v>0</v>
      </c>
      <c r="AZ44" s="22">
        <v>0</v>
      </c>
      <c r="BA44" s="22">
        <v>7</v>
      </c>
      <c r="BB44" s="22">
        <v>10</v>
      </c>
      <c r="BC44" s="316">
        <f t="shared" si="2"/>
        <v>213</v>
      </c>
      <c r="BD44" s="58">
        <f t="shared" si="3"/>
        <v>8</v>
      </c>
      <c r="BE44" s="58">
        <f t="shared" si="4"/>
        <v>0</v>
      </c>
      <c r="BF44" s="58">
        <f t="shared" si="5"/>
        <v>0</v>
      </c>
      <c r="BG44" s="58">
        <f t="shared" si="6"/>
        <v>0</v>
      </c>
      <c r="BH44" s="58">
        <f t="shared" si="7"/>
        <v>0</v>
      </c>
      <c r="BI44" s="58">
        <f t="shared" si="8"/>
        <v>0</v>
      </c>
      <c r="BJ44" s="58">
        <f t="shared" si="9"/>
        <v>0</v>
      </c>
      <c r="BK44" s="58">
        <f t="shared" si="10"/>
        <v>8</v>
      </c>
    </row>
    <row r="45" spans="1:63" ht="27" customHeight="1">
      <c r="A45" s="13">
        <f t="shared" si="11"/>
        <v>43</v>
      </c>
      <c r="B45" s="14" t="s">
        <v>516</v>
      </c>
      <c r="C45" s="10">
        <v>351</v>
      </c>
      <c r="D45" s="76" t="s">
        <v>517</v>
      </c>
      <c r="E45" s="77">
        <v>30407727</v>
      </c>
      <c r="F45" s="106" t="s">
        <v>518</v>
      </c>
      <c r="G45" s="107" t="s">
        <v>519</v>
      </c>
      <c r="H45" s="26" t="s">
        <v>520</v>
      </c>
      <c r="I45" s="27" t="s">
        <v>521</v>
      </c>
      <c r="J45" s="98" t="s">
        <v>178</v>
      </c>
      <c r="K45" s="28">
        <v>32567</v>
      </c>
      <c r="L45" s="82" t="s">
        <v>179</v>
      </c>
      <c r="M45" s="25">
        <v>41766</v>
      </c>
      <c r="N45" s="25"/>
      <c r="O45" s="17" t="s">
        <v>34</v>
      </c>
      <c r="P45" s="18" t="s">
        <v>339</v>
      </c>
      <c r="Q45" s="18" t="s">
        <v>181</v>
      </c>
      <c r="R45" s="17" t="s">
        <v>182</v>
      </c>
      <c r="S45" s="13" t="s">
        <v>228</v>
      </c>
      <c r="T45" s="22"/>
      <c r="U45" s="22" t="s">
        <v>522</v>
      </c>
      <c r="V45" s="21" t="s">
        <v>200</v>
      </c>
      <c r="W45" s="21">
        <v>1911</v>
      </c>
      <c r="X45" s="120">
        <v>10</v>
      </c>
      <c r="Y45" s="77" t="s">
        <v>523</v>
      </c>
      <c r="Z45" s="86" t="s">
        <v>186</v>
      </c>
      <c r="AA45" s="21"/>
      <c r="AB45" s="21"/>
      <c r="AC45" s="122"/>
      <c r="AD45" s="122"/>
      <c r="AE45" s="122"/>
      <c r="AF45" s="124"/>
      <c r="AG45" s="122"/>
      <c r="AH45" s="59"/>
      <c r="AI45" s="59"/>
      <c r="AJ45" s="21" t="s">
        <v>203</v>
      </c>
      <c r="AK45" s="21" t="s">
        <v>190</v>
      </c>
      <c r="AL45" s="21" t="s">
        <v>203</v>
      </c>
      <c r="AM45" s="123" t="s">
        <v>524</v>
      </c>
      <c r="AN45" s="22">
        <v>182</v>
      </c>
      <c r="AO45" s="22">
        <v>6</v>
      </c>
      <c r="AP45" s="22">
        <v>0</v>
      </c>
      <c r="AQ45" s="22">
        <v>5</v>
      </c>
      <c r="AR45" s="22">
        <v>0</v>
      </c>
      <c r="AS45" s="22">
        <v>7</v>
      </c>
      <c r="AT45" s="22">
        <v>10</v>
      </c>
      <c r="AU45" s="316">
        <f t="shared" si="1"/>
        <v>210</v>
      </c>
      <c r="AV45" s="22">
        <v>190</v>
      </c>
      <c r="AW45" s="22">
        <v>6</v>
      </c>
      <c r="AX45" s="22">
        <v>0</v>
      </c>
      <c r="AY45" s="22">
        <v>5</v>
      </c>
      <c r="AZ45" s="22">
        <v>0</v>
      </c>
      <c r="BA45" s="22">
        <v>7</v>
      </c>
      <c r="BB45" s="22">
        <v>10</v>
      </c>
      <c r="BC45" s="316">
        <f t="shared" si="2"/>
        <v>218</v>
      </c>
      <c r="BD45" s="58">
        <f t="shared" si="3"/>
        <v>8</v>
      </c>
      <c r="BE45" s="58">
        <f t="shared" si="4"/>
        <v>0</v>
      </c>
      <c r="BF45" s="58">
        <f t="shared" si="5"/>
        <v>0</v>
      </c>
      <c r="BG45" s="58">
        <f t="shared" si="6"/>
        <v>0</v>
      </c>
      <c r="BH45" s="58">
        <f t="shared" si="7"/>
        <v>0</v>
      </c>
      <c r="BI45" s="58">
        <f t="shared" si="8"/>
        <v>0</v>
      </c>
      <c r="BJ45" s="58">
        <f t="shared" si="9"/>
        <v>0</v>
      </c>
      <c r="BK45" s="58">
        <f t="shared" si="10"/>
        <v>8</v>
      </c>
    </row>
    <row r="46" spans="1:63" ht="27" customHeight="1">
      <c r="A46" s="13">
        <f t="shared" si="11"/>
        <v>44</v>
      </c>
      <c r="B46" s="14" t="s">
        <v>525</v>
      </c>
      <c r="C46" s="10">
        <v>372</v>
      </c>
      <c r="D46" s="76" t="s">
        <v>526</v>
      </c>
      <c r="E46" s="77">
        <v>130095311</v>
      </c>
      <c r="F46" s="106" t="s">
        <v>527</v>
      </c>
      <c r="G46" s="107" t="s">
        <v>528</v>
      </c>
      <c r="H46" s="26" t="s">
        <v>529</v>
      </c>
      <c r="I46" s="27" t="s">
        <v>530</v>
      </c>
      <c r="J46" s="98" t="s">
        <v>209</v>
      </c>
      <c r="K46" s="28">
        <v>30348</v>
      </c>
      <c r="L46" s="82" t="s">
        <v>179</v>
      </c>
      <c r="M46" s="25">
        <v>41765</v>
      </c>
      <c r="N46" s="25"/>
      <c r="O46" s="17" t="s">
        <v>531</v>
      </c>
      <c r="P46" s="18" t="s">
        <v>532</v>
      </c>
      <c r="Q46" s="18" t="s">
        <v>181</v>
      </c>
      <c r="R46" s="17" t="s">
        <v>182</v>
      </c>
      <c r="S46" s="13" t="s">
        <v>533</v>
      </c>
      <c r="T46" s="147"/>
      <c r="U46" s="22" t="s">
        <v>534</v>
      </c>
      <c r="V46" s="21" t="s">
        <v>200</v>
      </c>
      <c r="W46" s="21">
        <v>106</v>
      </c>
      <c r="X46" s="120">
        <v>10</v>
      </c>
      <c r="Y46" s="77" t="s">
        <v>535</v>
      </c>
      <c r="Z46" s="21"/>
      <c r="AA46" s="86" t="s">
        <v>186</v>
      </c>
      <c r="AB46" s="21"/>
      <c r="AC46" s="122" t="s">
        <v>536</v>
      </c>
      <c r="AD46" s="122" t="s">
        <v>477</v>
      </c>
      <c r="AE46" s="122" t="s">
        <v>477</v>
      </c>
      <c r="AF46" s="124" t="s">
        <v>477</v>
      </c>
      <c r="AG46" s="122"/>
      <c r="AH46" s="59"/>
      <c r="AI46" s="59"/>
      <c r="AJ46" s="21" t="s">
        <v>203</v>
      </c>
      <c r="AK46" s="21" t="s">
        <v>190</v>
      </c>
      <c r="AL46" s="21" t="s">
        <v>191</v>
      </c>
      <c r="AM46" s="123" t="s">
        <v>537</v>
      </c>
      <c r="AN46" s="22">
        <v>182</v>
      </c>
      <c r="AO46" s="22">
        <v>6</v>
      </c>
      <c r="AP46" s="22">
        <v>0</v>
      </c>
      <c r="AQ46" s="22">
        <v>345</v>
      </c>
      <c r="AR46" s="22">
        <v>20</v>
      </c>
      <c r="AS46" s="22">
        <v>7</v>
      </c>
      <c r="AT46" s="22">
        <v>10</v>
      </c>
      <c r="AU46" s="316">
        <f t="shared" si="1"/>
        <v>570</v>
      </c>
      <c r="AV46" s="22">
        <v>190</v>
      </c>
      <c r="AW46" s="22">
        <v>6</v>
      </c>
      <c r="AX46" s="22">
        <v>0</v>
      </c>
      <c r="AY46" s="22">
        <v>345</v>
      </c>
      <c r="AZ46" s="22">
        <v>20</v>
      </c>
      <c r="BA46" s="22">
        <v>7</v>
      </c>
      <c r="BB46" s="22">
        <v>10</v>
      </c>
      <c r="BC46" s="316">
        <f t="shared" si="2"/>
        <v>578</v>
      </c>
      <c r="BD46" s="58">
        <f t="shared" si="3"/>
        <v>8</v>
      </c>
      <c r="BE46" s="58">
        <f t="shared" si="4"/>
        <v>0</v>
      </c>
      <c r="BF46" s="58">
        <f t="shared" si="5"/>
        <v>0</v>
      </c>
      <c r="BG46" s="58">
        <f t="shared" si="6"/>
        <v>0</v>
      </c>
      <c r="BH46" s="58">
        <f t="shared" si="7"/>
        <v>0</v>
      </c>
      <c r="BI46" s="58">
        <f t="shared" si="8"/>
        <v>0</v>
      </c>
      <c r="BJ46" s="58">
        <f t="shared" si="9"/>
        <v>0</v>
      </c>
      <c r="BK46" s="58">
        <f t="shared" si="10"/>
        <v>8</v>
      </c>
    </row>
    <row r="47" spans="1:63" ht="27" customHeight="1">
      <c r="A47" s="13">
        <f t="shared" si="11"/>
        <v>45</v>
      </c>
      <c r="B47" s="14" t="s">
        <v>538</v>
      </c>
      <c r="C47" s="10">
        <v>333</v>
      </c>
      <c r="D47" s="76" t="s">
        <v>539</v>
      </c>
      <c r="E47" s="77">
        <v>60299516</v>
      </c>
      <c r="F47" s="106" t="s">
        <v>540</v>
      </c>
      <c r="G47" s="107" t="s">
        <v>541</v>
      </c>
      <c r="H47" s="26" t="s">
        <v>542</v>
      </c>
      <c r="I47" s="27" t="s">
        <v>543</v>
      </c>
      <c r="J47" s="98" t="s">
        <v>178</v>
      </c>
      <c r="K47" s="28">
        <v>28524</v>
      </c>
      <c r="L47" s="82" t="s">
        <v>179</v>
      </c>
      <c r="M47" s="25">
        <v>41765</v>
      </c>
      <c r="N47" s="25"/>
      <c r="O47" s="17" t="s">
        <v>34</v>
      </c>
      <c r="P47" s="18" t="s">
        <v>512</v>
      </c>
      <c r="Q47" s="18" t="s">
        <v>181</v>
      </c>
      <c r="R47" s="17" t="s">
        <v>182</v>
      </c>
      <c r="S47" s="19" t="s">
        <v>183</v>
      </c>
      <c r="T47" s="22"/>
      <c r="U47" s="22"/>
      <c r="V47" s="21" t="s">
        <v>184</v>
      </c>
      <c r="W47" s="21">
        <v>1736</v>
      </c>
      <c r="X47" s="120">
        <v>6</v>
      </c>
      <c r="Y47" s="77" t="s">
        <v>544</v>
      </c>
      <c r="Z47" s="21"/>
      <c r="AA47" s="86" t="s">
        <v>186</v>
      </c>
      <c r="AB47" s="21"/>
      <c r="AC47" s="122" t="s">
        <v>545</v>
      </c>
      <c r="AD47" s="122" t="s">
        <v>477</v>
      </c>
      <c r="AE47" s="122" t="s">
        <v>477</v>
      </c>
      <c r="AF47" s="124" t="s">
        <v>477</v>
      </c>
      <c r="AG47" s="122" t="s">
        <v>477</v>
      </c>
      <c r="AH47" s="122"/>
      <c r="AI47" s="59"/>
      <c r="AJ47" s="21" t="s">
        <v>203</v>
      </c>
      <c r="AK47" s="21" t="s">
        <v>190</v>
      </c>
      <c r="AL47" s="21" t="s">
        <v>191</v>
      </c>
      <c r="AM47" s="123" t="s">
        <v>537</v>
      </c>
      <c r="AN47" s="22">
        <v>182</v>
      </c>
      <c r="AO47" s="22">
        <v>6</v>
      </c>
      <c r="AP47" s="22">
        <v>0</v>
      </c>
      <c r="AQ47" s="22">
        <v>0</v>
      </c>
      <c r="AR47" s="22">
        <v>0</v>
      </c>
      <c r="AS47" s="22">
        <v>7</v>
      </c>
      <c r="AT47" s="22">
        <v>10</v>
      </c>
      <c r="AU47" s="316">
        <f t="shared" si="1"/>
        <v>205</v>
      </c>
      <c r="AV47" s="22">
        <v>190</v>
      </c>
      <c r="AW47" s="22">
        <v>6</v>
      </c>
      <c r="AX47" s="22">
        <v>0</v>
      </c>
      <c r="AY47" s="22">
        <v>0</v>
      </c>
      <c r="AZ47" s="22">
        <v>0</v>
      </c>
      <c r="BA47" s="22">
        <v>7</v>
      </c>
      <c r="BB47" s="22">
        <v>10</v>
      </c>
      <c r="BC47" s="316">
        <f t="shared" si="2"/>
        <v>213</v>
      </c>
      <c r="BD47" s="58">
        <f t="shared" si="3"/>
        <v>8</v>
      </c>
      <c r="BE47" s="58">
        <f t="shared" si="4"/>
        <v>0</v>
      </c>
      <c r="BF47" s="58">
        <f t="shared" si="5"/>
        <v>0</v>
      </c>
      <c r="BG47" s="58">
        <f t="shared" si="6"/>
        <v>0</v>
      </c>
      <c r="BH47" s="58">
        <f t="shared" si="7"/>
        <v>0</v>
      </c>
      <c r="BI47" s="58">
        <f t="shared" si="8"/>
        <v>0</v>
      </c>
      <c r="BJ47" s="58">
        <f t="shared" si="9"/>
        <v>0</v>
      </c>
      <c r="BK47" s="58">
        <f t="shared" si="10"/>
        <v>8</v>
      </c>
    </row>
    <row r="48" spans="1:63" ht="27" customHeight="1">
      <c r="A48" s="13">
        <f t="shared" si="11"/>
        <v>46</v>
      </c>
      <c r="B48" s="14" t="s">
        <v>546</v>
      </c>
      <c r="C48" s="10">
        <v>385</v>
      </c>
      <c r="D48" s="76" t="s">
        <v>547</v>
      </c>
      <c r="E48" s="77">
        <v>130098087</v>
      </c>
      <c r="F48" s="106" t="s">
        <v>548</v>
      </c>
      <c r="G48" s="107" t="s">
        <v>549</v>
      </c>
      <c r="H48" s="26" t="s">
        <v>550</v>
      </c>
      <c r="I48" s="27" t="s">
        <v>551</v>
      </c>
      <c r="J48" s="98" t="s">
        <v>209</v>
      </c>
      <c r="K48" s="28">
        <v>33217</v>
      </c>
      <c r="L48" s="82" t="s">
        <v>179</v>
      </c>
      <c r="M48" s="25">
        <v>41782</v>
      </c>
      <c r="N48" s="25"/>
      <c r="O48" s="17" t="s">
        <v>291</v>
      </c>
      <c r="P48" s="18" t="s">
        <v>552</v>
      </c>
      <c r="Q48" s="18" t="s">
        <v>181</v>
      </c>
      <c r="R48" s="17" t="s">
        <v>182</v>
      </c>
      <c r="S48" s="13" t="s">
        <v>228</v>
      </c>
      <c r="T48" s="22"/>
      <c r="U48" s="22"/>
      <c r="V48" s="21" t="s">
        <v>200</v>
      </c>
      <c r="W48" s="21">
        <v>5131</v>
      </c>
      <c r="X48" s="120">
        <v>10</v>
      </c>
      <c r="Y48" s="77" t="s">
        <v>553</v>
      </c>
      <c r="Z48" s="86" t="s">
        <v>186</v>
      </c>
      <c r="AA48" s="21"/>
      <c r="AB48" s="21"/>
      <c r="AC48" s="122"/>
      <c r="AD48" s="122"/>
      <c r="AE48" s="122"/>
      <c r="AF48" s="124"/>
      <c r="AG48" s="122"/>
      <c r="AH48" s="59"/>
      <c r="AI48" s="59"/>
      <c r="AJ48" s="21" t="s">
        <v>203</v>
      </c>
      <c r="AK48" s="21" t="s">
        <v>190</v>
      </c>
      <c r="AL48" s="21" t="s">
        <v>191</v>
      </c>
      <c r="AM48" s="123" t="s">
        <v>554</v>
      </c>
      <c r="AN48" s="22">
        <v>182</v>
      </c>
      <c r="AO48" s="22">
        <v>6</v>
      </c>
      <c r="AP48" s="22">
        <v>0</v>
      </c>
      <c r="AQ48" s="22">
        <v>30</v>
      </c>
      <c r="AR48" s="22">
        <v>0</v>
      </c>
      <c r="AS48" s="22">
        <v>7</v>
      </c>
      <c r="AT48" s="22">
        <v>10</v>
      </c>
      <c r="AU48" s="316">
        <f t="shared" si="1"/>
        <v>235</v>
      </c>
      <c r="AV48" s="22">
        <v>190</v>
      </c>
      <c r="AW48" s="22">
        <v>6</v>
      </c>
      <c r="AX48" s="22">
        <v>0</v>
      </c>
      <c r="AY48" s="22">
        <v>30</v>
      </c>
      <c r="AZ48" s="22">
        <v>0</v>
      </c>
      <c r="BA48" s="22">
        <v>7</v>
      </c>
      <c r="BB48" s="22">
        <v>10</v>
      </c>
      <c r="BC48" s="316">
        <f t="shared" si="2"/>
        <v>243</v>
      </c>
      <c r="BD48" s="58">
        <f t="shared" si="3"/>
        <v>8</v>
      </c>
      <c r="BE48" s="58">
        <f t="shared" si="4"/>
        <v>0</v>
      </c>
      <c r="BF48" s="58">
        <f t="shared" si="5"/>
        <v>0</v>
      </c>
      <c r="BG48" s="58">
        <f t="shared" si="6"/>
        <v>0</v>
      </c>
      <c r="BH48" s="58">
        <f t="shared" si="7"/>
        <v>0</v>
      </c>
      <c r="BI48" s="58">
        <f t="shared" si="8"/>
        <v>0</v>
      </c>
      <c r="BJ48" s="58">
        <f t="shared" si="9"/>
        <v>0</v>
      </c>
      <c r="BK48" s="58">
        <f t="shared" si="10"/>
        <v>8</v>
      </c>
    </row>
    <row r="49" spans="1:63" ht="27" customHeight="1">
      <c r="A49" s="13">
        <f t="shared" si="11"/>
        <v>47</v>
      </c>
      <c r="B49" s="14" t="s">
        <v>555</v>
      </c>
      <c r="C49" s="10">
        <v>404</v>
      </c>
      <c r="D49" s="76" t="s">
        <v>556</v>
      </c>
      <c r="E49" s="77">
        <v>50793804</v>
      </c>
      <c r="F49" s="106" t="s">
        <v>557</v>
      </c>
      <c r="G49" s="107" t="s">
        <v>558</v>
      </c>
      <c r="H49" s="26" t="s">
        <v>559</v>
      </c>
      <c r="I49" s="27" t="s">
        <v>560</v>
      </c>
      <c r="J49" s="98" t="s">
        <v>178</v>
      </c>
      <c r="K49" s="28">
        <v>34116</v>
      </c>
      <c r="L49" s="82" t="s">
        <v>179</v>
      </c>
      <c r="M49" s="25">
        <v>41793</v>
      </c>
      <c r="N49" s="25"/>
      <c r="O49" s="17" t="s">
        <v>291</v>
      </c>
      <c r="P49" s="18" t="s">
        <v>561</v>
      </c>
      <c r="Q49" s="18" t="s">
        <v>181</v>
      </c>
      <c r="R49" s="17" t="s">
        <v>182</v>
      </c>
      <c r="S49" s="13" t="s">
        <v>331</v>
      </c>
      <c r="T49" s="22"/>
      <c r="U49" s="22"/>
      <c r="V49" s="21" t="s">
        <v>200</v>
      </c>
      <c r="W49" s="21" t="s">
        <v>184</v>
      </c>
      <c r="X49" s="120">
        <v>9</v>
      </c>
      <c r="Y49" s="77" t="s">
        <v>184</v>
      </c>
      <c r="Z49" s="86"/>
      <c r="AA49" s="86" t="s">
        <v>186</v>
      </c>
      <c r="AB49" s="21"/>
      <c r="AC49" s="122" t="s">
        <v>562</v>
      </c>
      <c r="AD49" s="122" t="s">
        <v>563</v>
      </c>
      <c r="AE49" s="122"/>
      <c r="AF49" s="124"/>
      <c r="AG49" s="122"/>
      <c r="AH49" s="59"/>
      <c r="AI49" s="59"/>
      <c r="AJ49" s="21" t="s">
        <v>203</v>
      </c>
      <c r="AK49" s="21" t="s">
        <v>190</v>
      </c>
      <c r="AL49" s="21" t="s">
        <v>190</v>
      </c>
      <c r="AM49" s="123" t="s">
        <v>564</v>
      </c>
      <c r="AN49" s="22">
        <v>182</v>
      </c>
      <c r="AO49" s="22">
        <v>6</v>
      </c>
      <c r="AP49" s="22">
        <v>0</v>
      </c>
      <c r="AQ49" s="22">
        <v>10</v>
      </c>
      <c r="AR49" s="22">
        <v>0</v>
      </c>
      <c r="AS49" s="22">
        <v>7</v>
      </c>
      <c r="AT49" s="22">
        <v>10</v>
      </c>
      <c r="AU49" s="316">
        <f t="shared" si="1"/>
        <v>215</v>
      </c>
      <c r="AV49" s="22">
        <v>190</v>
      </c>
      <c r="AW49" s="22">
        <v>6</v>
      </c>
      <c r="AX49" s="22">
        <v>0</v>
      </c>
      <c r="AY49" s="22">
        <v>10</v>
      </c>
      <c r="AZ49" s="22">
        <v>0</v>
      </c>
      <c r="BA49" s="22">
        <v>7</v>
      </c>
      <c r="BB49" s="22">
        <v>10</v>
      </c>
      <c r="BC49" s="316">
        <f t="shared" si="2"/>
        <v>223</v>
      </c>
      <c r="BD49" s="58">
        <f t="shared" si="3"/>
        <v>8</v>
      </c>
      <c r="BE49" s="58">
        <f t="shared" si="4"/>
        <v>0</v>
      </c>
      <c r="BF49" s="58">
        <f t="shared" si="5"/>
        <v>0</v>
      </c>
      <c r="BG49" s="58">
        <f t="shared" si="6"/>
        <v>0</v>
      </c>
      <c r="BH49" s="58">
        <f t="shared" si="7"/>
        <v>0</v>
      </c>
      <c r="BI49" s="58">
        <f t="shared" si="8"/>
        <v>0</v>
      </c>
      <c r="BJ49" s="58">
        <f t="shared" si="9"/>
        <v>0</v>
      </c>
      <c r="BK49" s="58">
        <f t="shared" si="10"/>
        <v>8</v>
      </c>
    </row>
    <row r="50" spans="1:63" ht="27" customHeight="1">
      <c r="A50" s="13">
        <f t="shared" si="11"/>
        <v>48</v>
      </c>
      <c r="B50" s="14" t="s">
        <v>565</v>
      </c>
      <c r="C50" s="10">
        <v>405</v>
      </c>
      <c r="D50" s="76" t="s">
        <v>566</v>
      </c>
      <c r="E50" s="77">
        <v>50699506</v>
      </c>
      <c r="F50" s="106" t="s">
        <v>557</v>
      </c>
      <c r="G50" s="107" t="s">
        <v>567</v>
      </c>
      <c r="H50" s="26" t="s">
        <v>559</v>
      </c>
      <c r="I50" s="27" t="s">
        <v>568</v>
      </c>
      <c r="J50" s="98" t="s">
        <v>178</v>
      </c>
      <c r="K50" s="28">
        <v>33258</v>
      </c>
      <c r="L50" s="82" t="s">
        <v>179</v>
      </c>
      <c r="M50" s="25">
        <v>41793</v>
      </c>
      <c r="N50" s="25"/>
      <c r="O50" s="17" t="s">
        <v>34</v>
      </c>
      <c r="P50" s="18" t="s">
        <v>309</v>
      </c>
      <c r="Q50" s="18" t="s">
        <v>181</v>
      </c>
      <c r="R50" s="17" t="s">
        <v>182</v>
      </c>
      <c r="S50" s="13" t="s">
        <v>331</v>
      </c>
      <c r="T50" s="22"/>
      <c r="U50" s="22"/>
      <c r="V50" s="21" t="s">
        <v>200</v>
      </c>
      <c r="W50" s="21" t="s">
        <v>184</v>
      </c>
      <c r="X50" s="120">
        <v>9</v>
      </c>
      <c r="Y50" s="77" t="s">
        <v>184</v>
      </c>
      <c r="Z50" s="86" t="s">
        <v>186</v>
      </c>
      <c r="AA50" s="21"/>
      <c r="AB50" s="21"/>
      <c r="AC50" s="122"/>
      <c r="AD50" s="122"/>
      <c r="AE50" s="122"/>
      <c r="AF50" s="124"/>
      <c r="AG50" s="122"/>
      <c r="AH50" s="59"/>
      <c r="AI50" s="59"/>
      <c r="AJ50" s="21" t="s">
        <v>203</v>
      </c>
      <c r="AK50" s="21" t="s">
        <v>190</v>
      </c>
      <c r="AL50" s="21" t="s">
        <v>191</v>
      </c>
      <c r="AM50" s="123" t="s">
        <v>569</v>
      </c>
      <c r="AN50" s="22">
        <v>182</v>
      </c>
      <c r="AO50" s="22">
        <v>6</v>
      </c>
      <c r="AP50" s="22">
        <v>0</v>
      </c>
      <c r="AQ50" s="22">
        <v>0</v>
      </c>
      <c r="AR50" s="22">
        <v>0</v>
      </c>
      <c r="AS50" s="22">
        <v>7</v>
      </c>
      <c r="AT50" s="22">
        <v>10</v>
      </c>
      <c r="AU50" s="316">
        <f t="shared" si="1"/>
        <v>205</v>
      </c>
      <c r="AV50" s="22">
        <v>190</v>
      </c>
      <c r="AW50" s="22">
        <v>6</v>
      </c>
      <c r="AX50" s="22">
        <v>0</v>
      </c>
      <c r="AY50" s="22">
        <v>0</v>
      </c>
      <c r="AZ50" s="22">
        <v>0</v>
      </c>
      <c r="BA50" s="22">
        <v>7</v>
      </c>
      <c r="BB50" s="22">
        <v>10</v>
      </c>
      <c r="BC50" s="316">
        <f t="shared" si="2"/>
        <v>213</v>
      </c>
      <c r="BD50" s="58">
        <f t="shared" si="3"/>
        <v>8</v>
      </c>
      <c r="BE50" s="58">
        <f t="shared" si="4"/>
        <v>0</v>
      </c>
      <c r="BF50" s="58">
        <f t="shared" si="5"/>
        <v>0</v>
      </c>
      <c r="BG50" s="58">
        <f t="shared" si="6"/>
        <v>0</v>
      </c>
      <c r="BH50" s="58">
        <f t="shared" si="7"/>
        <v>0</v>
      </c>
      <c r="BI50" s="58">
        <f t="shared" si="8"/>
        <v>0</v>
      </c>
      <c r="BJ50" s="58">
        <f t="shared" si="9"/>
        <v>0</v>
      </c>
      <c r="BK50" s="58">
        <f t="shared" si="10"/>
        <v>8</v>
      </c>
    </row>
    <row r="51" spans="1:63" ht="27" customHeight="1">
      <c r="A51" s="13">
        <f t="shared" si="11"/>
        <v>49</v>
      </c>
      <c r="B51" s="14" t="s">
        <v>570</v>
      </c>
      <c r="C51" s="10">
        <v>468</v>
      </c>
      <c r="D51" s="76" t="s">
        <v>571</v>
      </c>
      <c r="E51" s="77">
        <v>11028994</v>
      </c>
      <c r="F51" s="78" t="s">
        <v>572</v>
      </c>
      <c r="G51" s="79" t="s">
        <v>573</v>
      </c>
      <c r="H51" s="15" t="s">
        <v>574</v>
      </c>
      <c r="I51" s="16" t="s">
        <v>542</v>
      </c>
      <c r="J51" s="80" t="s">
        <v>178</v>
      </c>
      <c r="K51" s="24">
        <v>30138</v>
      </c>
      <c r="L51" s="82" t="s">
        <v>179</v>
      </c>
      <c r="M51" s="25">
        <v>41817</v>
      </c>
      <c r="N51" s="25"/>
      <c r="O51" s="17" t="s">
        <v>34</v>
      </c>
      <c r="P51" s="18" t="s">
        <v>318</v>
      </c>
      <c r="Q51" s="18" t="s">
        <v>249</v>
      </c>
      <c r="R51" s="17" t="s">
        <v>182</v>
      </c>
      <c r="S51" s="19" t="s">
        <v>256</v>
      </c>
      <c r="T51" s="22"/>
      <c r="U51" s="22"/>
      <c r="V51" s="21" t="s">
        <v>200</v>
      </c>
      <c r="W51" s="21" t="s">
        <v>184</v>
      </c>
      <c r="X51" s="21">
        <v>5</v>
      </c>
      <c r="Y51" s="77" t="s">
        <v>575</v>
      </c>
      <c r="Z51" s="21"/>
      <c r="AA51" s="86" t="s">
        <v>186</v>
      </c>
      <c r="AB51" s="21"/>
      <c r="AC51" s="122" t="s">
        <v>576</v>
      </c>
      <c r="AD51" s="122" t="s">
        <v>477</v>
      </c>
      <c r="AE51" s="122" t="s">
        <v>477</v>
      </c>
      <c r="AF51" s="122" t="s">
        <v>477</v>
      </c>
      <c r="AG51" s="122" t="s">
        <v>477</v>
      </c>
      <c r="AH51" s="59"/>
      <c r="AI51" s="59"/>
      <c r="AJ51" s="21" t="s">
        <v>203</v>
      </c>
      <c r="AK51" s="21" t="s">
        <v>190</v>
      </c>
      <c r="AL51" s="21" t="s">
        <v>190</v>
      </c>
      <c r="AM51" s="123" t="s">
        <v>577</v>
      </c>
      <c r="AN51" s="22">
        <v>182</v>
      </c>
      <c r="AO51" s="22">
        <v>6</v>
      </c>
      <c r="AP51" s="22">
        <v>20</v>
      </c>
      <c r="AQ51" s="22">
        <v>0</v>
      </c>
      <c r="AR51" s="22">
        <v>0</v>
      </c>
      <c r="AS51" s="22">
        <v>7</v>
      </c>
      <c r="AT51" s="22">
        <v>10</v>
      </c>
      <c r="AU51" s="316">
        <f t="shared" si="1"/>
        <v>225</v>
      </c>
      <c r="AV51" s="22">
        <v>190</v>
      </c>
      <c r="AW51" s="22">
        <v>6</v>
      </c>
      <c r="AX51" s="22">
        <v>20</v>
      </c>
      <c r="AY51" s="22">
        <v>0</v>
      </c>
      <c r="AZ51" s="22">
        <v>0</v>
      </c>
      <c r="BA51" s="22">
        <v>7</v>
      </c>
      <c r="BB51" s="22">
        <v>10</v>
      </c>
      <c r="BC51" s="316">
        <f t="shared" si="2"/>
        <v>233</v>
      </c>
      <c r="BD51" s="58">
        <f t="shared" si="3"/>
        <v>8</v>
      </c>
      <c r="BE51" s="58">
        <f t="shared" si="4"/>
        <v>0</v>
      </c>
      <c r="BF51" s="58">
        <f t="shared" si="5"/>
        <v>0</v>
      </c>
      <c r="BG51" s="58">
        <f t="shared" si="6"/>
        <v>0</v>
      </c>
      <c r="BH51" s="58">
        <f t="shared" si="7"/>
        <v>0</v>
      </c>
      <c r="BI51" s="58">
        <f t="shared" si="8"/>
        <v>0</v>
      </c>
      <c r="BJ51" s="58">
        <f t="shared" si="9"/>
        <v>0</v>
      </c>
      <c r="BK51" s="58">
        <f t="shared" si="10"/>
        <v>8</v>
      </c>
    </row>
    <row r="52" spans="1:63" ht="27" customHeight="1">
      <c r="A52" s="13">
        <f t="shared" si="11"/>
        <v>50</v>
      </c>
      <c r="B52" s="14" t="s">
        <v>578</v>
      </c>
      <c r="C52" s="10">
        <v>574</v>
      </c>
      <c r="D52" s="76" t="s">
        <v>579</v>
      </c>
      <c r="E52" s="77">
        <v>110466574</v>
      </c>
      <c r="F52" s="78" t="s">
        <v>360</v>
      </c>
      <c r="G52" s="79" t="s">
        <v>580</v>
      </c>
      <c r="H52" s="15" t="s">
        <v>581</v>
      </c>
      <c r="I52" s="16" t="s">
        <v>582</v>
      </c>
      <c r="J52" s="80" t="s">
        <v>178</v>
      </c>
      <c r="K52" s="24">
        <v>34034</v>
      </c>
      <c r="L52" s="82" t="s">
        <v>179</v>
      </c>
      <c r="M52" s="25">
        <v>41835</v>
      </c>
      <c r="N52" s="25"/>
      <c r="O52" s="17" t="s">
        <v>34</v>
      </c>
      <c r="P52" s="18" t="s">
        <v>273</v>
      </c>
      <c r="Q52" s="18" t="s">
        <v>181</v>
      </c>
      <c r="R52" s="17" t="s">
        <v>182</v>
      </c>
      <c r="S52" s="13" t="s">
        <v>228</v>
      </c>
      <c r="T52" s="22"/>
      <c r="U52" s="22"/>
      <c r="V52" s="21" t="s">
        <v>200</v>
      </c>
      <c r="W52" s="21" t="s">
        <v>184</v>
      </c>
      <c r="X52" s="21">
        <v>9</v>
      </c>
      <c r="Y52" s="77" t="s">
        <v>583</v>
      </c>
      <c r="Z52" s="21"/>
      <c r="AA52" s="86" t="s">
        <v>186</v>
      </c>
      <c r="AB52" s="21"/>
      <c r="AC52" s="122" t="s">
        <v>514</v>
      </c>
      <c r="AD52" s="122"/>
      <c r="AE52" s="122"/>
      <c r="AF52" s="124"/>
      <c r="AG52" s="122"/>
      <c r="AH52" s="59"/>
      <c r="AI52" s="59"/>
      <c r="AJ52" s="21" t="s">
        <v>203</v>
      </c>
      <c r="AK52" s="21" t="s">
        <v>190</v>
      </c>
      <c r="AL52" s="21" t="s">
        <v>191</v>
      </c>
      <c r="AM52" s="123" t="s">
        <v>584</v>
      </c>
      <c r="AN52" s="22">
        <v>182</v>
      </c>
      <c r="AO52" s="22">
        <v>6</v>
      </c>
      <c r="AP52" s="22">
        <v>0</v>
      </c>
      <c r="AQ52" s="22">
        <v>0</v>
      </c>
      <c r="AR52" s="22">
        <v>0</v>
      </c>
      <c r="AS52" s="22">
        <v>7</v>
      </c>
      <c r="AT52" s="22">
        <v>10</v>
      </c>
      <c r="AU52" s="316">
        <f t="shared" si="1"/>
        <v>205</v>
      </c>
      <c r="AV52" s="22">
        <v>190</v>
      </c>
      <c r="AW52" s="22">
        <v>6</v>
      </c>
      <c r="AX52" s="22">
        <v>0</v>
      </c>
      <c r="AY52" s="22">
        <v>0</v>
      </c>
      <c r="AZ52" s="22">
        <v>0</v>
      </c>
      <c r="BA52" s="22">
        <v>7</v>
      </c>
      <c r="BB52" s="22">
        <v>10</v>
      </c>
      <c r="BC52" s="316">
        <f t="shared" si="2"/>
        <v>213</v>
      </c>
      <c r="BD52" s="58">
        <f t="shared" si="3"/>
        <v>8</v>
      </c>
      <c r="BE52" s="58">
        <f t="shared" si="4"/>
        <v>0</v>
      </c>
      <c r="BF52" s="58">
        <f t="shared" si="5"/>
        <v>0</v>
      </c>
      <c r="BG52" s="58">
        <f t="shared" si="6"/>
        <v>0</v>
      </c>
      <c r="BH52" s="58">
        <f t="shared" si="7"/>
        <v>0</v>
      </c>
      <c r="BI52" s="58">
        <f t="shared" si="8"/>
        <v>0</v>
      </c>
      <c r="BJ52" s="58">
        <f t="shared" si="9"/>
        <v>0</v>
      </c>
      <c r="BK52" s="58">
        <f t="shared" si="10"/>
        <v>8</v>
      </c>
    </row>
    <row r="53" spans="1:63" ht="27" customHeight="1">
      <c r="A53" s="13">
        <f t="shared" si="11"/>
        <v>51</v>
      </c>
      <c r="B53" s="14" t="s">
        <v>585</v>
      </c>
      <c r="C53" s="10">
        <v>548</v>
      </c>
      <c r="D53" s="76" t="s">
        <v>586</v>
      </c>
      <c r="E53" s="77" t="s">
        <v>190</v>
      </c>
      <c r="F53" s="78" t="s">
        <v>587</v>
      </c>
      <c r="G53" s="79" t="s">
        <v>588</v>
      </c>
      <c r="H53" s="15" t="s">
        <v>589</v>
      </c>
      <c r="I53" s="16" t="s">
        <v>590</v>
      </c>
      <c r="J53" s="80" t="s">
        <v>178</v>
      </c>
      <c r="K53" s="24">
        <v>29348</v>
      </c>
      <c r="L53" s="82" t="s">
        <v>179</v>
      </c>
      <c r="M53" s="83">
        <v>41828</v>
      </c>
      <c r="N53" s="25"/>
      <c r="O53" s="17" t="s">
        <v>34</v>
      </c>
      <c r="P53" s="18" t="s">
        <v>512</v>
      </c>
      <c r="Q53" s="18" t="s">
        <v>181</v>
      </c>
      <c r="R53" s="17" t="s">
        <v>182</v>
      </c>
      <c r="S53" s="19" t="s">
        <v>183</v>
      </c>
      <c r="T53" s="22"/>
      <c r="U53" s="22"/>
      <c r="V53" s="21" t="s">
        <v>200</v>
      </c>
      <c r="W53" s="21">
        <v>3057</v>
      </c>
      <c r="X53" s="21">
        <v>6</v>
      </c>
      <c r="Y53" s="77" t="s">
        <v>184</v>
      </c>
      <c r="Z53" s="21"/>
      <c r="AA53" s="86" t="s">
        <v>186</v>
      </c>
      <c r="AB53" s="21"/>
      <c r="AC53" s="122" t="s">
        <v>591</v>
      </c>
      <c r="AD53" s="122" t="s">
        <v>477</v>
      </c>
      <c r="AE53" s="122" t="s">
        <v>477</v>
      </c>
      <c r="AF53" s="122" t="s">
        <v>477</v>
      </c>
      <c r="AG53" s="122" t="s">
        <v>477</v>
      </c>
      <c r="AH53" s="59"/>
      <c r="AI53" s="59"/>
      <c r="AJ53" s="21" t="s">
        <v>203</v>
      </c>
      <c r="AK53" s="21" t="s">
        <v>190</v>
      </c>
      <c r="AL53" s="21" t="s">
        <v>191</v>
      </c>
      <c r="AM53" s="123" t="s">
        <v>592</v>
      </c>
      <c r="AN53" s="22">
        <v>182</v>
      </c>
      <c r="AO53" s="22">
        <v>0</v>
      </c>
      <c r="AP53" s="22">
        <v>0</v>
      </c>
      <c r="AQ53" s="22">
        <v>0</v>
      </c>
      <c r="AR53" s="22">
        <v>0</v>
      </c>
      <c r="AS53" s="22">
        <v>7</v>
      </c>
      <c r="AT53" s="22">
        <v>10</v>
      </c>
      <c r="AU53" s="316">
        <f t="shared" si="1"/>
        <v>199</v>
      </c>
      <c r="AV53" s="22">
        <v>190</v>
      </c>
      <c r="AW53" s="22">
        <v>0</v>
      </c>
      <c r="AX53" s="22">
        <v>0</v>
      </c>
      <c r="AY53" s="22">
        <v>0</v>
      </c>
      <c r="AZ53" s="22">
        <v>0</v>
      </c>
      <c r="BA53" s="22">
        <v>7</v>
      </c>
      <c r="BB53" s="22">
        <v>10</v>
      </c>
      <c r="BC53" s="316">
        <f t="shared" si="2"/>
        <v>207</v>
      </c>
      <c r="BD53" s="58">
        <f t="shared" si="3"/>
        <v>8</v>
      </c>
      <c r="BE53" s="58">
        <f t="shared" si="4"/>
        <v>0</v>
      </c>
      <c r="BF53" s="58">
        <f t="shared" si="5"/>
        <v>0</v>
      </c>
      <c r="BG53" s="58">
        <f t="shared" si="6"/>
        <v>0</v>
      </c>
      <c r="BH53" s="58">
        <f t="shared" si="7"/>
        <v>0</v>
      </c>
      <c r="BI53" s="58">
        <f t="shared" si="8"/>
        <v>0</v>
      </c>
      <c r="BJ53" s="58">
        <f t="shared" si="9"/>
        <v>0</v>
      </c>
      <c r="BK53" s="58">
        <f t="shared" si="10"/>
        <v>8</v>
      </c>
    </row>
    <row r="54" spans="1:63" ht="27" customHeight="1">
      <c r="A54" s="13">
        <f t="shared" si="11"/>
        <v>52</v>
      </c>
      <c r="B54" s="14" t="s">
        <v>593</v>
      </c>
      <c r="C54" s="10">
        <v>521</v>
      </c>
      <c r="D54" s="76" t="s">
        <v>594</v>
      </c>
      <c r="E54" s="77">
        <v>110387396</v>
      </c>
      <c r="F54" s="78" t="s">
        <v>322</v>
      </c>
      <c r="G54" s="79" t="s">
        <v>595</v>
      </c>
      <c r="H54" s="15" t="s">
        <v>596</v>
      </c>
      <c r="I54" s="16" t="s">
        <v>597</v>
      </c>
      <c r="J54" s="80" t="s">
        <v>178</v>
      </c>
      <c r="K54" s="24">
        <v>33817</v>
      </c>
      <c r="L54" s="82" t="s">
        <v>179</v>
      </c>
      <c r="M54" s="25">
        <v>41825</v>
      </c>
      <c r="N54" s="25"/>
      <c r="O54" s="17" t="s">
        <v>34</v>
      </c>
      <c r="P54" s="18" t="s">
        <v>386</v>
      </c>
      <c r="Q54" s="18" t="s">
        <v>181</v>
      </c>
      <c r="R54" s="17" t="s">
        <v>182</v>
      </c>
      <c r="S54" s="17" t="s">
        <v>228</v>
      </c>
      <c r="T54" s="22"/>
      <c r="U54" s="22"/>
      <c r="V54" s="21" t="s">
        <v>200</v>
      </c>
      <c r="W54" s="21">
        <v>1630</v>
      </c>
      <c r="X54" s="21">
        <v>8</v>
      </c>
      <c r="Y54" s="77" t="s">
        <v>598</v>
      </c>
      <c r="Z54" s="21"/>
      <c r="AA54" s="86" t="s">
        <v>186</v>
      </c>
      <c r="AB54" s="21"/>
      <c r="AC54" s="122"/>
      <c r="AD54" s="122"/>
      <c r="AE54" s="122"/>
      <c r="AF54" s="124"/>
      <c r="AG54" s="122"/>
      <c r="AH54" s="59"/>
      <c r="AI54" s="59"/>
      <c r="AJ54" s="21" t="s">
        <v>203</v>
      </c>
      <c r="AK54" s="21" t="s">
        <v>190</v>
      </c>
      <c r="AL54" s="21" t="s">
        <v>191</v>
      </c>
      <c r="AM54" s="123" t="s">
        <v>599</v>
      </c>
      <c r="AN54" s="22">
        <v>182</v>
      </c>
      <c r="AO54" s="22">
        <v>6</v>
      </c>
      <c r="AP54" s="22">
        <v>0</v>
      </c>
      <c r="AQ54" s="22">
        <v>30</v>
      </c>
      <c r="AR54" s="22">
        <v>0</v>
      </c>
      <c r="AS54" s="22">
        <v>7</v>
      </c>
      <c r="AT54" s="22">
        <v>10</v>
      </c>
      <c r="AU54" s="316">
        <f t="shared" si="1"/>
        <v>235</v>
      </c>
      <c r="AV54" s="22">
        <v>190</v>
      </c>
      <c r="AW54" s="22">
        <v>6</v>
      </c>
      <c r="AX54" s="22">
        <v>0</v>
      </c>
      <c r="AY54" s="22">
        <v>30</v>
      </c>
      <c r="AZ54" s="22">
        <v>0</v>
      </c>
      <c r="BA54" s="22">
        <v>7</v>
      </c>
      <c r="BB54" s="22">
        <v>10</v>
      </c>
      <c r="BC54" s="316">
        <f t="shared" si="2"/>
        <v>243</v>
      </c>
      <c r="BD54" s="58">
        <f t="shared" si="3"/>
        <v>8</v>
      </c>
      <c r="BE54" s="58">
        <f t="shared" si="4"/>
        <v>0</v>
      </c>
      <c r="BF54" s="58">
        <f t="shared" si="5"/>
        <v>0</v>
      </c>
      <c r="BG54" s="58">
        <f t="shared" si="6"/>
        <v>0</v>
      </c>
      <c r="BH54" s="58">
        <f t="shared" si="7"/>
        <v>0</v>
      </c>
      <c r="BI54" s="58">
        <f t="shared" si="8"/>
        <v>0</v>
      </c>
      <c r="BJ54" s="58">
        <f t="shared" si="9"/>
        <v>0</v>
      </c>
      <c r="BK54" s="58">
        <f t="shared" si="10"/>
        <v>8</v>
      </c>
    </row>
    <row r="55" spans="1:63" ht="27" customHeight="1">
      <c r="A55" s="13">
        <f t="shared" si="11"/>
        <v>53</v>
      </c>
      <c r="B55" s="14" t="s">
        <v>600</v>
      </c>
      <c r="C55" s="10">
        <v>572</v>
      </c>
      <c r="D55" s="90" t="s">
        <v>601</v>
      </c>
      <c r="E55" s="77">
        <v>130084883</v>
      </c>
      <c r="F55" s="78" t="s">
        <v>527</v>
      </c>
      <c r="G55" s="79" t="s">
        <v>602</v>
      </c>
      <c r="H55" s="15" t="s">
        <v>529</v>
      </c>
      <c r="I55" s="16" t="s">
        <v>603</v>
      </c>
      <c r="J55" s="80" t="s">
        <v>178</v>
      </c>
      <c r="K55" s="24">
        <v>32436</v>
      </c>
      <c r="L55" s="82" t="s">
        <v>179</v>
      </c>
      <c r="M55" s="25">
        <v>41835</v>
      </c>
      <c r="N55" s="25"/>
      <c r="O55" s="17" t="s">
        <v>34</v>
      </c>
      <c r="P55" s="18" t="s">
        <v>604</v>
      </c>
      <c r="Q55" s="18" t="s">
        <v>181</v>
      </c>
      <c r="R55" s="17" t="s">
        <v>182</v>
      </c>
      <c r="S55" s="19" t="s">
        <v>256</v>
      </c>
      <c r="T55" s="22"/>
      <c r="U55" s="22"/>
      <c r="V55" s="21" t="s">
        <v>200</v>
      </c>
      <c r="W55" s="21" t="s">
        <v>184</v>
      </c>
      <c r="X55" s="21">
        <v>9</v>
      </c>
      <c r="Y55" s="77" t="s">
        <v>184</v>
      </c>
      <c r="Z55" s="86" t="s">
        <v>186</v>
      </c>
      <c r="AA55" s="21"/>
      <c r="AB55" s="21"/>
      <c r="AC55" s="122"/>
      <c r="AD55" s="122"/>
      <c r="AE55" s="122"/>
      <c r="AF55" s="124"/>
      <c r="AG55" s="122"/>
      <c r="AH55" s="59"/>
      <c r="AI55" s="59"/>
      <c r="AJ55" s="21" t="s">
        <v>203</v>
      </c>
      <c r="AK55" s="21" t="s">
        <v>190</v>
      </c>
      <c r="AL55" s="21" t="s">
        <v>190</v>
      </c>
      <c r="AM55" s="123" t="s">
        <v>605</v>
      </c>
      <c r="AN55" s="22">
        <v>182</v>
      </c>
      <c r="AO55" s="22">
        <v>6</v>
      </c>
      <c r="AP55" s="22">
        <v>0</v>
      </c>
      <c r="AQ55" s="22">
        <v>0</v>
      </c>
      <c r="AR55" s="22">
        <v>0</v>
      </c>
      <c r="AS55" s="22">
        <v>7</v>
      </c>
      <c r="AT55" s="22">
        <v>10</v>
      </c>
      <c r="AU55" s="316">
        <f t="shared" si="1"/>
        <v>205</v>
      </c>
      <c r="AV55" s="22">
        <v>190</v>
      </c>
      <c r="AW55" s="22">
        <v>6</v>
      </c>
      <c r="AX55" s="22">
        <v>0</v>
      </c>
      <c r="AY55" s="22">
        <v>0</v>
      </c>
      <c r="AZ55" s="22">
        <v>0</v>
      </c>
      <c r="BA55" s="22">
        <v>7</v>
      </c>
      <c r="BB55" s="22">
        <v>10</v>
      </c>
      <c r="BC55" s="316">
        <f t="shared" si="2"/>
        <v>213</v>
      </c>
      <c r="BD55" s="58">
        <f t="shared" si="3"/>
        <v>8</v>
      </c>
      <c r="BE55" s="58">
        <f t="shared" si="4"/>
        <v>0</v>
      </c>
      <c r="BF55" s="58">
        <f t="shared" si="5"/>
        <v>0</v>
      </c>
      <c r="BG55" s="58">
        <f t="shared" si="6"/>
        <v>0</v>
      </c>
      <c r="BH55" s="58">
        <f t="shared" si="7"/>
        <v>0</v>
      </c>
      <c r="BI55" s="58">
        <f t="shared" si="8"/>
        <v>0</v>
      </c>
      <c r="BJ55" s="58">
        <f t="shared" si="9"/>
        <v>0</v>
      </c>
      <c r="BK55" s="58">
        <f t="shared" si="10"/>
        <v>8</v>
      </c>
    </row>
    <row r="56" spans="1:63" ht="27" customHeight="1">
      <c r="A56" s="13">
        <f t="shared" si="11"/>
        <v>54</v>
      </c>
      <c r="B56" s="14" t="s">
        <v>606</v>
      </c>
      <c r="C56" s="10">
        <v>546</v>
      </c>
      <c r="D56" s="76" t="s">
        <v>607</v>
      </c>
      <c r="E56" s="77" t="s">
        <v>190</v>
      </c>
      <c r="F56" s="78" t="s">
        <v>407</v>
      </c>
      <c r="G56" s="79" t="s">
        <v>608</v>
      </c>
      <c r="H56" s="15" t="s">
        <v>609</v>
      </c>
      <c r="I56" s="16" t="s">
        <v>610</v>
      </c>
      <c r="J56" s="80" t="s">
        <v>178</v>
      </c>
      <c r="K56" s="24">
        <v>34274</v>
      </c>
      <c r="L56" s="82" t="s">
        <v>179</v>
      </c>
      <c r="M56" s="25">
        <v>41828</v>
      </c>
      <c r="N56" s="25"/>
      <c r="O56" s="17" t="s">
        <v>26</v>
      </c>
      <c r="P56" s="18" t="s">
        <v>27</v>
      </c>
      <c r="Q56" s="18" t="s">
        <v>181</v>
      </c>
      <c r="R56" s="19" t="s">
        <v>182</v>
      </c>
      <c r="S56" s="19" t="s">
        <v>256</v>
      </c>
      <c r="T56" s="20"/>
      <c r="U56" s="20"/>
      <c r="V56" s="84" t="s">
        <v>200</v>
      </c>
      <c r="W56" s="84">
        <v>80</v>
      </c>
      <c r="X56" s="116">
        <v>9</v>
      </c>
      <c r="Y56" s="118" t="s">
        <v>611</v>
      </c>
      <c r="Z56" s="86" t="s">
        <v>186</v>
      </c>
      <c r="AA56" s="21"/>
      <c r="AB56" s="21"/>
      <c r="AC56" s="122"/>
      <c r="AD56" s="122"/>
      <c r="AE56" s="122"/>
      <c r="AF56" s="124"/>
      <c r="AG56" s="122"/>
      <c r="AH56" s="59"/>
      <c r="AI56" s="59"/>
      <c r="AJ56" s="21" t="s">
        <v>203</v>
      </c>
      <c r="AK56" s="21" t="s">
        <v>190</v>
      </c>
      <c r="AL56" s="21" t="s">
        <v>190</v>
      </c>
      <c r="AM56" s="123" t="s">
        <v>612</v>
      </c>
      <c r="AN56" s="22">
        <v>182</v>
      </c>
      <c r="AO56" s="22">
        <v>6</v>
      </c>
      <c r="AP56" s="22">
        <v>0</v>
      </c>
      <c r="AQ56" s="22">
        <v>40</v>
      </c>
      <c r="AR56" s="22">
        <v>0</v>
      </c>
      <c r="AS56" s="22">
        <v>7</v>
      </c>
      <c r="AT56" s="22">
        <v>10</v>
      </c>
      <c r="AU56" s="316">
        <f t="shared" si="1"/>
        <v>245</v>
      </c>
      <c r="AV56" s="22">
        <v>190</v>
      </c>
      <c r="AW56" s="22">
        <v>6</v>
      </c>
      <c r="AX56" s="22">
        <v>0</v>
      </c>
      <c r="AY56" s="22">
        <v>40</v>
      </c>
      <c r="AZ56" s="22">
        <v>0</v>
      </c>
      <c r="BA56" s="22">
        <v>7</v>
      </c>
      <c r="BB56" s="22">
        <v>10</v>
      </c>
      <c r="BC56" s="316">
        <f t="shared" si="2"/>
        <v>253</v>
      </c>
      <c r="BD56" s="58">
        <f t="shared" si="3"/>
        <v>8</v>
      </c>
      <c r="BE56" s="58">
        <f t="shared" si="4"/>
        <v>0</v>
      </c>
      <c r="BF56" s="58">
        <f t="shared" si="5"/>
        <v>0</v>
      </c>
      <c r="BG56" s="58">
        <f t="shared" si="6"/>
        <v>0</v>
      </c>
      <c r="BH56" s="58">
        <f t="shared" si="7"/>
        <v>0</v>
      </c>
      <c r="BI56" s="58">
        <f t="shared" si="8"/>
        <v>0</v>
      </c>
      <c r="BJ56" s="58">
        <f t="shared" si="9"/>
        <v>0</v>
      </c>
      <c r="BK56" s="58">
        <f t="shared" si="10"/>
        <v>8</v>
      </c>
    </row>
    <row r="57" spans="1:63" ht="27" customHeight="1">
      <c r="A57" s="13">
        <f t="shared" si="11"/>
        <v>55</v>
      </c>
      <c r="B57" s="14" t="s">
        <v>613</v>
      </c>
      <c r="C57" s="10">
        <v>609</v>
      </c>
      <c r="D57" s="76" t="s">
        <v>614</v>
      </c>
      <c r="E57" s="77">
        <v>110521997</v>
      </c>
      <c r="F57" s="78" t="s">
        <v>615</v>
      </c>
      <c r="G57" s="79" t="s">
        <v>616</v>
      </c>
      <c r="H57" s="15" t="s">
        <v>617</v>
      </c>
      <c r="I57" s="16" t="s">
        <v>618</v>
      </c>
      <c r="J57" s="80" t="s">
        <v>178</v>
      </c>
      <c r="K57" s="24">
        <v>31416</v>
      </c>
      <c r="L57" s="82" t="s">
        <v>179</v>
      </c>
      <c r="M57" s="25">
        <v>41838</v>
      </c>
      <c r="N57" s="25"/>
      <c r="O57" s="17" t="s">
        <v>34</v>
      </c>
      <c r="P57" s="18" t="s">
        <v>227</v>
      </c>
      <c r="Q57" s="18" t="s">
        <v>181</v>
      </c>
      <c r="R57" s="17" t="s">
        <v>182</v>
      </c>
      <c r="S57" s="17" t="s">
        <v>228</v>
      </c>
      <c r="T57" s="22" t="s">
        <v>340</v>
      </c>
      <c r="U57" s="22" t="s">
        <v>619</v>
      </c>
      <c r="V57" s="21" t="s">
        <v>200</v>
      </c>
      <c r="W57" s="21" t="s">
        <v>184</v>
      </c>
      <c r="X57" s="21">
        <v>6</v>
      </c>
      <c r="Y57" s="77" t="s">
        <v>620</v>
      </c>
      <c r="Z57" s="86" t="s">
        <v>186</v>
      </c>
      <c r="AA57" s="21"/>
      <c r="AB57" s="21"/>
      <c r="AC57" s="122"/>
      <c r="AD57" s="122"/>
      <c r="AE57" s="122"/>
      <c r="AF57" s="124"/>
      <c r="AG57" s="122"/>
      <c r="AH57" s="59"/>
      <c r="AI57" s="59"/>
      <c r="AJ57" s="21" t="s">
        <v>203</v>
      </c>
      <c r="AK57" s="21" t="s">
        <v>190</v>
      </c>
      <c r="AL57" s="21" t="s">
        <v>190</v>
      </c>
      <c r="AM57" s="123" t="s">
        <v>621</v>
      </c>
      <c r="AN57" s="22">
        <v>182</v>
      </c>
      <c r="AO57" s="22">
        <v>6</v>
      </c>
      <c r="AP57" s="22">
        <v>0</v>
      </c>
      <c r="AQ57" s="22">
        <v>0</v>
      </c>
      <c r="AR57" s="22">
        <v>0</v>
      </c>
      <c r="AS57" s="22">
        <v>7</v>
      </c>
      <c r="AT57" s="22">
        <v>10</v>
      </c>
      <c r="AU57" s="316">
        <f t="shared" si="1"/>
        <v>205</v>
      </c>
      <c r="AV57" s="22">
        <v>190</v>
      </c>
      <c r="AW57" s="22">
        <v>6</v>
      </c>
      <c r="AX57" s="22">
        <v>0</v>
      </c>
      <c r="AY57" s="22">
        <v>0</v>
      </c>
      <c r="AZ57" s="22">
        <v>0</v>
      </c>
      <c r="BA57" s="22">
        <v>7</v>
      </c>
      <c r="BB57" s="22">
        <v>10</v>
      </c>
      <c r="BC57" s="316">
        <f t="shared" si="2"/>
        <v>213</v>
      </c>
      <c r="BD57" s="58">
        <f t="shared" si="3"/>
        <v>8</v>
      </c>
      <c r="BE57" s="58">
        <f t="shared" si="4"/>
        <v>0</v>
      </c>
      <c r="BF57" s="58">
        <f t="shared" si="5"/>
        <v>0</v>
      </c>
      <c r="BG57" s="58">
        <f t="shared" si="6"/>
        <v>0</v>
      </c>
      <c r="BH57" s="58">
        <f t="shared" si="7"/>
        <v>0</v>
      </c>
      <c r="BI57" s="58">
        <f t="shared" si="8"/>
        <v>0</v>
      </c>
      <c r="BJ57" s="58">
        <f t="shared" si="9"/>
        <v>0</v>
      </c>
      <c r="BK57" s="58">
        <f t="shared" si="10"/>
        <v>8</v>
      </c>
    </row>
    <row r="58" spans="1:63" ht="27" customHeight="1">
      <c r="A58" s="13">
        <f t="shared" si="11"/>
        <v>56</v>
      </c>
      <c r="B58" s="14" t="s">
        <v>622</v>
      </c>
      <c r="C58" s="10">
        <v>475</v>
      </c>
      <c r="D58" s="76" t="s">
        <v>623</v>
      </c>
      <c r="E58" s="77">
        <v>120022511</v>
      </c>
      <c r="F58" s="78" t="s">
        <v>624</v>
      </c>
      <c r="G58" s="79" t="s">
        <v>625</v>
      </c>
      <c r="H58" s="15" t="s">
        <v>626</v>
      </c>
      <c r="I58" s="16" t="s">
        <v>627</v>
      </c>
      <c r="J58" s="80" t="s">
        <v>178</v>
      </c>
      <c r="K58" s="24">
        <v>31633</v>
      </c>
      <c r="L58" s="82" t="s">
        <v>179</v>
      </c>
      <c r="M58" s="25">
        <v>41822</v>
      </c>
      <c r="N58" s="25"/>
      <c r="O58" s="17" t="s">
        <v>34</v>
      </c>
      <c r="P58" s="18" t="s">
        <v>402</v>
      </c>
      <c r="Q58" s="18" t="s">
        <v>181</v>
      </c>
      <c r="R58" s="17" t="s">
        <v>182</v>
      </c>
      <c r="S58" s="19" t="s">
        <v>256</v>
      </c>
      <c r="T58" s="22"/>
      <c r="U58" s="22"/>
      <c r="V58" s="21" t="s">
        <v>200</v>
      </c>
      <c r="W58" s="21" t="s">
        <v>184</v>
      </c>
      <c r="X58" s="21">
        <v>12</v>
      </c>
      <c r="Y58" s="77" t="s">
        <v>628</v>
      </c>
      <c r="Z58" s="21"/>
      <c r="AA58" s="86" t="s">
        <v>186</v>
      </c>
      <c r="AB58" s="21"/>
      <c r="AC58" s="122" t="s">
        <v>629</v>
      </c>
      <c r="AD58" s="122" t="s">
        <v>477</v>
      </c>
      <c r="AE58" s="122" t="s">
        <v>563</v>
      </c>
      <c r="AF58" s="124"/>
      <c r="AG58" s="122"/>
      <c r="AH58" s="59"/>
      <c r="AI58" s="59"/>
      <c r="AJ58" s="21" t="s">
        <v>203</v>
      </c>
      <c r="AK58" s="21" t="s">
        <v>190</v>
      </c>
      <c r="AL58" s="21" t="s">
        <v>190</v>
      </c>
      <c r="AM58" s="123" t="s">
        <v>630</v>
      </c>
      <c r="AN58" s="22">
        <v>182</v>
      </c>
      <c r="AO58" s="22">
        <v>6</v>
      </c>
      <c r="AP58" s="22">
        <v>0</v>
      </c>
      <c r="AQ58" s="22">
        <v>50</v>
      </c>
      <c r="AR58" s="22">
        <v>0</v>
      </c>
      <c r="AS58" s="22">
        <v>7</v>
      </c>
      <c r="AT58" s="22">
        <v>10</v>
      </c>
      <c r="AU58" s="316">
        <f t="shared" si="1"/>
        <v>255</v>
      </c>
      <c r="AV58" s="22">
        <v>190</v>
      </c>
      <c r="AW58" s="22">
        <v>6</v>
      </c>
      <c r="AX58" s="22">
        <v>0</v>
      </c>
      <c r="AY58" s="22">
        <v>50</v>
      </c>
      <c r="AZ58" s="22">
        <v>0</v>
      </c>
      <c r="BA58" s="22">
        <v>7</v>
      </c>
      <c r="BB58" s="22">
        <v>10</v>
      </c>
      <c r="BC58" s="316">
        <f t="shared" si="2"/>
        <v>263</v>
      </c>
      <c r="BD58" s="58">
        <f t="shared" si="3"/>
        <v>8</v>
      </c>
      <c r="BE58" s="58">
        <f t="shared" si="4"/>
        <v>0</v>
      </c>
      <c r="BF58" s="58">
        <f t="shared" si="5"/>
        <v>0</v>
      </c>
      <c r="BG58" s="58">
        <f t="shared" si="6"/>
        <v>0</v>
      </c>
      <c r="BH58" s="58">
        <f t="shared" si="7"/>
        <v>0</v>
      </c>
      <c r="BI58" s="58">
        <f t="shared" si="8"/>
        <v>0</v>
      </c>
      <c r="BJ58" s="58">
        <f t="shared" si="9"/>
        <v>0</v>
      </c>
      <c r="BK58" s="58">
        <f t="shared" si="10"/>
        <v>8</v>
      </c>
    </row>
    <row r="59" spans="1:63" ht="27" customHeight="1">
      <c r="A59" s="13">
        <f t="shared" si="11"/>
        <v>57</v>
      </c>
      <c r="B59" s="14" t="s">
        <v>631</v>
      </c>
      <c r="C59" s="10">
        <v>605</v>
      </c>
      <c r="D59" s="76" t="s">
        <v>632</v>
      </c>
      <c r="E59" s="77" t="s">
        <v>190</v>
      </c>
      <c r="F59" s="78" t="s">
        <v>392</v>
      </c>
      <c r="G59" s="79" t="s">
        <v>633</v>
      </c>
      <c r="H59" s="15" t="s">
        <v>634</v>
      </c>
      <c r="I59" s="16" t="s">
        <v>635</v>
      </c>
      <c r="J59" s="80" t="s">
        <v>178</v>
      </c>
      <c r="K59" s="24">
        <v>31974</v>
      </c>
      <c r="L59" s="82" t="s">
        <v>179</v>
      </c>
      <c r="M59" s="25">
        <v>41837</v>
      </c>
      <c r="N59" s="25"/>
      <c r="O59" s="17" t="s">
        <v>26</v>
      </c>
      <c r="P59" s="18" t="s">
        <v>636</v>
      </c>
      <c r="Q59" s="18" t="s">
        <v>181</v>
      </c>
      <c r="R59" s="17" t="s">
        <v>182</v>
      </c>
      <c r="S59" s="19" t="s">
        <v>256</v>
      </c>
      <c r="T59" s="22"/>
      <c r="U59" s="22"/>
      <c r="V59" s="21" t="s">
        <v>200</v>
      </c>
      <c r="W59" s="21">
        <v>2389</v>
      </c>
      <c r="X59" s="21">
        <v>10</v>
      </c>
      <c r="Y59" s="77" t="s">
        <v>637</v>
      </c>
      <c r="Z59" s="21"/>
      <c r="AA59" s="86" t="s">
        <v>186</v>
      </c>
      <c r="AB59" s="21"/>
      <c r="AC59" s="122" t="s">
        <v>638</v>
      </c>
      <c r="AD59" s="122"/>
      <c r="AE59" s="122"/>
      <c r="AF59" s="124"/>
      <c r="AG59" s="122"/>
      <c r="AH59" s="59"/>
      <c r="AI59" s="59"/>
      <c r="AJ59" s="21" t="s">
        <v>203</v>
      </c>
      <c r="AK59" s="21" t="s">
        <v>190</v>
      </c>
      <c r="AL59" s="21" t="s">
        <v>191</v>
      </c>
      <c r="AM59" s="123" t="s">
        <v>639</v>
      </c>
      <c r="AN59" s="22">
        <v>182</v>
      </c>
      <c r="AO59" s="22">
        <v>6</v>
      </c>
      <c r="AP59" s="22">
        <v>0</v>
      </c>
      <c r="AQ59" s="22">
        <v>0</v>
      </c>
      <c r="AR59" s="22">
        <v>0</v>
      </c>
      <c r="AS59" s="22">
        <v>7</v>
      </c>
      <c r="AT59" s="22">
        <v>10</v>
      </c>
      <c r="AU59" s="316">
        <f t="shared" si="1"/>
        <v>205</v>
      </c>
      <c r="AV59" s="22">
        <v>190</v>
      </c>
      <c r="AW59" s="22">
        <v>6</v>
      </c>
      <c r="AX59" s="22">
        <v>0</v>
      </c>
      <c r="AY59" s="22">
        <v>0</v>
      </c>
      <c r="AZ59" s="22">
        <v>0</v>
      </c>
      <c r="BA59" s="22">
        <v>7</v>
      </c>
      <c r="BB59" s="22">
        <v>10</v>
      </c>
      <c r="BC59" s="316">
        <f t="shared" si="2"/>
        <v>213</v>
      </c>
      <c r="BD59" s="58">
        <f t="shared" si="3"/>
        <v>8</v>
      </c>
      <c r="BE59" s="58">
        <f t="shared" si="4"/>
        <v>0</v>
      </c>
      <c r="BF59" s="58">
        <f t="shared" si="5"/>
        <v>0</v>
      </c>
      <c r="BG59" s="58">
        <f t="shared" si="6"/>
        <v>0</v>
      </c>
      <c r="BH59" s="58">
        <f t="shared" si="7"/>
        <v>0</v>
      </c>
      <c r="BI59" s="58">
        <f t="shared" si="8"/>
        <v>0</v>
      </c>
      <c r="BJ59" s="58">
        <f t="shared" si="9"/>
        <v>0</v>
      </c>
      <c r="BK59" s="58">
        <f t="shared" si="10"/>
        <v>8</v>
      </c>
    </row>
    <row r="60" spans="1:63" ht="27" customHeight="1">
      <c r="A60" s="13">
        <f t="shared" si="11"/>
        <v>58</v>
      </c>
      <c r="B60" s="14" t="s">
        <v>640</v>
      </c>
      <c r="C60" s="10">
        <v>603</v>
      </c>
      <c r="D60" s="76" t="s">
        <v>641</v>
      </c>
      <c r="E60" s="77">
        <v>130148368</v>
      </c>
      <c r="F60" s="78" t="s">
        <v>642</v>
      </c>
      <c r="G60" s="79" t="s">
        <v>643</v>
      </c>
      <c r="H60" s="15" t="s">
        <v>644</v>
      </c>
      <c r="I60" s="16" t="s">
        <v>645</v>
      </c>
      <c r="J60" s="80" t="s">
        <v>178</v>
      </c>
      <c r="K60" s="24">
        <v>35349</v>
      </c>
      <c r="L60" s="82" t="s">
        <v>179</v>
      </c>
      <c r="M60" s="25">
        <v>41837</v>
      </c>
      <c r="N60" s="25"/>
      <c r="O60" s="17" t="s">
        <v>34</v>
      </c>
      <c r="P60" s="18" t="s">
        <v>227</v>
      </c>
      <c r="Q60" s="18" t="s">
        <v>181</v>
      </c>
      <c r="R60" s="17" t="s">
        <v>182</v>
      </c>
      <c r="S60" s="19" t="s">
        <v>256</v>
      </c>
      <c r="T60" s="22"/>
      <c r="U60" s="22"/>
      <c r="V60" s="21" t="s">
        <v>200</v>
      </c>
      <c r="W60" s="21" t="s">
        <v>184</v>
      </c>
      <c r="X60" s="21">
        <v>9</v>
      </c>
      <c r="Y60" s="77" t="s">
        <v>184</v>
      </c>
      <c r="Z60" s="86" t="s">
        <v>186</v>
      </c>
      <c r="AA60" s="21"/>
      <c r="AB60" s="21"/>
      <c r="AC60" s="122"/>
      <c r="AD60" s="122"/>
      <c r="AE60" s="122"/>
      <c r="AF60" s="124"/>
      <c r="AG60" s="122"/>
      <c r="AH60" s="59"/>
      <c r="AI60" s="59"/>
      <c r="AJ60" s="21" t="s">
        <v>203</v>
      </c>
      <c r="AK60" s="21" t="s">
        <v>190</v>
      </c>
      <c r="AL60" s="21" t="s">
        <v>190</v>
      </c>
      <c r="AM60" s="123" t="s">
        <v>646</v>
      </c>
      <c r="AN60" s="22">
        <v>182</v>
      </c>
      <c r="AO60" s="22">
        <v>6</v>
      </c>
      <c r="AP60" s="22">
        <v>0</v>
      </c>
      <c r="AQ60" s="22">
        <v>10</v>
      </c>
      <c r="AR60" s="22">
        <v>0</v>
      </c>
      <c r="AS60" s="22">
        <v>7</v>
      </c>
      <c r="AT60" s="22">
        <v>10</v>
      </c>
      <c r="AU60" s="316">
        <f t="shared" si="1"/>
        <v>215</v>
      </c>
      <c r="AV60" s="22">
        <v>190</v>
      </c>
      <c r="AW60" s="22">
        <v>6</v>
      </c>
      <c r="AX60" s="22">
        <v>0</v>
      </c>
      <c r="AY60" s="22">
        <v>10</v>
      </c>
      <c r="AZ60" s="22">
        <v>0</v>
      </c>
      <c r="BA60" s="22">
        <v>7</v>
      </c>
      <c r="BB60" s="22">
        <v>10</v>
      </c>
      <c r="BC60" s="316">
        <f t="shared" si="2"/>
        <v>223</v>
      </c>
      <c r="BD60" s="58">
        <f t="shared" si="3"/>
        <v>8</v>
      </c>
      <c r="BE60" s="58">
        <f t="shared" si="4"/>
        <v>0</v>
      </c>
      <c r="BF60" s="58">
        <f t="shared" si="5"/>
        <v>0</v>
      </c>
      <c r="BG60" s="58">
        <f t="shared" si="6"/>
        <v>0</v>
      </c>
      <c r="BH60" s="58">
        <f t="shared" si="7"/>
        <v>0</v>
      </c>
      <c r="BI60" s="58">
        <f t="shared" si="8"/>
        <v>0</v>
      </c>
      <c r="BJ60" s="58">
        <f t="shared" si="9"/>
        <v>0</v>
      </c>
      <c r="BK60" s="58">
        <f t="shared" si="10"/>
        <v>8</v>
      </c>
    </row>
    <row r="61" spans="1:63" ht="27" customHeight="1">
      <c r="A61" s="13">
        <f t="shared" si="11"/>
        <v>59</v>
      </c>
      <c r="B61" s="148" t="s">
        <v>647</v>
      </c>
      <c r="C61" s="148">
        <v>542</v>
      </c>
      <c r="D61" s="149" t="s">
        <v>648</v>
      </c>
      <c r="E61" s="150">
        <v>130018163</v>
      </c>
      <c r="F61" s="151" t="s">
        <v>649</v>
      </c>
      <c r="G61" s="152" t="s">
        <v>650</v>
      </c>
      <c r="H61" s="153" t="s">
        <v>651</v>
      </c>
      <c r="I61" s="154" t="s">
        <v>652</v>
      </c>
      <c r="J61" s="155" t="s">
        <v>178</v>
      </c>
      <c r="K61" s="156">
        <v>29164</v>
      </c>
      <c r="L61" s="157" t="s">
        <v>179</v>
      </c>
      <c r="M61" s="158">
        <v>41828</v>
      </c>
      <c r="N61" s="158"/>
      <c r="O61" s="159" t="s">
        <v>34</v>
      </c>
      <c r="P61" s="18" t="s">
        <v>512</v>
      </c>
      <c r="Q61" s="18" t="s">
        <v>181</v>
      </c>
      <c r="R61" s="159" t="s">
        <v>182</v>
      </c>
      <c r="S61" s="19" t="s">
        <v>256</v>
      </c>
      <c r="T61" s="160"/>
      <c r="U61" s="160"/>
      <c r="V61" s="161" t="s">
        <v>200</v>
      </c>
      <c r="W61" s="161" t="s">
        <v>184</v>
      </c>
      <c r="X61" s="161">
        <v>9</v>
      </c>
      <c r="Y61" s="150" t="s">
        <v>653</v>
      </c>
      <c r="Z61" s="162" t="s">
        <v>186</v>
      </c>
      <c r="AA61" s="161"/>
      <c r="AB61" s="161"/>
      <c r="AC61" s="163"/>
      <c r="AD61" s="163"/>
      <c r="AE61" s="163"/>
      <c r="AF61" s="164"/>
      <c r="AG61" s="163"/>
      <c r="AH61" s="165"/>
      <c r="AI61" s="165"/>
      <c r="AJ61" s="161" t="s">
        <v>203</v>
      </c>
      <c r="AK61" s="161" t="s">
        <v>190</v>
      </c>
      <c r="AL61" s="161" t="s">
        <v>191</v>
      </c>
      <c r="AM61" s="166" t="s">
        <v>654</v>
      </c>
      <c r="AN61" s="22">
        <v>182</v>
      </c>
      <c r="AO61" s="22">
        <v>6</v>
      </c>
      <c r="AP61" s="22">
        <v>0</v>
      </c>
      <c r="AQ61" s="22">
        <v>0</v>
      </c>
      <c r="AR61" s="22">
        <v>0</v>
      </c>
      <c r="AS61" s="22">
        <v>7</v>
      </c>
      <c r="AT61" s="22">
        <v>10</v>
      </c>
      <c r="AU61" s="316">
        <f t="shared" si="1"/>
        <v>205</v>
      </c>
      <c r="AV61" s="22">
        <v>190</v>
      </c>
      <c r="AW61" s="22">
        <v>6</v>
      </c>
      <c r="AX61" s="22">
        <v>0</v>
      </c>
      <c r="AY61" s="22">
        <v>0</v>
      </c>
      <c r="AZ61" s="22">
        <v>0</v>
      </c>
      <c r="BA61" s="22">
        <v>7</v>
      </c>
      <c r="BB61" s="22">
        <v>10</v>
      </c>
      <c r="BC61" s="316">
        <f t="shared" si="2"/>
        <v>213</v>
      </c>
      <c r="BD61" s="58">
        <f t="shared" si="3"/>
        <v>8</v>
      </c>
      <c r="BE61" s="58">
        <f t="shared" si="4"/>
        <v>0</v>
      </c>
      <c r="BF61" s="58">
        <f t="shared" si="5"/>
        <v>0</v>
      </c>
      <c r="BG61" s="58">
        <f t="shared" si="6"/>
        <v>0</v>
      </c>
      <c r="BH61" s="58">
        <f t="shared" si="7"/>
        <v>0</v>
      </c>
      <c r="BI61" s="58">
        <f t="shared" si="8"/>
        <v>0</v>
      </c>
      <c r="BJ61" s="58">
        <f t="shared" si="9"/>
        <v>0</v>
      </c>
      <c r="BK61" s="58">
        <f t="shared" si="10"/>
        <v>8</v>
      </c>
    </row>
    <row r="62" spans="1:63" ht="27" customHeight="1">
      <c r="A62" s="13">
        <f t="shared" si="11"/>
        <v>60</v>
      </c>
      <c r="B62" s="14" t="s">
        <v>655</v>
      </c>
      <c r="C62" s="10">
        <v>501</v>
      </c>
      <c r="D62" s="76" t="s">
        <v>656</v>
      </c>
      <c r="E62" s="77">
        <v>130022698</v>
      </c>
      <c r="F62" s="78" t="s">
        <v>223</v>
      </c>
      <c r="G62" s="79" t="s">
        <v>657</v>
      </c>
      <c r="H62" s="15" t="s">
        <v>658</v>
      </c>
      <c r="I62" s="16" t="s">
        <v>659</v>
      </c>
      <c r="J62" s="80" t="s">
        <v>178</v>
      </c>
      <c r="K62" s="24">
        <v>29322</v>
      </c>
      <c r="L62" s="82" t="s">
        <v>179</v>
      </c>
      <c r="M62" s="25">
        <v>41823</v>
      </c>
      <c r="N62" s="25"/>
      <c r="O62" s="17" t="s">
        <v>34</v>
      </c>
      <c r="P62" s="18" t="s">
        <v>227</v>
      </c>
      <c r="Q62" s="18" t="s">
        <v>181</v>
      </c>
      <c r="R62" s="17" t="s">
        <v>182</v>
      </c>
      <c r="S62" s="19" t="s">
        <v>183</v>
      </c>
      <c r="T62" s="22"/>
      <c r="U62" s="22"/>
      <c r="V62" s="21" t="s">
        <v>200</v>
      </c>
      <c r="W62" s="21" t="s">
        <v>184</v>
      </c>
      <c r="X62" s="21">
        <v>7</v>
      </c>
      <c r="Y62" s="77" t="s">
        <v>660</v>
      </c>
      <c r="Z62" s="21"/>
      <c r="AA62" s="86" t="s">
        <v>186</v>
      </c>
      <c r="AB62" s="21"/>
      <c r="AC62" s="122" t="s">
        <v>497</v>
      </c>
      <c r="AD62" s="122"/>
      <c r="AE62" s="122"/>
      <c r="AF62" s="124"/>
      <c r="AG62" s="122"/>
      <c r="AH62" s="59"/>
      <c r="AI62" s="59"/>
      <c r="AJ62" s="21" t="s">
        <v>203</v>
      </c>
      <c r="AK62" s="21" t="s">
        <v>190</v>
      </c>
      <c r="AL62" s="21" t="s">
        <v>203</v>
      </c>
      <c r="AM62" s="123" t="s">
        <v>661</v>
      </c>
      <c r="AN62" s="22">
        <v>182</v>
      </c>
      <c r="AO62" s="22">
        <v>0</v>
      </c>
      <c r="AP62" s="22">
        <v>0</v>
      </c>
      <c r="AQ62" s="22">
        <v>0</v>
      </c>
      <c r="AR62" s="22">
        <v>0</v>
      </c>
      <c r="AS62" s="22">
        <v>7</v>
      </c>
      <c r="AT62" s="22">
        <v>10</v>
      </c>
      <c r="AU62" s="316">
        <f t="shared" si="1"/>
        <v>199</v>
      </c>
      <c r="AV62" s="22">
        <v>190</v>
      </c>
      <c r="AW62" s="22">
        <v>0</v>
      </c>
      <c r="AX62" s="22">
        <v>0</v>
      </c>
      <c r="AY62" s="22">
        <v>0</v>
      </c>
      <c r="AZ62" s="22">
        <v>0</v>
      </c>
      <c r="BA62" s="22">
        <v>7</v>
      </c>
      <c r="BB62" s="22">
        <v>10</v>
      </c>
      <c r="BC62" s="316">
        <f t="shared" si="2"/>
        <v>207</v>
      </c>
      <c r="BD62" s="58">
        <f t="shared" si="3"/>
        <v>8</v>
      </c>
      <c r="BE62" s="58">
        <f t="shared" si="4"/>
        <v>0</v>
      </c>
      <c r="BF62" s="58">
        <f t="shared" si="5"/>
        <v>0</v>
      </c>
      <c r="BG62" s="58">
        <f t="shared" si="6"/>
        <v>0</v>
      </c>
      <c r="BH62" s="58">
        <f t="shared" si="7"/>
        <v>0</v>
      </c>
      <c r="BI62" s="58">
        <f t="shared" si="8"/>
        <v>0</v>
      </c>
      <c r="BJ62" s="58">
        <f t="shared" si="9"/>
        <v>0</v>
      </c>
      <c r="BK62" s="58">
        <f t="shared" si="10"/>
        <v>8</v>
      </c>
    </row>
    <row r="63" spans="1:63" ht="27" customHeight="1">
      <c r="A63" s="13">
        <f t="shared" si="11"/>
        <v>61</v>
      </c>
      <c r="B63" s="14" t="s">
        <v>662</v>
      </c>
      <c r="C63" s="10">
        <v>488</v>
      </c>
      <c r="D63" s="76" t="s">
        <v>663</v>
      </c>
      <c r="E63" s="77">
        <v>614705955</v>
      </c>
      <c r="F63" s="78" t="s">
        <v>664</v>
      </c>
      <c r="G63" s="79" t="s">
        <v>665</v>
      </c>
      <c r="H63" s="15" t="s">
        <v>666</v>
      </c>
      <c r="I63" s="16" t="s">
        <v>667</v>
      </c>
      <c r="J63" s="80" t="s">
        <v>178</v>
      </c>
      <c r="K63" s="24">
        <v>33480</v>
      </c>
      <c r="L63" s="82" t="s">
        <v>179</v>
      </c>
      <c r="M63" s="25">
        <v>41822</v>
      </c>
      <c r="N63" s="25"/>
      <c r="O63" s="17" t="s">
        <v>34</v>
      </c>
      <c r="P63" s="18" t="s">
        <v>386</v>
      </c>
      <c r="Q63" s="18" t="s">
        <v>181</v>
      </c>
      <c r="R63" s="17" t="s">
        <v>182</v>
      </c>
      <c r="S63" s="19" t="s">
        <v>183</v>
      </c>
      <c r="T63" s="22"/>
      <c r="U63" s="22"/>
      <c r="V63" s="21" t="s">
        <v>200</v>
      </c>
      <c r="W63" s="21" t="s">
        <v>184</v>
      </c>
      <c r="X63" s="21">
        <v>8</v>
      </c>
      <c r="Y63" s="77" t="s">
        <v>184</v>
      </c>
      <c r="Z63" s="21"/>
      <c r="AA63" s="86" t="s">
        <v>186</v>
      </c>
      <c r="AB63" s="21"/>
      <c r="AC63" s="122" t="s">
        <v>497</v>
      </c>
      <c r="AD63" s="122"/>
      <c r="AE63" s="122"/>
      <c r="AF63" s="124"/>
      <c r="AG63" s="122"/>
      <c r="AH63" s="59"/>
      <c r="AI63" s="59"/>
      <c r="AJ63" s="21" t="s">
        <v>203</v>
      </c>
      <c r="AK63" s="21" t="s">
        <v>190</v>
      </c>
      <c r="AL63" s="21" t="s">
        <v>203</v>
      </c>
      <c r="AM63" s="123" t="s">
        <v>661</v>
      </c>
      <c r="AN63" s="22">
        <v>182</v>
      </c>
      <c r="AO63" s="22">
        <v>6</v>
      </c>
      <c r="AP63" s="22">
        <v>0</v>
      </c>
      <c r="AQ63" s="22">
        <v>0</v>
      </c>
      <c r="AR63" s="22">
        <v>0</v>
      </c>
      <c r="AS63" s="22">
        <v>7</v>
      </c>
      <c r="AT63" s="22">
        <v>10</v>
      </c>
      <c r="AU63" s="316">
        <f t="shared" si="1"/>
        <v>205</v>
      </c>
      <c r="AV63" s="22">
        <v>190</v>
      </c>
      <c r="AW63" s="22">
        <v>6</v>
      </c>
      <c r="AX63" s="22">
        <v>0</v>
      </c>
      <c r="AY63" s="22">
        <v>0</v>
      </c>
      <c r="AZ63" s="22">
        <v>0</v>
      </c>
      <c r="BA63" s="22">
        <v>7</v>
      </c>
      <c r="BB63" s="22">
        <v>10</v>
      </c>
      <c r="BC63" s="316">
        <f t="shared" si="2"/>
        <v>213</v>
      </c>
      <c r="BD63" s="58">
        <f t="shared" si="3"/>
        <v>8</v>
      </c>
      <c r="BE63" s="58">
        <f t="shared" si="4"/>
        <v>0</v>
      </c>
      <c r="BF63" s="58">
        <f t="shared" si="5"/>
        <v>0</v>
      </c>
      <c r="BG63" s="58">
        <f t="shared" si="6"/>
        <v>0</v>
      </c>
      <c r="BH63" s="58">
        <f t="shared" si="7"/>
        <v>0</v>
      </c>
      <c r="BI63" s="58">
        <f t="shared" si="8"/>
        <v>0</v>
      </c>
      <c r="BJ63" s="58">
        <f t="shared" si="9"/>
        <v>0</v>
      </c>
      <c r="BK63" s="58">
        <f t="shared" si="10"/>
        <v>8</v>
      </c>
    </row>
    <row r="64" spans="1:63" ht="27" customHeight="1">
      <c r="A64" s="13">
        <f t="shared" si="11"/>
        <v>62</v>
      </c>
      <c r="B64" s="14" t="s">
        <v>668</v>
      </c>
      <c r="C64" s="10">
        <v>620</v>
      </c>
      <c r="D64" s="76" t="s">
        <v>669</v>
      </c>
      <c r="E64" s="77" t="s">
        <v>190</v>
      </c>
      <c r="F64" s="78" t="s">
        <v>407</v>
      </c>
      <c r="G64" s="79" t="s">
        <v>670</v>
      </c>
      <c r="H64" s="15" t="s">
        <v>609</v>
      </c>
      <c r="I64" s="16" t="s">
        <v>671</v>
      </c>
      <c r="J64" s="80" t="s">
        <v>178</v>
      </c>
      <c r="K64" s="24">
        <v>35498</v>
      </c>
      <c r="L64" s="82" t="s">
        <v>179</v>
      </c>
      <c r="M64" s="25">
        <v>41839</v>
      </c>
      <c r="N64" s="25"/>
      <c r="O64" s="17" t="s">
        <v>291</v>
      </c>
      <c r="P64" s="18" t="s">
        <v>561</v>
      </c>
      <c r="Q64" s="18" t="s">
        <v>181</v>
      </c>
      <c r="R64" s="19" t="s">
        <v>182</v>
      </c>
      <c r="S64" s="19" t="s">
        <v>256</v>
      </c>
      <c r="T64" s="20"/>
      <c r="U64" s="20"/>
      <c r="V64" s="84" t="s">
        <v>200</v>
      </c>
      <c r="W64" s="84">
        <v>83</v>
      </c>
      <c r="X64" s="84">
        <v>10</v>
      </c>
      <c r="Y64" s="85" t="s">
        <v>184</v>
      </c>
      <c r="Z64" s="86" t="s">
        <v>186</v>
      </c>
      <c r="AA64" s="21"/>
      <c r="AB64" s="21"/>
      <c r="AC64" s="122"/>
      <c r="AD64" s="122"/>
      <c r="AE64" s="122"/>
      <c r="AF64" s="124"/>
      <c r="AG64" s="122"/>
      <c r="AH64" s="59"/>
      <c r="AI64" s="59"/>
      <c r="AJ64" s="21" t="s">
        <v>203</v>
      </c>
      <c r="AK64" s="21" t="s">
        <v>190</v>
      </c>
      <c r="AL64" s="21" t="s">
        <v>191</v>
      </c>
      <c r="AM64" s="123" t="s">
        <v>672</v>
      </c>
      <c r="AN64" s="22">
        <v>182</v>
      </c>
      <c r="AO64" s="22">
        <v>6</v>
      </c>
      <c r="AP64" s="22">
        <v>0</v>
      </c>
      <c r="AQ64" s="22">
        <v>30</v>
      </c>
      <c r="AR64" s="22">
        <v>0</v>
      </c>
      <c r="AS64" s="22">
        <v>7</v>
      </c>
      <c r="AT64" s="22">
        <v>10</v>
      </c>
      <c r="AU64" s="316">
        <f t="shared" si="1"/>
        <v>235</v>
      </c>
      <c r="AV64" s="22">
        <v>190</v>
      </c>
      <c r="AW64" s="22">
        <v>6</v>
      </c>
      <c r="AX64" s="22">
        <v>0</v>
      </c>
      <c r="AY64" s="22">
        <v>30</v>
      </c>
      <c r="AZ64" s="22">
        <v>0</v>
      </c>
      <c r="BA64" s="22">
        <v>7</v>
      </c>
      <c r="BB64" s="22">
        <v>10</v>
      </c>
      <c r="BC64" s="316">
        <f t="shared" si="2"/>
        <v>243</v>
      </c>
      <c r="BD64" s="58">
        <f t="shared" si="3"/>
        <v>8</v>
      </c>
      <c r="BE64" s="58">
        <f t="shared" si="4"/>
        <v>0</v>
      </c>
      <c r="BF64" s="58">
        <f t="shared" si="5"/>
        <v>0</v>
      </c>
      <c r="BG64" s="58">
        <f t="shared" si="6"/>
        <v>0</v>
      </c>
      <c r="BH64" s="58">
        <f t="shared" si="7"/>
        <v>0</v>
      </c>
      <c r="BI64" s="58">
        <f t="shared" si="8"/>
        <v>0</v>
      </c>
      <c r="BJ64" s="58">
        <f t="shared" si="9"/>
        <v>0</v>
      </c>
      <c r="BK64" s="58">
        <f t="shared" si="10"/>
        <v>8</v>
      </c>
    </row>
    <row r="65" spans="1:63" ht="27" customHeight="1">
      <c r="A65" s="13">
        <f t="shared" si="11"/>
        <v>63</v>
      </c>
      <c r="B65" s="14" t="s">
        <v>673</v>
      </c>
      <c r="C65" s="10">
        <v>588</v>
      </c>
      <c r="D65" s="76" t="s">
        <v>674</v>
      </c>
      <c r="E65" s="77">
        <v>20556813</v>
      </c>
      <c r="F65" s="78" t="s">
        <v>675</v>
      </c>
      <c r="G65" s="79" t="s">
        <v>676</v>
      </c>
      <c r="H65" s="15" t="s">
        <v>677</v>
      </c>
      <c r="I65" s="16" t="s">
        <v>678</v>
      </c>
      <c r="J65" s="80" t="s">
        <v>178</v>
      </c>
      <c r="K65" s="24">
        <v>32453</v>
      </c>
      <c r="L65" s="82" t="s">
        <v>179</v>
      </c>
      <c r="M65" s="25">
        <v>41836</v>
      </c>
      <c r="N65" s="25"/>
      <c r="O65" s="17" t="s">
        <v>34</v>
      </c>
      <c r="P65" s="18" t="s">
        <v>348</v>
      </c>
      <c r="Q65" s="18" t="s">
        <v>181</v>
      </c>
      <c r="R65" s="19" t="s">
        <v>182</v>
      </c>
      <c r="S65" s="18" t="s">
        <v>331</v>
      </c>
      <c r="T65" s="20"/>
      <c r="U65" s="20"/>
      <c r="V65" s="84" t="s">
        <v>200</v>
      </c>
      <c r="W65" s="84" t="s">
        <v>184</v>
      </c>
      <c r="X65" s="84">
        <v>9</v>
      </c>
      <c r="Y65" s="85" t="s">
        <v>184</v>
      </c>
      <c r="Z65" s="86" t="s">
        <v>186</v>
      </c>
      <c r="AA65" s="21"/>
      <c r="AB65" s="21"/>
      <c r="AC65" s="122"/>
      <c r="AD65" s="122"/>
      <c r="AE65" s="122"/>
      <c r="AF65" s="124"/>
      <c r="AG65" s="122"/>
      <c r="AH65" s="59"/>
      <c r="AI65" s="59"/>
      <c r="AJ65" s="21" t="s">
        <v>203</v>
      </c>
      <c r="AK65" s="21" t="s">
        <v>190</v>
      </c>
      <c r="AL65" s="21" t="s">
        <v>191</v>
      </c>
      <c r="AM65" s="123" t="s">
        <v>661</v>
      </c>
      <c r="AN65" s="22">
        <v>182</v>
      </c>
      <c r="AO65" s="22">
        <v>6</v>
      </c>
      <c r="AP65" s="22">
        <v>0</v>
      </c>
      <c r="AQ65" s="22">
        <v>0</v>
      </c>
      <c r="AR65" s="22">
        <v>0</v>
      </c>
      <c r="AS65" s="22">
        <v>7</v>
      </c>
      <c r="AT65" s="22">
        <v>10</v>
      </c>
      <c r="AU65" s="316">
        <f t="shared" si="1"/>
        <v>205</v>
      </c>
      <c r="AV65" s="22">
        <v>190</v>
      </c>
      <c r="AW65" s="22">
        <v>6</v>
      </c>
      <c r="AX65" s="22">
        <v>0</v>
      </c>
      <c r="AY65" s="22">
        <v>0</v>
      </c>
      <c r="AZ65" s="22">
        <v>0</v>
      </c>
      <c r="BA65" s="22">
        <v>7</v>
      </c>
      <c r="BB65" s="22">
        <v>10</v>
      </c>
      <c r="BC65" s="316">
        <f t="shared" si="2"/>
        <v>213</v>
      </c>
      <c r="BD65" s="58">
        <f t="shared" si="3"/>
        <v>8</v>
      </c>
      <c r="BE65" s="58">
        <f t="shared" si="4"/>
        <v>0</v>
      </c>
      <c r="BF65" s="58">
        <f t="shared" si="5"/>
        <v>0</v>
      </c>
      <c r="BG65" s="58">
        <f t="shared" si="6"/>
        <v>0</v>
      </c>
      <c r="BH65" s="58">
        <f t="shared" si="7"/>
        <v>0</v>
      </c>
      <c r="BI65" s="58">
        <f t="shared" si="8"/>
        <v>0</v>
      </c>
      <c r="BJ65" s="58">
        <f t="shared" si="9"/>
        <v>0</v>
      </c>
      <c r="BK65" s="58">
        <f t="shared" si="10"/>
        <v>8</v>
      </c>
    </row>
    <row r="66" spans="1:63" ht="27" customHeight="1">
      <c r="A66" s="13">
        <f t="shared" si="11"/>
        <v>64</v>
      </c>
      <c r="B66" s="14" t="s">
        <v>679</v>
      </c>
      <c r="C66" s="10">
        <v>634</v>
      </c>
      <c r="D66" s="76" t="s">
        <v>680</v>
      </c>
      <c r="E66" s="77" t="s">
        <v>190</v>
      </c>
      <c r="F66" s="78" t="s">
        <v>681</v>
      </c>
      <c r="G66" s="79" t="s">
        <v>682</v>
      </c>
      <c r="H66" s="15" t="s">
        <v>683</v>
      </c>
      <c r="I66" s="16" t="s">
        <v>684</v>
      </c>
      <c r="J66" s="80" t="s">
        <v>178</v>
      </c>
      <c r="K66" s="24">
        <v>29833</v>
      </c>
      <c r="L66" s="82" t="s">
        <v>179</v>
      </c>
      <c r="M66" s="25">
        <v>41862</v>
      </c>
      <c r="N66" s="25"/>
      <c r="O66" s="17" t="s">
        <v>34</v>
      </c>
      <c r="P66" s="18" t="s">
        <v>227</v>
      </c>
      <c r="Q66" s="18" t="s">
        <v>181</v>
      </c>
      <c r="R66" s="17" t="s">
        <v>182</v>
      </c>
      <c r="S66" s="19" t="s">
        <v>211</v>
      </c>
      <c r="T66" s="22"/>
      <c r="U66" s="22"/>
      <c r="V66" s="21" t="s">
        <v>200</v>
      </c>
      <c r="W66" s="21">
        <v>2518</v>
      </c>
      <c r="X66" s="21">
        <v>7</v>
      </c>
      <c r="Y66" s="77" t="s">
        <v>685</v>
      </c>
      <c r="Z66" s="86"/>
      <c r="AA66" s="86"/>
      <c r="AB66" s="86" t="s">
        <v>186</v>
      </c>
      <c r="AC66" s="115"/>
      <c r="AD66" s="115" t="s">
        <v>188</v>
      </c>
      <c r="AE66" s="115" t="s">
        <v>188</v>
      </c>
      <c r="AF66" s="124"/>
      <c r="AG66" s="122"/>
      <c r="AH66" s="59"/>
      <c r="AI66" s="59"/>
      <c r="AJ66" s="21" t="s">
        <v>203</v>
      </c>
      <c r="AK66" s="21" t="s">
        <v>190</v>
      </c>
      <c r="AL66" s="21" t="s">
        <v>190</v>
      </c>
      <c r="AM66" s="123" t="s">
        <v>686</v>
      </c>
      <c r="AN66" s="22">
        <v>182</v>
      </c>
      <c r="AO66" s="22">
        <v>6</v>
      </c>
      <c r="AP66" s="22">
        <v>0</v>
      </c>
      <c r="AQ66" s="22">
        <v>0</v>
      </c>
      <c r="AR66" s="22">
        <v>0</v>
      </c>
      <c r="AS66" s="22">
        <v>7</v>
      </c>
      <c r="AT66" s="22">
        <v>10</v>
      </c>
      <c r="AU66" s="316">
        <f t="shared" si="1"/>
        <v>205</v>
      </c>
      <c r="AV66" s="22">
        <v>190</v>
      </c>
      <c r="AW66" s="22">
        <v>6</v>
      </c>
      <c r="AX66" s="22">
        <v>0</v>
      </c>
      <c r="AY66" s="22">
        <v>0</v>
      </c>
      <c r="AZ66" s="22">
        <v>0</v>
      </c>
      <c r="BA66" s="22">
        <v>7</v>
      </c>
      <c r="BB66" s="22">
        <v>10</v>
      </c>
      <c r="BC66" s="316">
        <f t="shared" si="2"/>
        <v>213</v>
      </c>
      <c r="BD66" s="58">
        <f t="shared" si="3"/>
        <v>8</v>
      </c>
      <c r="BE66" s="58">
        <f t="shared" si="4"/>
        <v>0</v>
      </c>
      <c r="BF66" s="58">
        <f t="shared" si="5"/>
        <v>0</v>
      </c>
      <c r="BG66" s="58">
        <f t="shared" si="6"/>
        <v>0</v>
      </c>
      <c r="BH66" s="58">
        <f t="shared" si="7"/>
        <v>0</v>
      </c>
      <c r="BI66" s="58">
        <f t="shared" si="8"/>
        <v>0</v>
      </c>
      <c r="BJ66" s="58">
        <f t="shared" si="9"/>
        <v>0</v>
      </c>
      <c r="BK66" s="58">
        <f t="shared" si="10"/>
        <v>8</v>
      </c>
    </row>
    <row r="67" spans="1:63" ht="27" customHeight="1">
      <c r="A67" s="13">
        <f t="shared" si="11"/>
        <v>65</v>
      </c>
      <c r="B67" s="14" t="s">
        <v>687</v>
      </c>
      <c r="C67" s="10">
        <v>658</v>
      </c>
      <c r="D67" s="90" t="s">
        <v>688</v>
      </c>
      <c r="E67" s="77">
        <v>100395775</v>
      </c>
      <c r="F67" s="78" t="s">
        <v>689</v>
      </c>
      <c r="G67" s="79" t="s">
        <v>690</v>
      </c>
      <c r="H67" s="15" t="s">
        <v>691</v>
      </c>
      <c r="I67" s="16" t="s">
        <v>692</v>
      </c>
      <c r="J67" s="80" t="s">
        <v>178</v>
      </c>
      <c r="K67" s="24">
        <v>30713</v>
      </c>
      <c r="L67" s="82" t="s">
        <v>179</v>
      </c>
      <c r="M67" s="25">
        <v>41873</v>
      </c>
      <c r="N67" s="25"/>
      <c r="O67" s="17" t="s">
        <v>34</v>
      </c>
      <c r="P67" s="18" t="s">
        <v>348</v>
      </c>
      <c r="Q67" s="18" t="s">
        <v>181</v>
      </c>
      <c r="R67" s="17" t="s">
        <v>182</v>
      </c>
      <c r="S67" s="19" t="s">
        <v>211</v>
      </c>
      <c r="T67" s="22"/>
      <c r="U67" s="22"/>
      <c r="V67" s="21" t="s">
        <v>184</v>
      </c>
      <c r="W67" s="21">
        <v>2512</v>
      </c>
      <c r="X67" s="21">
        <v>5</v>
      </c>
      <c r="Y67" s="77" t="s">
        <v>693</v>
      </c>
      <c r="Z67" s="86"/>
      <c r="AA67" s="86" t="s">
        <v>186</v>
      </c>
      <c r="AB67" s="86"/>
      <c r="AC67" s="115" t="s">
        <v>694</v>
      </c>
      <c r="AD67" s="115" t="s">
        <v>188</v>
      </c>
      <c r="AE67" s="122"/>
      <c r="AF67" s="124"/>
      <c r="AG67" s="122"/>
      <c r="AH67" s="59"/>
      <c r="AI67" s="59"/>
      <c r="AJ67" s="21" t="s">
        <v>203</v>
      </c>
      <c r="AK67" s="21" t="s">
        <v>190</v>
      </c>
      <c r="AL67" s="21" t="s">
        <v>203</v>
      </c>
      <c r="AM67" s="123" t="s">
        <v>695</v>
      </c>
      <c r="AN67" s="22">
        <v>182</v>
      </c>
      <c r="AO67" s="22">
        <v>6</v>
      </c>
      <c r="AP67" s="22">
        <v>0</v>
      </c>
      <c r="AQ67" s="22">
        <v>0</v>
      </c>
      <c r="AR67" s="22">
        <v>0</v>
      </c>
      <c r="AS67" s="22">
        <v>7</v>
      </c>
      <c r="AT67" s="22">
        <v>10</v>
      </c>
      <c r="AU67" s="316">
        <f t="shared" si="1"/>
        <v>205</v>
      </c>
      <c r="AV67" s="22">
        <v>190</v>
      </c>
      <c r="AW67" s="22">
        <v>6</v>
      </c>
      <c r="AX67" s="22">
        <v>0</v>
      </c>
      <c r="AY67" s="22">
        <v>0</v>
      </c>
      <c r="AZ67" s="22">
        <v>0</v>
      </c>
      <c r="BA67" s="22">
        <v>7</v>
      </c>
      <c r="BB67" s="22">
        <v>10</v>
      </c>
      <c r="BC67" s="316">
        <f t="shared" si="2"/>
        <v>213</v>
      </c>
      <c r="BD67" s="58">
        <f t="shared" si="3"/>
        <v>8</v>
      </c>
      <c r="BE67" s="58">
        <f t="shared" si="4"/>
        <v>0</v>
      </c>
      <c r="BF67" s="58">
        <f t="shared" si="5"/>
        <v>0</v>
      </c>
      <c r="BG67" s="58">
        <f t="shared" si="6"/>
        <v>0</v>
      </c>
      <c r="BH67" s="58">
        <f t="shared" si="7"/>
        <v>0</v>
      </c>
      <c r="BI67" s="58">
        <f t="shared" si="8"/>
        <v>0</v>
      </c>
      <c r="BJ67" s="58">
        <f t="shared" si="9"/>
        <v>0</v>
      </c>
      <c r="BK67" s="58">
        <f t="shared" si="10"/>
        <v>8</v>
      </c>
    </row>
    <row r="68" spans="1:63" ht="27" customHeight="1">
      <c r="A68" s="13">
        <f t="shared" si="11"/>
        <v>66</v>
      </c>
      <c r="B68" s="14" t="s">
        <v>696</v>
      </c>
      <c r="C68" s="10">
        <v>649</v>
      </c>
      <c r="D68" s="76" t="s">
        <v>697</v>
      </c>
      <c r="E68" s="77">
        <v>130095732</v>
      </c>
      <c r="F68" s="78" t="s">
        <v>195</v>
      </c>
      <c r="G68" s="79" t="s">
        <v>698</v>
      </c>
      <c r="H68" s="15" t="s">
        <v>699</v>
      </c>
      <c r="I68" s="16" t="s">
        <v>700</v>
      </c>
      <c r="J68" s="80" t="s">
        <v>178</v>
      </c>
      <c r="K68" s="24">
        <v>31022</v>
      </c>
      <c r="L68" s="82" t="s">
        <v>179</v>
      </c>
      <c r="M68" s="25">
        <v>41870</v>
      </c>
      <c r="N68" s="25"/>
      <c r="O68" s="17" t="s">
        <v>34</v>
      </c>
      <c r="P68" s="18" t="s">
        <v>282</v>
      </c>
      <c r="Q68" s="18" t="s">
        <v>249</v>
      </c>
      <c r="R68" s="17" t="s">
        <v>182</v>
      </c>
      <c r="S68" s="19" t="s">
        <v>211</v>
      </c>
      <c r="T68" s="22"/>
      <c r="U68" s="22"/>
      <c r="V68" s="21" t="s">
        <v>184</v>
      </c>
      <c r="W68" s="21">
        <v>359</v>
      </c>
      <c r="X68" s="21">
        <v>3</v>
      </c>
      <c r="Y68" s="77" t="s">
        <v>184</v>
      </c>
      <c r="Z68" s="86"/>
      <c r="AA68" s="86" t="s">
        <v>186</v>
      </c>
      <c r="AB68" s="86"/>
      <c r="AC68" s="115" t="s">
        <v>138</v>
      </c>
      <c r="AD68" s="122"/>
      <c r="AE68" s="122"/>
      <c r="AF68" s="124"/>
      <c r="AG68" s="122"/>
      <c r="AH68" s="59"/>
      <c r="AI68" s="59"/>
      <c r="AJ68" s="21" t="s">
        <v>203</v>
      </c>
      <c r="AK68" s="21" t="s">
        <v>190</v>
      </c>
      <c r="AL68" s="21" t="s">
        <v>190</v>
      </c>
      <c r="AM68" s="123" t="s">
        <v>701</v>
      </c>
      <c r="AN68" s="22">
        <v>182</v>
      </c>
      <c r="AO68" s="22">
        <v>6</v>
      </c>
      <c r="AP68" s="22">
        <v>20</v>
      </c>
      <c r="AQ68" s="22">
        <v>0</v>
      </c>
      <c r="AR68" s="22">
        <v>0</v>
      </c>
      <c r="AS68" s="22">
        <v>7</v>
      </c>
      <c r="AT68" s="22">
        <v>10</v>
      </c>
      <c r="AU68" s="316">
        <f t="shared" ref="AU68:AU131" si="12">SUM(AN68:AT68)</f>
        <v>225</v>
      </c>
      <c r="AV68" s="22">
        <v>190</v>
      </c>
      <c r="AW68" s="22">
        <v>6</v>
      </c>
      <c r="AX68" s="22">
        <v>20</v>
      </c>
      <c r="AY68" s="22">
        <v>0</v>
      </c>
      <c r="AZ68" s="22">
        <v>0</v>
      </c>
      <c r="BA68" s="22">
        <v>7</v>
      </c>
      <c r="BB68" s="22">
        <v>10</v>
      </c>
      <c r="BC68" s="316">
        <f t="shared" ref="BC68:BC131" si="13">SUM(AV68:BB68)</f>
        <v>233</v>
      </c>
      <c r="BD68" s="58">
        <f t="shared" ref="BD68:BD131" si="14">AV68-AN68</f>
        <v>8</v>
      </c>
      <c r="BE68" s="58">
        <f t="shared" ref="BE68:BE131" si="15">AW68-AO68</f>
        <v>0</v>
      </c>
      <c r="BF68" s="58">
        <f t="shared" ref="BF68:BF131" si="16">AX68-AP68</f>
        <v>0</v>
      </c>
      <c r="BG68" s="58">
        <f t="shared" ref="BG68:BG131" si="17">AY68-AQ68</f>
        <v>0</v>
      </c>
      <c r="BH68" s="58">
        <f t="shared" ref="BH68:BH131" si="18">AZ68-AR68</f>
        <v>0</v>
      </c>
      <c r="BI68" s="58">
        <f t="shared" ref="BI68:BI131" si="19">BA68-AS68</f>
        <v>0</v>
      </c>
      <c r="BJ68" s="58">
        <f t="shared" ref="BJ68:BJ131" si="20">BB68-AT68</f>
        <v>0</v>
      </c>
      <c r="BK68" s="58">
        <f t="shared" ref="BK68:BK131" si="21">BC68-AU68</f>
        <v>8</v>
      </c>
    </row>
    <row r="69" spans="1:63" ht="27" customHeight="1">
      <c r="A69" s="13">
        <f t="shared" ref="A69:A132" si="22">1+A68</f>
        <v>67</v>
      </c>
      <c r="B69" s="14" t="s">
        <v>702</v>
      </c>
      <c r="C69" s="10">
        <v>648</v>
      </c>
      <c r="D69" s="76" t="s">
        <v>703</v>
      </c>
      <c r="E69" s="77">
        <v>120028161</v>
      </c>
      <c r="F69" s="78" t="s">
        <v>704</v>
      </c>
      <c r="G69" s="79" t="s">
        <v>705</v>
      </c>
      <c r="H69" s="15" t="s">
        <v>16</v>
      </c>
      <c r="I69" s="16" t="s">
        <v>17</v>
      </c>
      <c r="J69" s="80" t="s">
        <v>209</v>
      </c>
      <c r="K69" s="24">
        <v>34481</v>
      </c>
      <c r="L69" s="82" t="s">
        <v>179</v>
      </c>
      <c r="M69" s="25">
        <v>41869</v>
      </c>
      <c r="N69" s="25"/>
      <c r="O69" s="17" t="s">
        <v>14</v>
      </c>
      <c r="P69" s="18" t="s">
        <v>15</v>
      </c>
      <c r="Q69" s="18" t="s">
        <v>181</v>
      </c>
      <c r="R69" s="17" t="s">
        <v>182</v>
      </c>
      <c r="S69" s="13" t="s">
        <v>706</v>
      </c>
      <c r="T69" s="22"/>
      <c r="U69" s="22"/>
      <c r="V69" s="21" t="s">
        <v>200</v>
      </c>
      <c r="W69" s="21">
        <v>1692</v>
      </c>
      <c r="X69" s="21">
        <v>6</v>
      </c>
      <c r="Y69" s="77" t="s">
        <v>707</v>
      </c>
      <c r="Z69" s="86" t="s">
        <v>186</v>
      </c>
      <c r="AA69" s="86"/>
      <c r="AB69" s="86"/>
      <c r="AC69" s="122"/>
      <c r="AD69" s="122"/>
      <c r="AE69" s="122"/>
      <c r="AF69" s="124"/>
      <c r="AG69" s="122"/>
      <c r="AH69" s="59"/>
      <c r="AI69" s="59"/>
      <c r="AJ69" s="21" t="s">
        <v>203</v>
      </c>
      <c r="AK69" s="21" t="s">
        <v>190</v>
      </c>
      <c r="AL69" s="21" t="s">
        <v>203</v>
      </c>
      <c r="AM69" s="123" t="s">
        <v>701</v>
      </c>
      <c r="AN69" s="22">
        <v>182</v>
      </c>
      <c r="AO69" s="22">
        <v>6</v>
      </c>
      <c r="AP69" s="22">
        <v>0</v>
      </c>
      <c r="AQ69" s="22">
        <v>15</v>
      </c>
      <c r="AR69" s="22">
        <v>5</v>
      </c>
      <c r="AS69" s="22">
        <v>7</v>
      </c>
      <c r="AT69" s="22">
        <v>10</v>
      </c>
      <c r="AU69" s="316">
        <f t="shared" si="12"/>
        <v>225</v>
      </c>
      <c r="AV69" s="22">
        <v>190</v>
      </c>
      <c r="AW69" s="22">
        <v>6</v>
      </c>
      <c r="AX69" s="22">
        <v>0</v>
      </c>
      <c r="AY69" s="22">
        <v>15</v>
      </c>
      <c r="AZ69" s="22">
        <v>5</v>
      </c>
      <c r="BA69" s="22">
        <v>7</v>
      </c>
      <c r="BB69" s="22">
        <v>10</v>
      </c>
      <c r="BC69" s="316">
        <f t="shared" si="13"/>
        <v>233</v>
      </c>
      <c r="BD69" s="58">
        <f t="shared" si="14"/>
        <v>8</v>
      </c>
      <c r="BE69" s="58">
        <f t="shared" si="15"/>
        <v>0</v>
      </c>
      <c r="BF69" s="58">
        <f t="shared" si="16"/>
        <v>0</v>
      </c>
      <c r="BG69" s="58">
        <f t="shared" si="17"/>
        <v>0</v>
      </c>
      <c r="BH69" s="58">
        <f t="shared" si="18"/>
        <v>0</v>
      </c>
      <c r="BI69" s="58">
        <f t="shared" si="19"/>
        <v>0</v>
      </c>
      <c r="BJ69" s="58">
        <f t="shared" si="20"/>
        <v>0</v>
      </c>
      <c r="BK69" s="58">
        <f t="shared" si="21"/>
        <v>8</v>
      </c>
    </row>
    <row r="70" spans="1:63" ht="27" customHeight="1">
      <c r="A70" s="13">
        <f t="shared" si="22"/>
        <v>68</v>
      </c>
      <c r="B70" s="125" t="s">
        <v>708</v>
      </c>
      <c r="C70" s="125">
        <v>651</v>
      </c>
      <c r="D70" s="126" t="s">
        <v>709</v>
      </c>
      <c r="E70" s="127">
        <v>110394595</v>
      </c>
      <c r="F70" s="128" t="s">
        <v>710</v>
      </c>
      <c r="G70" s="129" t="s">
        <v>705</v>
      </c>
      <c r="H70" s="130" t="s">
        <v>711</v>
      </c>
      <c r="I70" s="131" t="s">
        <v>17</v>
      </c>
      <c r="J70" s="132" t="s">
        <v>178</v>
      </c>
      <c r="K70" s="133">
        <v>32971</v>
      </c>
      <c r="L70" s="134" t="s">
        <v>179</v>
      </c>
      <c r="M70" s="135">
        <v>41871</v>
      </c>
      <c r="N70" s="135"/>
      <c r="O70" s="136" t="s">
        <v>34</v>
      </c>
      <c r="P70" s="18" t="s">
        <v>512</v>
      </c>
      <c r="Q70" s="18" t="s">
        <v>181</v>
      </c>
      <c r="R70" s="136" t="s">
        <v>182</v>
      </c>
      <c r="S70" s="136" t="s">
        <v>228</v>
      </c>
      <c r="T70" s="138"/>
      <c r="U70" s="138"/>
      <c r="V70" s="139" t="s">
        <v>200</v>
      </c>
      <c r="W70" s="139">
        <v>3279</v>
      </c>
      <c r="X70" s="139">
        <v>9</v>
      </c>
      <c r="Y70" s="127" t="s">
        <v>712</v>
      </c>
      <c r="Z70" s="141"/>
      <c r="AA70" s="141" t="s">
        <v>186</v>
      </c>
      <c r="AB70" s="141"/>
      <c r="AC70" s="167" t="s">
        <v>356</v>
      </c>
      <c r="AD70" s="167"/>
      <c r="AE70" s="168"/>
      <c r="AF70" s="169"/>
      <c r="AG70" s="168"/>
      <c r="AH70" s="144"/>
      <c r="AI70" s="144"/>
      <c r="AJ70" s="139" t="s">
        <v>203</v>
      </c>
      <c r="AK70" s="139" t="s">
        <v>190</v>
      </c>
      <c r="AL70" s="139" t="s">
        <v>203</v>
      </c>
      <c r="AM70" s="145" t="s">
        <v>713</v>
      </c>
      <c r="AN70" s="22">
        <v>182</v>
      </c>
      <c r="AO70" s="22">
        <v>6</v>
      </c>
      <c r="AP70" s="22">
        <v>0</v>
      </c>
      <c r="AQ70" s="22">
        <v>0</v>
      </c>
      <c r="AR70" s="22">
        <v>0</v>
      </c>
      <c r="AS70" s="22">
        <v>7</v>
      </c>
      <c r="AT70" s="22">
        <v>10</v>
      </c>
      <c r="AU70" s="316">
        <f t="shared" si="12"/>
        <v>205</v>
      </c>
      <c r="AV70" s="22">
        <v>190</v>
      </c>
      <c r="AW70" s="22">
        <v>6</v>
      </c>
      <c r="AX70" s="22">
        <v>0</v>
      </c>
      <c r="AY70" s="22">
        <v>0</v>
      </c>
      <c r="AZ70" s="22">
        <v>0</v>
      </c>
      <c r="BA70" s="22">
        <v>7</v>
      </c>
      <c r="BB70" s="22">
        <v>10</v>
      </c>
      <c r="BC70" s="316">
        <f t="shared" si="13"/>
        <v>213</v>
      </c>
      <c r="BD70" s="58">
        <f t="shared" si="14"/>
        <v>8</v>
      </c>
      <c r="BE70" s="58">
        <f t="shared" si="15"/>
        <v>0</v>
      </c>
      <c r="BF70" s="58">
        <f t="shared" si="16"/>
        <v>0</v>
      </c>
      <c r="BG70" s="58">
        <f t="shared" si="17"/>
        <v>0</v>
      </c>
      <c r="BH70" s="58">
        <f t="shared" si="18"/>
        <v>0</v>
      </c>
      <c r="BI70" s="58">
        <f t="shared" si="19"/>
        <v>0</v>
      </c>
      <c r="BJ70" s="58">
        <f t="shared" si="20"/>
        <v>0</v>
      </c>
      <c r="BK70" s="58">
        <f t="shared" si="21"/>
        <v>8</v>
      </c>
    </row>
    <row r="71" spans="1:63" ht="27" customHeight="1">
      <c r="A71" s="13">
        <f t="shared" si="22"/>
        <v>69</v>
      </c>
      <c r="B71" s="14" t="s">
        <v>714</v>
      </c>
      <c r="C71" s="10">
        <v>657</v>
      </c>
      <c r="D71" s="76" t="s">
        <v>715</v>
      </c>
      <c r="E71" s="77" t="s">
        <v>190</v>
      </c>
      <c r="F71" s="78" t="s">
        <v>716</v>
      </c>
      <c r="G71" s="79" t="s">
        <v>717</v>
      </c>
      <c r="H71" s="15" t="s">
        <v>718</v>
      </c>
      <c r="I71" s="16" t="s">
        <v>719</v>
      </c>
      <c r="J71" s="80" t="s">
        <v>178</v>
      </c>
      <c r="K71" s="24">
        <v>35139</v>
      </c>
      <c r="L71" s="82" t="s">
        <v>179</v>
      </c>
      <c r="M71" s="25">
        <v>41872</v>
      </c>
      <c r="N71" s="25"/>
      <c r="O71" s="17" t="s">
        <v>26</v>
      </c>
      <c r="P71" s="18" t="s">
        <v>27</v>
      </c>
      <c r="Q71" s="18" t="s">
        <v>181</v>
      </c>
      <c r="R71" s="17" t="s">
        <v>182</v>
      </c>
      <c r="S71" s="17" t="s">
        <v>228</v>
      </c>
      <c r="T71" s="22"/>
      <c r="U71" s="22"/>
      <c r="V71" s="21" t="s">
        <v>200</v>
      </c>
      <c r="W71" s="21">
        <v>1458</v>
      </c>
      <c r="X71" s="21">
        <v>12</v>
      </c>
      <c r="Y71" s="77" t="s">
        <v>720</v>
      </c>
      <c r="Z71" s="86" t="s">
        <v>186</v>
      </c>
      <c r="AA71" s="86"/>
      <c r="AB71" s="86"/>
      <c r="AC71" s="122"/>
      <c r="AD71" s="122"/>
      <c r="AE71" s="122"/>
      <c r="AF71" s="124"/>
      <c r="AG71" s="122"/>
      <c r="AH71" s="59"/>
      <c r="AI71" s="59"/>
      <c r="AJ71" s="21" t="s">
        <v>190</v>
      </c>
      <c r="AK71" s="21" t="s">
        <v>190</v>
      </c>
      <c r="AL71" s="21" t="s">
        <v>203</v>
      </c>
      <c r="AM71" s="123" t="s">
        <v>695</v>
      </c>
      <c r="AN71" s="22">
        <v>182</v>
      </c>
      <c r="AO71" s="22">
        <v>6</v>
      </c>
      <c r="AP71" s="22">
        <v>0</v>
      </c>
      <c r="AQ71" s="22">
        <v>0</v>
      </c>
      <c r="AR71" s="22">
        <v>0</v>
      </c>
      <c r="AS71" s="22">
        <v>7</v>
      </c>
      <c r="AT71" s="22">
        <v>10</v>
      </c>
      <c r="AU71" s="316">
        <f t="shared" si="12"/>
        <v>205</v>
      </c>
      <c r="AV71" s="22">
        <v>190</v>
      </c>
      <c r="AW71" s="22">
        <v>6</v>
      </c>
      <c r="AX71" s="22">
        <v>0</v>
      </c>
      <c r="AY71" s="22">
        <v>0</v>
      </c>
      <c r="AZ71" s="22">
        <v>0</v>
      </c>
      <c r="BA71" s="22">
        <v>7</v>
      </c>
      <c r="BB71" s="22">
        <v>10</v>
      </c>
      <c r="BC71" s="316">
        <f t="shared" si="13"/>
        <v>213</v>
      </c>
      <c r="BD71" s="58">
        <f t="shared" si="14"/>
        <v>8</v>
      </c>
      <c r="BE71" s="58">
        <f t="shared" si="15"/>
        <v>0</v>
      </c>
      <c r="BF71" s="58">
        <f t="shared" si="16"/>
        <v>0</v>
      </c>
      <c r="BG71" s="58">
        <f t="shared" si="17"/>
        <v>0</v>
      </c>
      <c r="BH71" s="58">
        <f t="shared" si="18"/>
        <v>0</v>
      </c>
      <c r="BI71" s="58">
        <f t="shared" si="19"/>
        <v>0</v>
      </c>
      <c r="BJ71" s="58">
        <f t="shared" si="20"/>
        <v>0</v>
      </c>
      <c r="BK71" s="58">
        <f t="shared" si="21"/>
        <v>8</v>
      </c>
    </row>
    <row r="72" spans="1:63" ht="27" customHeight="1">
      <c r="A72" s="13">
        <f t="shared" si="22"/>
        <v>70</v>
      </c>
      <c r="B72" s="14" t="s">
        <v>721</v>
      </c>
      <c r="C72" s="10">
        <v>663</v>
      </c>
      <c r="D72" s="76" t="s">
        <v>722</v>
      </c>
      <c r="E72" s="77">
        <v>90013448</v>
      </c>
      <c r="F72" s="78" t="s">
        <v>723</v>
      </c>
      <c r="G72" s="79" t="s">
        <v>724</v>
      </c>
      <c r="H72" s="15" t="s">
        <v>725</v>
      </c>
      <c r="I72" s="16" t="s">
        <v>726</v>
      </c>
      <c r="J72" s="80" t="s">
        <v>178</v>
      </c>
      <c r="K72" s="24">
        <v>30601</v>
      </c>
      <c r="L72" s="82" t="s">
        <v>179</v>
      </c>
      <c r="M72" s="25">
        <v>41884</v>
      </c>
      <c r="N72" s="25"/>
      <c r="O72" s="17" t="s">
        <v>34</v>
      </c>
      <c r="P72" s="18" t="s">
        <v>339</v>
      </c>
      <c r="Q72" s="18" t="s">
        <v>181</v>
      </c>
      <c r="R72" s="17" t="s">
        <v>182</v>
      </c>
      <c r="S72" s="17" t="s">
        <v>727</v>
      </c>
      <c r="T72" s="22"/>
      <c r="U72" s="22"/>
      <c r="V72" s="21" t="s">
        <v>200</v>
      </c>
      <c r="W72" s="21">
        <v>1259</v>
      </c>
      <c r="X72" s="21">
        <v>5</v>
      </c>
      <c r="Y72" s="77" t="s">
        <v>728</v>
      </c>
      <c r="Z72" s="21"/>
      <c r="AA72" s="86" t="s">
        <v>186</v>
      </c>
      <c r="AB72" s="21"/>
      <c r="AC72" s="115" t="s">
        <v>387</v>
      </c>
      <c r="AD72" s="122" t="s">
        <v>729</v>
      </c>
      <c r="AE72" s="115" t="s">
        <v>189</v>
      </c>
      <c r="AF72" s="124"/>
      <c r="AG72" s="122"/>
      <c r="AH72" s="59"/>
      <c r="AI72" s="59"/>
      <c r="AJ72" s="21" t="s">
        <v>203</v>
      </c>
      <c r="AK72" s="21" t="s">
        <v>190</v>
      </c>
      <c r="AL72" s="21" t="s">
        <v>203</v>
      </c>
      <c r="AM72" s="123" t="s">
        <v>695</v>
      </c>
      <c r="AN72" s="22">
        <v>182</v>
      </c>
      <c r="AO72" s="22">
        <v>6</v>
      </c>
      <c r="AP72" s="22">
        <v>0</v>
      </c>
      <c r="AQ72" s="22">
        <v>0</v>
      </c>
      <c r="AR72" s="22">
        <v>0</v>
      </c>
      <c r="AS72" s="22">
        <v>7</v>
      </c>
      <c r="AT72" s="22">
        <v>10</v>
      </c>
      <c r="AU72" s="316">
        <f t="shared" si="12"/>
        <v>205</v>
      </c>
      <c r="AV72" s="22">
        <v>190</v>
      </c>
      <c r="AW72" s="22">
        <v>6</v>
      </c>
      <c r="AX72" s="22">
        <v>0</v>
      </c>
      <c r="AY72" s="22">
        <v>0</v>
      </c>
      <c r="AZ72" s="22">
        <v>0</v>
      </c>
      <c r="BA72" s="22">
        <v>7</v>
      </c>
      <c r="BB72" s="22">
        <v>10</v>
      </c>
      <c r="BC72" s="316">
        <f t="shared" si="13"/>
        <v>213</v>
      </c>
      <c r="BD72" s="58">
        <f t="shared" si="14"/>
        <v>8</v>
      </c>
      <c r="BE72" s="58">
        <f t="shared" si="15"/>
        <v>0</v>
      </c>
      <c r="BF72" s="58">
        <f t="shared" si="16"/>
        <v>0</v>
      </c>
      <c r="BG72" s="58">
        <f t="shared" si="17"/>
        <v>0</v>
      </c>
      <c r="BH72" s="58">
        <f t="shared" si="18"/>
        <v>0</v>
      </c>
      <c r="BI72" s="58">
        <f t="shared" si="19"/>
        <v>0</v>
      </c>
      <c r="BJ72" s="58">
        <f t="shared" si="20"/>
        <v>0</v>
      </c>
      <c r="BK72" s="58">
        <f t="shared" si="21"/>
        <v>8</v>
      </c>
    </row>
    <row r="73" spans="1:63" ht="27" customHeight="1">
      <c r="A73" s="13">
        <f t="shared" si="22"/>
        <v>71</v>
      </c>
      <c r="B73" s="14" t="s">
        <v>730</v>
      </c>
      <c r="C73" s="10">
        <v>674</v>
      </c>
      <c r="D73" s="76" t="s">
        <v>731</v>
      </c>
      <c r="E73" s="77">
        <v>50346357</v>
      </c>
      <c r="F73" s="78" t="s">
        <v>732</v>
      </c>
      <c r="G73" s="79" t="s">
        <v>733</v>
      </c>
      <c r="H73" s="15" t="s">
        <v>734</v>
      </c>
      <c r="I73" s="16" t="s">
        <v>735</v>
      </c>
      <c r="J73" s="80" t="s">
        <v>178</v>
      </c>
      <c r="K73" s="24">
        <v>30691</v>
      </c>
      <c r="L73" s="82" t="s">
        <v>179</v>
      </c>
      <c r="M73" s="25">
        <v>41887</v>
      </c>
      <c r="N73" s="25"/>
      <c r="O73" s="17" t="s">
        <v>34</v>
      </c>
      <c r="P73" s="18" t="s">
        <v>227</v>
      </c>
      <c r="Q73" s="18" t="s">
        <v>181</v>
      </c>
      <c r="R73" s="17" t="s">
        <v>182</v>
      </c>
      <c r="S73" s="19" t="s">
        <v>211</v>
      </c>
      <c r="T73" s="22"/>
      <c r="U73" s="22"/>
      <c r="V73" s="21" t="s">
        <v>200</v>
      </c>
      <c r="W73" s="21" t="s">
        <v>184</v>
      </c>
      <c r="X73" s="21">
        <v>7</v>
      </c>
      <c r="Y73" s="77" t="s">
        <v>736</v>
      </c>
      <c r="Z73" s="21"/>
      <c r="AA73" s="86" t="s">
        <v>186</v>
      </c>
      <c r="AB73" s="21"/>
      <c r="AC73" s="115" t="s">
        <v>387</v>
      </c>
      <c r="AD73" s="115" t="s">
        <v>189</v>
      </c>
      <c r="AE73" s="115"/>
      <c r="AF73" s="115"/>
      <c r="AG73" s="122"/>
      <c r="AH73" s="59"/>
      <c r="AI73" s="59"/>
      <c r="AJ73" s="21" t="s">
        <v>203</v>
      </c>
      <c r="AK73" s="21" t="s">
        <v>190</v>
      </c>
      <c r="AL73" s="21" t="s">
        <v>737</v>
      </c>
      <c r="AM73" s="123" t="s">
        <v>738</v>
      </c>
      <c r="AN73" s="22">
        <v>182</v>
      </c>
      <c r="AO73" s="22">
        <v>6</v>
      </c>
      <c r="AP73" s="22">
        <v>0</v>
      </c>
      <c r="AQ73" s="22">
        <v>0</v>
      </c>
      <c r="AR73" s="22">
        <v>0</v>
      </c>
      <c r="AS73" s="22">
        <v>7</v>
      </c>
      <c r="AT73" s="22">
        <v>10</v>
      </c>
      <c r="AU73" s="316">
        <f t="shared" si="12"/>
        <v>205</v>
      </c>
      <c r="AV73" s="22">
        <v>190</v>
      </c>
      <c r="AW73" s="22">
        <v>6</v>
      </c>
      <c r="AX73" s="22">
        <v>0</v>
      </c>
      <c r="AY73" s="22">
        <v>0</v>
      </c>
      <c r="AZ73" s="22">
        <v>0</v>
      </c>
      <c r="BA73" s="22">
        <v>7</v>
      </c>
      <c r="BB73" s="22">
        <v>10</v>
      </c>
      <c r="BC73" s="316">
        <f t="shared" si="13"/>
        <v>213</v>
      </c>
      <c r="BD73" s="58">
        <f t="shared" si="14"/>
        <v>8</v>
      </c>
      <c r="BE73" s="58">
        <f t="shared" si="15"/>
        <v>0</v>
      </c>
      <c r="BF73" s="58">
        <f t="shared" si="16"/>
        <v>0</v>
      </c>
      <c r="BG73" s="58">
        <f t="shared" si="17"/>
        <v>0</v>
      </c>
      <c r="BH73" s="58">
        <f t="shared" si="18"/>
        <v>0</v>
      </c>
      <c r="BI73" s="58">
        <f t="shared" si="19"/>
        <v>0</v>
      </c>
      <c r="BJ73" s="58">
        <f t="shared" si="20"/>
        <v>0</v>
      </c>
      <c r="BK73" s="58">
        <f t="shared" si="21"/>
        <v>8</v>
      </c>
    </row>
    <row r="74" spans="1:63" ht="27" customHeight="1">
      <c r="A74" s="13">
        <f t="shared" si="22"/>
        <v>72</v>
      </c>
      <c r="B74" s="14" t="s">
        <v>739</v>
      </c>
      <c r="C74" s="10">
        <v>677</v>
      </c>
      <c r="D74" s="76" t="s">
        <v>740</v>
      </c>
      <c r="E74" s="77">
        <v>100121175</v>
      </c>
      <c r="F74" s="78" t="s">
        <v>741</v>
      </c>
      <c r="G74" s="79" t="s">
        <v>742</v>
      </c>
      <c r="H74" s="15" t="s">
        <v>743</v>
      </c>
      <c r="I74" s="16" t="s">
        <v>24</v>
      </c>
      <c r="J74" s="80" t="s">
        <v>178</v>
      </c>
      <c r="K74" s="24">
        <v>30252</v>
      </c>
      <c r="L74" s="82" t="s">
        <v>179</v>
      </c>
      <c r="M74" s="25">
        <v>41890</v>
      </c>
      <c r="N74" s="25"/>
      <c r="O74" s="17" t="s">
        <v>34</v>
      </c>
      <c r="P74" s="18" t="s">
        <v>227</v>
      </c>
      <c r="Q74" s="18" t="s">
        <v>181</v>
      </c>
      <c r="R74" s="17" t="s">
        <v>182</v>
      </c>
      <c r="S74" s="19" t="s">
        <v>211</v>
      </c>
      <c r="T74" s="22"/>
      <c r="U74" s="22"/>
      <c r="V74" s="21" t="s">
        <v>200</v>
      </c>
      <c r="W74" s="21" t="s">
        <v>184</v>
      </c>
      <c r="X74" s="21">
        <v>5</v>
      </c>
      <c r="Y74" s="77" t="s">
        <v>744</v>
      </c>
      <c r="Z74" s="21"/>
      <c r="AA74" s="86" t="s">
        <v>186</v>
      </c>
      <c r="AB74" s="21"/>
      <c r="AC74" s="115" t="s">
        <v>387</v>
      </c>
      <c r="AD74" s="115" t="s">
        <v>189</v>
      </c>
      <c r="AE74" s="115"/>
      <c r="AF74" s="115"/>
      <c r="AG74" s="122"/>
      <c r="AH74" s="59"/>
      <c r="AI74" s="59"/>
      <c r="AJ74" s="21" t="s">
        <v>203</v>
      </c>
      <c r="AK74" s="21" t="s">
        <v>190</v>
      </c>
      <c r="AL74" s="21" t="s">
        <v>190</v>
      </c>
      <c r="AM74" s="123" t="s">
        <v>695</v>
      </c>
      <c r="AN74" s="22">
        <v>182</v>
      </c>
      <c r="AO74" s="22">
        <v>6</v>
      </c>
      <c r="AP74" s="22">
        <v>0</v>
      </c>
      <c r="AQ74" s="22">
        <v>0</v>
      </c>
      <c r="AR74" s="22">
        <v>0</v>
      </c>
      <c r="AS74" s="22">
        <v>7</v>
      </c>
      <c r="AT74" s="22">
        <v>10</v>
      </c>
      <c r="AU74" s="316">
        <f t="shared" si="12"/>
        <v>205</v>
      </c>
      <c r="AV74" s="22">
        <v>190</v>
      </c>
      <c r="AW74" s="22">
        <v>6</v>
      </c>
      <c r="AX74" s="22">
        <v>0</v>
      </c>
      <c r="AY74" s="22">
        <v>0</v>
      </c>
      <c r="AZ74" s="22">
        <v>0</v>
      </c>
      <c r="BA74" s="22">
        <v>7</v>
      </c>
      <c r="BB74" s="22">
        <v>10</v>
      </c>
      <c r="BC74" s="316">
        <f t="shared" si="13"/>
        <v>213</v>
      </c>
      <c r="BD74" s="58">
        <f t="shared" si="14"/>
        <v>8</v>
      </c>
      <c r="BE74" s="58">
        <f t="shared" si="15"/>
        <v>0</v>
      </c>
      <c r="BF74" s="58">
        <f t="shared" si="16"/>
        <v>0</v>
      </c>
      <c r="BG74" s="58">
        <f t="shared" si="17"/>
        <v>0</v>
      </c>
      <c r="BH74" s="58">
        <f t="shared" si="18"/>
        <v>0</v>
      </c>
      <c r="BI74" s="58">
        <f t="shared" si="19"/>
        <v>0</v>
      </c>
      <c r="BJ74" s="58">
        <f t="shared" si="20"/>
        <v>0</v>
      </c>
      <c r="BK74" s="58">
        <f t="shared" si="21"/>
        <v>8</v>
      </c>
    </row>
    <row r="75" spans="1:63" ht="27" customHeight="1">
      <c r="A75" s="13">
        <f t="shared" si="22"/>
        <v>73</v>
      </c>
      <c r="B75" s="14" t="s">
        <v>745</v>
      </c>
      <c r="C75" s="10">
        <v>689</v>
      </c>
      <c r="D75" s="76" t="s">
        <v>746</v>
      </c>
      <c r="E75" s="77">
        <v>51019904</v>
      </c>
      <c r="F75" s="78" t="s">
        <v>747</v>
      </c>
      <c r="G75" s="79" t="s">
        <v>748</v>
      </c>
      <c r="H75" s="15" t="s">
        <v>749</v>
      </c>
      <c r="I75" s="16" t="s">
        <v>750</v>
      </c>
      <c r="J75" s="80" t="s">
        <v>178</v>
      </c>
      <c r="K75" s="24">
        <v>31468</v>
      </c>
      <c r="L75" s="82" t="s">
        <v>179</v>
      </c>
      <c r="M75" s="25">
        <v>41915</v>
      </c>
      <c r="N75" s="25"/>
      <c r="O75" s="17" t="s">
        <v>34</v>
      </c>
      <c r="P75" s="18" t="s">
        <v>512</v>
      </c>
      <c r="Q75" s="18" t="s">
        <v>181</v>
      </c>
      <c r="R75" s="17" t="s">
        <v>182</v>
      </c>
      <c r="S75" s="13" t="s">
        <v>219</v>
      </c>
      <c r="T75" s="22"/>
      <c r="U75" s="22"/>
      <c r="V75" s="21" t="s">
        <v>200</v>
      </c>
      <c r="W75" s="21">
        <v>3141</v>
      </c>
      <c r="X75" s="21">
        <v>7</v>
      </c>
      <c r="Y75" s="77" t="s">
        <v>184</v>
      </c>
      <c r="Z75" s="86" t="s">
        <v>186</v>
      </c>
      <c r="AA75" s="21"/>
      <c r="AB75" s="21"/>
      <c r="AC75" s="115"/>
      <c r="AD75" s="115"/>
      <c r="AE75" s="115"/>
      <c r="AF75" s="115"/>
      <c r="AG75" s="122"/>
      <c r="AH75" s="59"/>
      <c r="AI75" s="59"/>
      <c r="AJ75" s="21" t="s">
        <v>203</v>
      </c>
      <c r="AK75" s="21" t="s">
        <v>190</v>
      </c>
      <c r="AL75" s="21" t="s">
        <v>203</v>
      </c>
      <c r="AM75" s="123" t="s">
        <v>695</v>
      </c>
      <c r="AN75" s="22">
        <v>182</v>
      </c>
      <c r="AO75" s="22">
        <v>6</v>
      </c>
      <c r="AP75" s="22">
        <v>0</v>
      </c>
      <c r="AQ75" s="22">
        <v>0</v>
      </c>
      <c r="AR75" s="22">
        <v>0</v>
      </c>
      <c r="AS75" s="22">
        <v>7</v>
      </c>
      <c r="AT75" s="22">
        <v>10</v>
      </c>
      <c r="AU75" s="316">
        <f t="shared" si="12"/>
        <v>205</v>
      </c>
      <c r="AV75" s="22">
        <v>190</v>
      </c>
      <c r="AW75" s="22">
        <v>6</v>
      </c>
      <c r="AX75" s="22">
        <v>0</v>
      </c>
      <c r="AY75" s="22">
        <v>0</v>
      </c>
      <c r="AZ75" s="22">
        <v>0</v>
      </c>
      <c r="BA75" s="22">
        <v>7</v>
      </c>
      <c r="BB75" s="22">
        <v>10</v>
      </c>
      <c r="BC75" s="316">
        <f t="shared" si="13"/>
        <v>213</v>
      </c>
      <c r="BD75" s="58">
        <f t="shared" si="14"/>
        <v>8</v>
      </c>
      <c r="BE75" s="58">
        <f t="shared" si="15"/>
        <v>0</v>
      </c>
      <c r="BF75" s="58">
        <f t="shared" si="16"/>
        <v>0</v>
      </c>
      <c r="BG75" s="58">
        <f t="shared" si="17"/>
        <v>0</v>
      </c>
      <c r="BH75" s="58">
        <f t="shared" si="18"/>
        <v>0</v>
      </c>
      <c r="BI75" s="58">
        <f t="shared" si="19"/>
        <v>0</v>
      </c>
      <c r="BJ75" s="58">
        <f t="shared" si="20"/>
        <v>0</v>
      </c>
      <c r="BK75" s="58">
        <f t="shared" si="21"/>
        <v>8</v>
      </c>
    </row>
    <row r="76" spans="1:63" ht="27" customHeight="1">
      <c r="A76" s="13">
        <f t="shared" si="22"/>
        <v>74</v>
      </c>
      <c r="B76" s="14" t="s">
        <v>751</v>
      </c>
      <c r="C76" s="10">
        <v>697</v>
      </c>
      <c r="D76" s="76" t="s">
        <v>752</v>
      </c>
      <c r="E76" s="77">
        <v>130139204</v>
      </c>
      <c r="F76" s="78" t="s">
        <v>753</v>
      </c>
      <c r="G76" s="79" t="s">
        <v>322</v>
      </c>
      <c r="H76" s="15" t="s">
        <v>754</v>
      </c>
      <c r="I76" s="16" t="s">
        <v>596</v>
      </c>
      <c r="J76" s="80" t="s">
        <v>178</v>
      </c>
      <c r="K76" s="24">
        <v>29228</v>
      </c>
      <c r="L76" s="82" t="s">
        <v>179</v>
      </c>
      <c r="M76" s="25">
        <v>41920</v>
      </c>
      <c r="N76" s="25"/>
      <c r="O76" s="17" t="s">
        <v>34</v>
      </c>
      <c r="P76" s="18" t="s">
        <v>512</v>
      </c>
      <c r="Q76" s="18" t="s">
        <v>181</v>
      </c>
      <c r="R76" s="17" t="s">
        <v>182</v>
      </c>
      <c r="S76" s="19" t="s">
        <v>256</v>
      </c>
      <c r="T76" s="22"/>
      <c r="U76" s="22"/>
      <c r="V76" s="21" t="s">
        <v>200</v>
      </c>
      <c r="W76" s="21">
        <v>560</v>
      </c>
      <c r="X76" s="21">
        <v>5</v>
      </c>
      <c r="Y76" s="77" t="s">
        <v>755</v>
      </c>
      <c r="Z76" s="21"/>
      <c r="AA76" s="86" t="s">
        <v>186</v>
      </c>
      <c r="AB76" s="21"/>
      <c r="AC76" s="115" t="s">
        <v>202</v>
      </c>
      <c r="AD76" s="115" t="s">
        <v>188</v>
      </c>
      <c r="AE76" s="115" t="s">
        <v>188</v>
      </c>
      <c r="AF76" s="115" t="s">
        <v>188</v>
      </c>
      <c r="AG76" s="122"/>
      <c r="AH76" s="59"/>
      <c r="AI76" s="59"/>
      <c r="AJ76" s="21" t="s">
        <v>203</v>
      </c>
      <c r="AK76" s="21" t="s">
        <v>190</v>
      </c>
      <c r="AL76" s="21" t="s">
        <v>203</v>
      </c>
      <c r="AM76" s="123" t="s">
        <v>756</v>
      </c>
      <c r="AN76" s="22">
        <v>182</v>
      </c>
      <c r="AO76" s="22">
        <v>6</v>
      </c>
      <c r="AP76" s="22">
        <v>0</v>
      </c>
      <c r="AQ76" s="22">
        <v>0</v>
      </c>
      <c r="AR76" s="22">
        <v>0</v>
      </c>
      <c r="AS76" s="22">
        <v>7</v>
      </c>
      <c r="AT76" s="22">
        <v>10</v>
      </c>
      <c r="AU76" s="316">
        <f t="shared" si="12"/>
        <v>205</v>
      </c>
      <c r="AV76" s="22">
        <v>190</v>
      </c>
      <c r="AW76" s="22">
        <v>6</v>
      </c>
      <c r="AX76" s="22">
        <v>0</v>
      </c>
      <c r="AY76" s="22">
        <v>0</v>
      </c>
      <c r="AZ76" s="22">
        <v>0</v>
      </c>
      <c r="BA76" s="22">
        <v>7</v>
      </c>
      <c r="BB76" s="22">
        <v>10</v>
      </c>
      <c r="BC76" s="316">
        <f t="shared" si="13"/>
        <v>213</v>
      </c>
      <c r="BD76" s="58">
        <f t="shared" si="14"/>
        <v>8</v>
      </c>
      <c r="BE76" s="58">
        <f t="shared" si="15"/>
        <v>0</v>
      </c>
      <c r="BF76" s="58">
        <f t="shared" si="16"/>
        <v>0</v>
      </c>
      <c r="BG76" s="58">
        <f t="shared" si="17"/>
        <v>0</v>
      </c>
      <c r="BH76" s="58">
        <f t="shared" si="18"/>
        <v>0</v>
      </c>
      <c r="BI76" s="58">
        <f t="shared" si="19"/>
        <v>0</v>
      </c>
      <c r="BJ76" s="58">
        <f t="shared" si="20"/>
        <v>0</v>
      </c>
      <c r="BK76" s="58">
        <f t="shared" si="21"/>
        <v>8</v>
      </c>
    </row>
    <row r="77" spans="1:63" ht="27" customHeight="1">
      <c r="A77" s="13">
        <f t="shared" si="22"/>
        <v>75</v>
      </c>
      <c r="B77" s="14" t="s">
        <v>757</v>
      </c>
      <c r="C77" s="10">
        <v>742</v>
      </c>
      <c r="D77" s="90" t="s">
        <v>758</v>
      </c>
      <c r="E77" s="77">
        <v>130152374</v>
      </c>
      <c r="F77" s="78" t="s">
        <v>681</v>
      </c>
      <c r="G77" s="79" t="s">
        <v>759</v>
      </c>
      <c r="H77" s="15" t="s">
        <v>760</v>
      </c>
      <c r="I77" s="16" t="s">
        <v>761</v>
      </c>
      <c r="J77" s="80" t="s">
        <v>178</v>
      </c>
      <c r="K77" s="24">
        <v>28331</v>
      </c>
      <c r="L77" s="82" t="s">
        <v>179</v>
      </c>
      <c r="M77" s="25">
        <v>41964</v>
      </c>
      <c r="N77" s="25"/>
      <c r="O77" s="17" t="s">
        <v>34</v>
      </c>
      <c r="P77" s="18" t="s">
        <v>301</v>
      </c>
      <c r="Q77" s="18" t="s">
        <v>181</v>
      </c>
      <c r="R77" s="17" t="s">
        <v>182</v>
      </c>
      <c r="S77" s="19" t="s">
        <v>256</v>
      </c>
      <c r="T77" s="22"/>
      <c r="U77" s="22"/>
      <c r="V77" s="21" t="s">
        <v>200</v>
      </c>
      <c r="W77" s="21" t="s">
        <v>184</v>
      </c>
      <c r="X77" s="21">
        <v>6</v>
      </c>
      <c r="Y77" s="77" t="s">
        <v>762</v>
      </c>
      <c r="Z77" s="21"/>
      <c r="AA77" s="86" t="s">
        <v>186</v>
      </c>
      <c r="AB77" s="21"/>
      <c r="AC77" s="122" t="s">
        <v>763</v>
      </c>
      <c r="AD77" s="115" t="s">
        <v>188</v>
      </c>
      <c r="AE77" s="115" t="s">
        <v>188</v>
      </c>
      <c r="AF77" s="115" t="s">
        <v>189</v>
      </c>
      <c r="AG77" s="122"/>
      <c r="AH77" s="59"/>
      <c r="AI77" s="59"/>
      <c r="AJ77" s="21" t="s">
        <v>203</v>
      </c>
      <c r="AK77" s="21" t="s">
        <v>190</v>
      </c>
      <c r="AL77" s="21" t="s">
        <v>203</v>
      </c>
      <c r="AM77" s="123" t="s">
        <v>764</v>
      </c>
      <c r="AN77" s="22">
        <v>182</v>
      </c>
      <c r="AO77" s="22">
        <v>6</v>
      </c>
      <c r="AP77" s="22">
        <v>0</v>
      </c>
      <c r="AQ77" s="22">
        <v>0</v>
      </c>
      <c r="AR77" s="22">
        <v>0</v>
      </c>
      <c r="AS77" s="22">
        <v>7</v>
      </c>
      <c r="AT77" s="22">
        <v>10</v>
      </c>
      <c r="AU77" s="316">
        <f t="shared" si="12"/>
        <v>205</v>
      </c>
      <c r="AV77" s="22">
        <v>190</v>
      </c>
      <c r="AW77" s="22">
        <v>6</v>
      </c>
      <c r="AX77" s="22">
        <v>0</v>
      </c>
      <c r="AY77" s="22">
        <v>0</v>
      </c>
      <c r="AZ77" s="22">
        <v>0</v>
      </c>
      <c r="BA77" s="22">
        <v>7</v>
      </c>
      <c r="BB77" s="22">
        <v>10</v>
      </c>
      <c r="BC77" s="316">
        <f t="shared" si="13"/>
        <v>213</v>
      </c>
      <c r="BD77" s="58">
        <f t="shared" si="14"/>
        <v>8</v>
      </c>
      <c r="BE77" s="58">
        <f t="shared" si="15"/>
        <v>0</v>
      </c>
      <c r="BF77" s="58">
        <f t="shared" si="16"/>
        <v>0</v>
      </c>
      <c r="BG77" s="58">
        <f t="shared" si="17"/>
        <v>0</v>
      </c>
      <c r="BH77" s="58">
        <f t="shared" si="18"/>
        <v>0</v>
      </c>
      <c r="BI77" s="58">
        <f t="shared" si="19"/>
        <v>0</v>
      </c>
      <c r="BJ77" s="58">
        <f t="shared" si="20"/>
        <v>0</v>
      </c>
      <c r="BK77" s="58">
        <f t="shared" si="21"/>
        <v>8</v>
      </c>
    </row>
    <row r="78" spans="1:63" ht="27" customHeight="1">
      <c r="A78" s="13">
        <f t="shared" si="22"/>
        <v>76</v>
      </c>
      <c r="B78" s="14" t="s">
        <v>765</v>
      </c>
      <c r="C78" s="10">
        <v>747</v>
      </c>
      <c r="D78" s="76" t="s">
        <v>766</v>
      </c>
      <c r="E78" s="77">
        <v>100310417</v>
      </c>
      <c r="F78" s="78" t="s">
        <v>767</v>
      </c>
      <c r="G78" s="79" t="s">
        <v>768</v>
      </c>
      <c r="H78" s="15" t="s">
        <v>299</v>
      </c>
      <c r="I78" s="16" t="s">
        <v>769</v>
      </c>
      <c r="J78" s="80" t="s">
        <v>178</v>
      </c>
      <c r="K78" s="24">
        <v>30656</v>
      </c>
      <c r="L78" s="82" t="s">
        <v>179</v>
      </c>
      <c r="M78" s="25">
        <v>41970</v>
      </c>
      <c r="N78" s="25"/>
      <c r="O78" s="17" t="s">
        <v>34</v>
      </c>
      <c r="P78" s="18" t="s">
        <v>282</v>
      </c>
      <c r="Q78" s="18" t="s">
        <v>249</v>
      </c>
      <c r="R78" s="17" t="s">
        <v>182</v>
      </c>
      <c r="S78" s="19" t="s">
        <v>211</v>
      </c>
      <c r="T78" s="22"/>
      <c r="U78" s="22"/>
      <c r="V78" s="21" t="s">
        <v>200</v>
      </c>
      <c r="W78" s="21" t="s">
        <v>184</v>
      </c>
      <c r="X78" s="21">
        <v>6</v>
      </c>
      <c r="Y78" s="77" t="s">
        <v>184</v>
      </c>
      <c r="Z78" s="21"/>
      <c r="AA78" s="86" t="s">
        <v>186</v>
      </c>
      <c r="AB78" s="21"/>
      <c r="AC78" s="122" t="s">
        <v>497</v>
      </c>
      <c r="AD78" s="115" t="s">
        <v>188</v>
      </c>
      <c r="AE78" s="122"/>
      <c r="AF78" s="124"/>
      <c r="AG78" s="122"/>
      <c r="AH78" s="59"/>
      <c r="AI78" s="59"/>
      <c r="AJ78" s="21" t="s">
        <v>203</v>
      </c>
      <c r="AK78" s="21" t="s">
        <v>190</v>
      </c>
      <c r="AL78" s="21" t="s">
        <v>190</v>
      </c>
      <c r="AM78" s="123" t="s">
        <v>770</v>
      </c>
      <c r="AN78" s="22">
        <v>182</v>
      </c>
      <c r="AO78" s="22">
        <v>6</v>
      </c>
      <c r="AP78" s="22">
        <v>20</v>
      </c>
      <c r="AQ78" s="22">
        <v>0</v>
      </c>
      <c r="AR78" s="22">
        <v>0</v>
      </c>
      <c r="AS78" s="22">
        <v>7</v>
      </c>
      <c r="AT78" s="22">
        <v>10</v>
      </c>
      <c r="AU78" s="316">
        <f t="shared" si="12"/>
        <v>225</v>
      </c>
      <c r="AV78" s="22">
        <v>190</v>
      </c>
      <c r="AW78" s="22">
        <v>6</v>
      </c>
      <c r="AX78" s="22">
        <v>20</v>
      </c>
      <c r="AY78" s="22">
        <v>0</v>
      </c>
      <c r="AZ78" s="22">
        <v>0</v>
      </c>
      <c r="BA78" s="22">
        <v>7</v>
      </c>
      <c r="BB78" s="22">
        <v>10</v>
      </c>
      <c r="BC78" s="316">
        <f t="shared" si="13"/>
        <v>233</v>
      </c>
      <c r="BD78" s="58">
        <f t="shared" si="14"/>
        <v>8</v>
      </c>
      <c r="BE78" s="58">
        <f t="shared" si="15"/>
        <v>0</v>
      </c>
      <c r="BF78" s="58">
        <f t="shared" si="16"/>
        <v>0</v>
      </c>
      <c r="BG78" s="58">
        <f t="shared" si="17"/>
        <v>0</v>
      </c>
      <c r="BH78" s="58">
        <f t="shared" si="18"/>
        <v>0</v>
      </c>
      <c r="BI78" s="58">
        <f t="shared" si="19"/>
        <v>0</v>
      </c>
      <c r="BJ78" s="58">
        <f t="shared" si="20"/>
        <v>0</v>
      </c>
      <c r="BK78" s="58">
        <f t="shared" si="21"/>
        <v>8</v>
      </c>
    </row>
    <row r="79" spans="1:63" ht="27" customHeight="1">
      <c r="A79" s="13">
        <f t="shared" si="22"/>
        <v>77</v>
      </c>
      <c r="B79" s="14" t="s">
        <v>771</v>
      </c>
      <c r="C79" s="10">
        <v>748</v>
      </c>
      <c r="D79" s="76" t="s">
        <v>772</v>
      </c>
      <c r="E79" s="77" t="s">
        <v>190</v>
      </c>
      <c r="F79" s="78" t="s">
        <v>494</v>
      </c>
      <c r="G79" s="79" t="s">
        <v>773</v>
      </c>
      <c r="H79" s="15" t="s">
        <v>496</v>
      </c>
      <c r="I79" s="16" t="s">
        <v>774</v>
      </c>
      <c r="J79" s="80" t="s">
        <v>178</v>
      </c>
      <c r="K79" s="24">
        <v>29710</v>
      </c>
      <c r="L79" s="82" t="s">
        <v>179</v>
      </c>
      <c r="M79" s="25">
        <v>41970</v>
      </c>
      <c r="N79" s="25"/>
      <c r="O79" s="17" t="s">
        <v>34</v>
      </c>
      <c r="P79" s="18" t="s">
        <v>318</v>
      </c>
      <c r="Q79" s="18" t="s">
        <v>249</v>
      </c>
      <c r="R79" s="17" t="s">
        <v>182</v>
      </c>
      <c r="S79" s="19" t="s">
        <v>256</v>
      </c>
      <c r="T79" s="22"/>
      <c r="U79" s="22"/>
      <c r="V79" s="21" t="s">
        <v>200</v>
      </c>
      <c r="W79" s="21">
        <v>615</v>
      </c>
      <c r="X79" s="21">
        <v>8</v>
      </c>
      <c r="Y79" s="77" t="s">
        <v>775</v>
      </c>
      <c r="Z79" s="21"/>
      <c r="AA79" s="21"/>
      <c r="AB79" s="86" t="s">
        <v>186</v>
      </c>
      <c r="AC79" s="122"/>
      <c r="AD79" s="115"/>
      <c r="AE79" s="122"/>
      <c r="AF79" s="124"/>
      <c r="AG79" s="122"/>
      <c r="AH79" s="59"/>
      <c r="AI79" s="59"/>
      <c r="AJ79" s="21" t="s">
        <v>203</v>
      </c>
      <c r="AK79" s="21" t="s">
        <v>190</v>
      </c>
      <c r="AL79" s="21" t="s">
        <v>203</v>
      </c>
      <c r="AM79" s="123" t="s">
        <v>776</v>
      </c>
      <c r="AN79" s="22">
        <v>182</v>
      </c>
      <c r="AO79" s="22">
        <v>6</v>
      </c>
      <c r="AP79" s="22">
        <v>20</v>
      </c>
      <c r="AQ79" s="22">
        <v>0</v>
      </c>
      <c r="AR79" s="22">
        <v>0</v>
      </c>
      <c r="AS79" s="22">
        <v>7</v>
      </c>
      <c r="AT79" s="22">
        <v>10</v>
      </c>
      <c r="AU79" s="316">
        <f t="shared" si="12"/>
        <v>225</v>
      </c>
      <c r="AV79" s="22">
        <v>190</v>
      </c>
      <c r="AW79" s="22">
        <v>6</v>
      </c>
      <c r="AX79" s="22">
        <v>20</v>
      </c>
      <c r="AY79" s="22">
        <v>0</v>
      </c>
      <c r="AZ79" s="22">
        <v>0</v>
      </c>
      <c r="BA79" s="22">
        <v>7</v>
      </c>
      <c r="BB79" s="22">
        <v>10</v>
      </c>
      <c r="BC79" s="316">
        <f t="shared" si="13"/>
        <v>233</v>
      </c>
      <c r="BD79" s="58">
        <f t="shared" si="14"/>
        <v>8</v>
      </c>
      <c r="BE79" s="58">
        <f t="shared" si="15"/>
        <v>0</v>
      </c>
      <c r="BF79" s="58">
        <f t="shared" si="16"/>
        <v>0</v>
      </c>
      <c r="BG79" s="58">
        <f t="shared" si="17"/>
        <v>0</v>
      </c>
      <c r="BH79" s="58">
        <f t="shared" si="18"/>
        <v>0</v>
      </c>
      <c r="BI79" s="58">
        <f t="shared" si="19"/>
        <v>0</v>
      </c>
      <c r="BJ79" s="58">
        <f t="shared" si="20"/>
        <v>0</v>
      </c>
      <c r="BK79" s="58">
        <f t="shared" si="21"/>
        <v>8</v>
      </c>
    </row>
    <row r="80" spans="1:63" ht="27" customHeight="1">
      <c r="A80" s="13">
        <f t="shared" si="22"/>
        <v>78</v>
      </c>
      <c r="B80" s="14" t="s">
        <v>777</v>
      </c>
      <c r="C80" s="10">
        <v>755</v>
      </c>
      <c r="D80" s="76" t="s">
        <v>778</v>
      </c>
      <c r="E80" s="77">
        <v>110401675</v>
      </c>
      <c r="F80" s="106" t="s">
        <v>779</v>
      </c>
      <c r="G80" s="107" t="s">
        <v>690</v>
      </c>
      <c r="H80" s="26" t="s">
        <v>780</v>
      </c>
      <c r="I80" s="27" t="s">
        <v>781</v>
      </c>
      <c r="J80" s="98" t="s">
        <v>178</v>
      </c>
      <c r="K80" s="28">
        <v>30942</v>
      </c>
      <c r="L80" s="82" t="s">
        <v>179</v>
      </c>
      <c r="M80" s="25">
        <v>41970</v>
      </c>
      <c r="N80" s="25"/>
      <c r="O80" s="17" t="s">
        <v>34</v>
      </c>
      <c r="P80" s="18" t="s">
        <v>282</v>
      </c>
      <c r="Q80" s="18" t="s">
        <v>249</v>
      </c>
      <c r="R80" s="17" t="s">
        <v>182</v>
      </c>
      <c r="S80" s="17" t="s">
        <v>228</v>
      </c>
      <c r="T80" s="22"/>
      <c r="U80" s="22"/>
      <c r="V80" s="21" t="s">
        <v>184</v>
      </c>
      <c r="W80" s="21">
        <v>821</v>
      </c>
      <c r="X80" s="21">
        <v>5</v>
      </c>
      <c r="Y80" s="77" t="s">
        <v>782</v>
      </c>
      <c r="Z80" s="21"/>
      <c r="AA80" s="86" t="s">
        <v>186</v>
      </c>
      <c r="AB80" s="21"/>
      <c r="AC80" s="122" t="s">
        <v>562</v>
      </c>
      <c r="AD80" s="115"/>
      <c r="AE80" s="122"/>
      <c r="AF80" s="124"/>
      <c r="AG80" s="122"/>
      <c r="AH80" s="59"/>
      <c r="AI80" s="59"/>
      <c r="AJ80" s="21" t="s">
        <v>203</v>
      </c>
      <c r="AK80" s="21" t="s">
        <v>190</v>
      </c>
      <c r="AL80" s="21" t="s">
        <v>203</v>
      </c>
      <c r="AM80" s="123" t="s">
        <v>783</v>
      </c>
      <c r="AN80" s="22">
        <v>182</v>
      </c>
      <c r="AO80" s="22">
        <v>6</v>
      </c>
      <c r="AP80" s="22">
        <v>20</v>
      </c>
      <c r="AQ80" s="22">
        <v>0</v>
      </c>
      <c r="AR80" s="22">
        <v>0</v>
      </c>
      <c r="AS80" s="22">
        <v>7</v>
      </c>
      <c r="AT80" s="22">
        <v>10</v>
      </c>
      <c r="AU80" s="316">
        <f t="shared" si="12"/>
        <v>225</v>
      </c>
      <c r="AV80" s="22">
        <v>190</v>
      </c>
      <c r="AW80" s="22">
        <v>6</v>
      </c>
      <c r="AX80" s="22">
        <v>20</v>
      </c>
      <c r="AY80" s="22">
        <v>0</v>
      </c>
      <c r="AZ80" s="22">
        <v>0</v>
      </c>
      <c r="BA80" s="22">
        <v>7</v>
      </c>
      <c r="BB80" s="22">
        <v>10</v>
      </c>
      <c r="BC80" s="316">
        <f t="shared" si="13"/>
        <v>233</v>
      </c>
      <c r="BD80" s="58">
        <f t="shared" si="14"/>
        <v>8</v>
      </c>
      <c r="BE80" s="58">
        <f t="shared" si="15"/>
        <v>0</v>
      </c>
      <c r="BF80" s="58">
        <f t="shared" si="16"/>
        <v>0</v>
      </c>
      <c r="BG80" s="58">
        <f t="shared" si="17"/>
        <v>0</v>
      </c>
      <c r="BH80" s="58">
        <f t="shared" si="18"/>
        <v>0</v>
      </c>
      <c r="BI80" s="58">
        <f t="shared" si="19"/>
        <v>0</v>
      </c>
      <c r="BJ80" s="58">
        <f t="shared" si="20"/>
        <v>0</v>
      </c>
      <c r="BK80" s="58">
        <f t="shared" si="21"/>
        <v>8</v>
      </c>
    </row>
    <row r="81" spans="1:63" ht="27" customHeight="1">
      <c r="A81" s="13">
        <f t="shared" si="22"/>
        <v>79</v>
      </c>
      <c r="B81" s="14" t="s">
        <v>784</v>
      </c>
      <c r="C81" s="10">
        <v>485</v>
      </c>
      <c r="D81" s="91" t="s">
        <v>785</v>
      </c>
      <c r="E81" s="85">
        <v>100550499</v>
      </c>
      <c r="F81" s="78" t="s">
        <v>723</v>
      </c>
      <c r="G81" s="79" t="s">
        <v>786</v>
      </c>
      <c r="H81" s="15" t="s">
        <v>725</v>
      </c>
      <c r="I81" s="16" t="s">
        <v>787</v>
      </c>
      <c r="J81" s="80" t="s">
        <v>178</v>
      </c>
      <c r="K81" s="24">
        <v>32876</v>
      </c>
      <c r="L81" s="93" t="s">
        <v>179</v>
      </c>
      <c r="M81" s="170">
        <v>41822</v>
      </c>
      <c r="N81" s="170"/>
      <c r="O81" s="17" t="s">
        <v>34</v>
      </c>
      <c r="P81" s="18" t="s">
        <v>227</v>
      </c>
      <c r="Q81" s="18" t="s">
        <v>181</v>
      </c>
      <c r="R81" s="113" t="s">
        <v>182</v>
      </c>
      <c r="S81" s="19" t="s">
        <v>211</v>
      </c>
      <c r="T81" s="105"/>
      <c r="U81" s="105"/>
      <c r="V81" s="101" t="s">
        <v>200</v>
      </c>
      <c r="W81" s="101" t="s">
        <v>184</v>
      </c>
      <c r="X81" s="101">
        <v>8</v>
      </c>
      <c r="Y81" s="114" t="s">
        <v>788</v>
      </c>
      <c r="Z81" s="101"/>
      <c r="AA81" s="111" t="s">
        <v>186</v>
      </c>
      <c r="AB81" s="101"/>
      <c r="AC81" s="171" t="s">
        <v>514</v>
      </c>
      <c r="AD81" s="115" t="s">
        <v>188</v>
      </c>
      <c r="AE81" s="115" t="s">
        <v>188</v>
      </c>
      <c r="AF81" s="172"/>
      <c r="AG81" s="171"/>
      <c r="AH81" s="100"/>
      <c r="AI81" s="100"/>
      <c r="AJ81" s="101" t="s">
        <v>203</v>
      </c>
      <c r="AK81" s="101" t="s">
        <v>190</v>
      </c>
      <c r="AL81" s="101" t="s">
        <v>190</v>
      </c>
      <c r="AM81" s="173" t="s">
        <v>584</v>
      </c>
      <c r="AN81" s="22">
        <v>182</v>
      </c>
      <c r="AO81" s="22">
        <v>6</v>
      </c>
      <c r="AP81" s="22">
        <v>0</v>
      </c>
      <c r="AQ81" s="22">
        <v>0</v>
      </c>
      <c r="AR81" s="22">
        <v>0</v>
      </c>
      <c r="AS81" s="22">
        <v>7</v>
      </c>
      <c r="AT81" s="22">
        <v>10</v>
      </c>
      <c r="AU81" s="316">
        <f t="shared" si="12"/>
        <v>205</v>
      </c>
      <c r="AV81" s="22">
        <v>190</v>
      </c>
      <c r="AW81" s="22">
        <v>6</v>
      </c>
      <c r="AX81" s="22">
        <v>0</v>
      </c>
      <c r="AY81" s="22">
        <v>0</v>
      </c>
      <c r="AZ81" s="22">
        <v>0</v>
      </c>
      <c r="BA81" s="22">
        <v>7</v>
      </c>
      <c r="BB81" s="22">
        <v>10</v>
      </c>
      <c r="BC81" s="316">
        <f t="shared" si="13"/>
        <v>213</v>
      </c>
      <c r="BD81" s="58">
        <f t="shared" si="14"/>
        <v>8</v>
      </c>
      <c r="BE81" s="58">
        <f t="shared" si="15"/>
        <v>0</v>
      </c>
      <c r="BF81" s="58">
        <f t="shared" si="16"/>
        <v>0</v>
      </c>
      <c r="BG81" s="58">
        <f t="shared" si="17"/>
        <v>0</v>
      </c>
      <c r="BH81" s="58">
        <f t="shared" si="18"/>
        <v>0</v>
      </c>
      <c r="BI81" s="58">
        <f t="shared" si="19"/>
        <v>0</v>
      </c>
      <c r="BJ81" s="58">
        <f t="shared" si="20"/>
        <v>0</v>
      </c>
      <c r="BK81" s="58">
        <f t="shared" si="21"/>
        <v>8</v>
      </c>
    </row>
    <row r="82" spans="1:63" ht="27" customHeight="1">
      <c r="A82" s="13">
        <f t="shared" si="22"/>
        <v>80</v>
      </c>
      <c r="B82" s="14" t="s">
        <v>789</v>
      </c>
      <c r="C82" s="10">
        <v>762</v>
      </c>
      <c r="D82" s="76" t="s">
        <v>790</v>
      </c>
      <c r="E82" s="77">
        <v>110096098</v>
      </c>
      <c r="F82" s="78" t="s">
        <v>791</v>
      </c>
      <c r="G82" s="79" t="s">
        <v>792</v>
      </c>
      <c r="H82" s="15" t="s">
        <v>793</v>
      </c>
      <c r="I82" s="16" t="s">
        <v>794</v>
      </c>
      <c r="J82" s="80" t="s">
        <v>178</v>
      </c>
      <c r="K82" s="24">
        <v>30440</v>
      </c>
      <c r="L82" s="93" t="s">
        <v>179</v>
      </c>
      <c r="M82" s="25">
        <v>41981</v>
      </c>
      <c r="N82" s="25"/>
      <c r="O82" s="17" t="s">
        <v>34</v>
      </c>
      <c r="P82" s="18" t="s">
        <v>282</v>
      </c>
      <c r="Q82" s="18" t="s">
        <v>249</v>
      </c>
      <c r="R82" s="17" t="s">
        <v>182</v>
      </c>
      <c r="S82" s="17" t="s">
        <v>228</v>
      </c>
      <c r="T82" s="22"/>
      <c r="U82" s="22"/>
      <c r="V82" s="21" t="s">
        <v>200</v>
      </c>
      <c r="W82" s="21" t="s">
        <v>184</v>
      </c>
      <c r="X82" s="21">
        <v>8</v>
      </c>
      <c r="Y82" s="77" t="s">
        <v>184</v>
      </c>
      <c r="Z82" s="21"/>
      <c r="AA82" s="21"/>
      <c r="AB82" s="21"/>
      <c r="AC82" s="122"/>
      <c r="AD82" s="115" t="s">
        <v>188</v>
      </c>
      <c r="AE82" s="122"/>
      <c r="AF82" s="124"/>
      <c r="AG82" s="122"/>
      <c r="AH82" s="59"/>
      <c r="AI82" s="59"/>
      <c r="AJ82" s="21" t="s">
        <v>203</v>
      </c>
      <c r="AK82" s="21" t="s">
        <v>190</v>
      </c>
      <c r="AL82" s="21" t="s">
        <v>203</v>
      </c>
      <c r="AM82" s="174" t="s">
        <v>795</v>
      </c>
      <c r="AN82" s="22">
        <v>182</v>
      </c>
      <c r="AO82" s="22">
        <v>6</v>
      </c>
      <c r="AP82" s="22">
        <v>20</v>
      </c>
      <c r="AQ82" s="22">
        <v>20</v>
      </c>
      <c r="AR82" s="22">
        <v>0</v>
      </c>
      <c r="AS82" s="22">
        <v>7</v>
      </c>
      <c r="AT82" s="22">
        <v>10</v>
      </c>
      <c r="AU82" s="316">
        <f t="shared" si="12"/>
        <v>245</v>
      </c>
      <c r="AV82" s="22">
        <v>190</v>
      </c>
      <c r="AW82" s="22">
        <v>6</v>
      </c>
      <c r="AX82" s="22">
        <v>20</v>
      </c>
      <c r="AY82" s="22">
        <v>20</v>
      </c>
      <c r="AZ82" s="22">
        <v>0</v>
      </c>
      <c r="BA82" s="22">
        <v>7</v>
      </c>
      <c r="BB82" s="22">
        <v>10</v>
      </c>
      <c r="BC82" s="316">
        <f t="shared" si="13"/>
        <v>253</v>
      </c>
      <c r="BD82" s="58">
        <f t="shared" si="14"/>
        <v>8</v>
      </c>
      <c r="BE82" s="58">
        <f t="shared" si="15"/>
        <v>0</v>
      </c>
      <c r="BF82" s="58">
        <f t="shared" si="16"/>
        <v>0</v>
      </c>
      <c r="BG82" s="58">
        <f t="shared" si="17"/>
        <v>0</v>
      </c>
      <c r="BH82" s="58">
        <f t="shared" si="18"/>
        <v>0</v>
      </c>
      <c r="BI82" s="58">
        <f t="shared" si="19"/>
        <v>0</v>
      </c>
      <c r="BJ82" s="58">
        <f t="shared" si="20"/>
        <v>0</v>
      </c>
      <c r="BK82" s="58">
        <f t="shared" si="21"/>
        <v>8</v>
      </c>
    </row>
    <row r="83" spans="1:63" ht="27" customHeight="1">
      <c r="A83" s="13">
        <f t="shared" si="22"/>
        <v>81</v>
      </c>
      <c r="B83" s="14" t="s">
        <v>796</v>
      </c>
      <c r="C83" s="10">
        <v>776</v>
      </c>
      <c r="D83" s="76" t="s">
        <v>797</v>
      </c>
      <c r="E83" s="77">
        <v>50611039</v>
      </c>
      <c r="F83" s="78" t="s">
        <v>798</v>
      </c>
      <c r="G83" s="79" t="s">
        <v>799</v>
      </c>
      <c r="H83" s="15" t="s">
        <v>800</v>
      </c>
      <c r="I83" s="16" t="s">
        <v>801</v>
      </c>
      <c r="J83" s="80" t="s">
        <v>178</v>
      </c>
      <c r="K83" s="24">
        <v>31245</v>
      </c>
      <c r="L83" s="93" t="s">
        <v>179</v>
      </c>
      <c r="M83" s="25">
        <v>42007</v>
      </c>
      <c r="N83" s="25"/>
      <c r="O83" s="17" t="s">
        <v>34</v>
      </c>
      <c r="P83" s="18" t="s">
        <v>512</v>
      </c>
      <c r="Q83" s="18" t="s">
        <v>181</v>
      </c>
      <c r="R83" s="17" t="s">
        <v>182</v>
      </c>
      <c r="S83" s="13" t="s">
        <v>219</v>
      </c>
      <c r="T83" s="22"/>
      <c r="U83" s="22"/>
      <c r="V83" s="21" t="s">
        <v>200</v>
      </c>
      <c r="W83" s="21" t="s">
        <v>184</v>
      </c>
      <c r="X83" s="21">
        <v>7</v>
      </c>
      <c r="Y83" s="77" t="s">
        <v>802</v>
      </c>
      <c r="Z83" s="21"/>
      <c r="AA83" s="86" t="s">
        <v>186</v>
      </c>
      <c r="AB83" s="21"/>
      <c r="AC83" s="122" t="s">
        <v>576</v>
      </c>
      <c r="AD83" s="115" t="s">
        <v>189</v>
      </c>
      <c r="AE83" s="122"/>
      <c r="AF83" s="124"/>
      <c r="AG83" s="122"/>
      <c r="AH83" s="59"/>
      <c r="AI83" s="59"/>
      <c r="AJ83" s="21" t="s">
        <v>203</v>
      </c>
      <c r="AK83" s="21" t="s">
        <v>190</v>
      </c>
      <c r="AL83" s="21" t="s">
        <v>190</v>
      </c>
      <c r="AM83" s="174" t="s">
        <v>803</v>
      </c>
      <c r="AN83" s="22">
        <v>182</v>
      </c>
      <c r="AO83" s="22">
        <v>0</v>
      </c>
      <c r="AP83" s="22">
        <v>0</v>
      </c>
      <c r="AQ83" s="22">
        <v>0</v>
      </c>
      <c r="AR83" s="22">
        <v>0</v>
      </c>
      <c r="AS83" s="22">
        <v>7</v>
      </c>
      <c r="AT83" s="22">
        <v>10</v>
      </c>
      <c r="AU83" s="316">
        <f t="shared" si="12"/>
        <v>199</v>
      </c>
      <c r="AV83" s="22">
        <v>190</v>
      </c>
      <c r="AW83" s="22">
        <v>0</v>
      </c>
      <c r="AX83" s="22">
        <v>0</v>
      </c>
      <c r="AY83" s="22">
        <v>0</v>
      </c>
      <c r="AZ83" s="22">
        <v>0</v>
      </c>
      <c r="BA83" s="22">
        <v>7</v>
      </c>
      <c r="BB83" s="22">
        <v>10</v>
      </c>
      <c r="BC83" s="316">
        <f t="shared" si="13"/>
        <v>207</v>
      </c>
      <c r="BD83" s="58">
        <f t="shared" si="14"/>
        <v>8</v>
      </c>
      <c r="BE83" s="58">
        <f t="shared" si="15"/>
        <v>0</v>
      </c>
      <c r="BF83" s="58">
        <f t="shared" si="16"/>
        <v>0</v>
      </c>
      <c r="BG83" s="58">
        <f t="shared" si="17"/>
        <v>0</v>
      </c>
      <c r="BH83" s="58">
        <f t="shared" si="18"/>
        <v>0</v>
      </c>
      <c r="BI83" s="58">
        <f t="shared" si="19"/>
        <v>0</v>
      </c>
      <c r="BJ83" s="58">
        <f t="shared" si="20"/>
        <v>0</v>
      </c>
      <c r="BK83" s="58">
        <f t="shared" si="21"/>
        <v>8</v>
      </c>
    </row>
    <row r="84" spans="1:63" ht="27" customHeight="1">
      <c r="A84" s="13">
        <f t="shared" si="22"/>
        <v>82</v>
      </c>
      <c r="B84" s="14" t="s">
        <v>804</v>
      </c>
      <c r="C84" s="10">
        <v>777</v>
      </c>
      <c r="D84" s="76" t="s">
        <v>805</v>
      </c>
      <c r="E84" s="77">
        <v>130090055</v>
      </c>
      <c r="F84" s="78" t="s">
        <v>806</v>
      </c>
      <c r="G84" s="79" t="s">
        <v>807</v>
      </c>
      <c r="H84" s="15" t="s">
        <v>808</v>
      </c>
      <c r="I84" s="16" t="s">
        <v>809</v>
      </c>
      <c r="J84" s="80" t="s">
        <v>178</v>
      </c>
      <c r="K84" s="24">
        <v>32370</v>
      </c>
      <c r="L84" s="93" t="s">
        <v>179</v>
      </c>
      <c r="M84" s="25">
        <v>42010</v>
      </c>
      <c r="N84" s="25"/>
      <c r="O84" s="17" t="s">
        <v>34</v>
      </c>
      <c r="P84" s="18" t="s">
        <v>301</v>
      </c>
      <c r="Q84" s="18" t="s">
        <v>181</v>
      </c>
      <c r="R84" s="17" t="s">
        <v>182</v>
      </c>
      <c r="S84" s="17" t="s">
        <v>228</v>
      </c>
      <c r="T84" s="22"/>
      <c r="U84" s="22"/>
      <c r="V84" s="21" t="s">
        <v>184</v>
      </c>
      <c r="W84" s="21" t="s">
        <v>184</v>
      </c>
      <c r="X84" s="21">
        <v>10</v>
      </c>
      <c r="Y84" s="77" t="s">
        <v>810</v>
      </c>
      <c r="Z84" s="21"/>
      <c r="AA84" s="86" t="s">
        <v>186</v>
      </c>
      <c r="AB84" s="21"/>
      <c r="AC84" s="122" t="s">
        <v>562</v>
      </c>
      <c r="AD84" s="115" t="s">
        <v>189</v>
      </c>
      <c r="AE84" s="122"/>
      <c r="AF84" s="124"/>
      <c r="AG84" s="122"/>
      <c r="AH84" s="59"/>
      <c r="AI84" s="59"/>
      <c r="AJ84" s="21" t="s">
        <v>203</v>
      </c>
      <c r="AK84" s="21" t="s">
        <v>190</v>
      </c>
      <c r="AL84" s="21" t="s">
        <v>190</v>
      </c>
      <c r="AM84" s="174" t="s">
        <v>811</v>
      </c>
      <c r="AN84" s="22">
        <v>182</v>
      </c>
      <c r="AO84" s="22">
        <v>5</v>
      </c>
      <c r="AP84" s="22">
        <v>0</v>
      </c>
      <c r="AQ84" s="22">
        <v>0</v>
      </c>
      <c r="AR84" s="22">
        <v>0</v>
      </c>
      <c r="AS84" s="22">
        <v>7</v>
      </c>
      <c r="AT84" s="22">
        <v>10</v>
      </c>
      <c r="AU84" s="316">
        <f t="shared" si="12"/>
        <v>204</v>
      </c>
      <c r="AV84" s="22">
        <v>190</v>
      </c>
      <c r="AW84" s="22">
        <v>5</v>
      </c>
      <c r="AX84" s="22">
        <v>0</v>
      </c>
      <c r="AY84" s="22">
        <v>0</v>
      </c>
      <c r="AZ84" s="22">
        <v>0</v>
      </c>
      <c r="BA84" s="22">
        <v>7</v>
      </c>
      <c r="BB84" s="22">
        <v>10</v>
      </c>
      <c r="BC84" s="316">
        <f t="shared" si="13"/>
        <v>212</v>
      </c>
      <c r="BD84" s="58">
        <f t="shared" si="14"/>
        <v>8</v>
      </c>
      <c r="BE84" s="58">
        <f t="shared" si="15"/>
        <v>0</v>
      </c>
      <c r="BF84" s="58">
        <f t="shared" si="16"/>
        <v>0</v>
      </c>
      <c r="BG84" s="58">
        <f t="shared" si="17"/>
        <v>0</v>
      </c>
      <c r="BH84" s="58">
        <f t="shared" si="18"/>
        <v>0</v>
      </c>
      <c r="BI84" s="58">
        <f t="shared" si="19"/>
        <v>0</v>
      </c>
      <c r="BJ84" s="58">
        <f t="shared" si="20"/>
        <v>0</v>
      </c>
      <c r="BK84" s="58">
        <f t="shared" si="21"/>
        <v>8</v>
      </c>
    </row>
    <row r="85" spans="1:63" ht="27" customHeight="1">
      <c r="A85" s="13">
        <f t="shared" si="22"/>
        <v>83</v>
      </c>
      <c r="B85" s="14" t="s">
        <v>812</v>
      </c>
      <c r="C85" s="10">
        <v>835</v>
      </c>
      <c r="D85" s="76" t="s">
        <v>813</v>
      </c>
      <c r="E85" s="77">
        <v>130152386</v>
      </c>
      <c r="F85" s="106" t="s">
        <v>814</v>
      </c>
      <c r="G85" s="107" t="s">
        <v>815</v>
      </c>
      <c r="H85" s="26" t="s">
        <v>816</v>
      </c>
      <c r="I85" s="27" t="s">
        <v>817</v>
      </c>
      <c r="J85" s="98" t="s">
        <v>178</v>
      </c>
      <c r="K85" s="28">
        <v>35014</v>
      </c>
      <c r="L85" s="82" t="s">
        <v>179</v>
      </c>
      <c r="M85" s="25">
        <v>42047</v>
      </c>
      <c r="N85" s="25"/>
      <c r="O85" s="17" t="s">
        <v>26</v>
      </c>
      <c r="P85" s="18" t="s">
        <v>27</v>
      </c>
      <c r="Q85" s="18" t="s">
        <v>181</v>
      </c>
      <c r="R85" s="17" t="s">
        <v>182</v>
      </c>
      <c r="S85" s="19" t="s">
        <v>256</v>
      </c>
      <c r="T85" s="22"/>
      <c r="U85" s="22"/>
      <c r="V85" s="21" t="s">
        <v>200</v>
      </c>
      <c r="W85" s="21" t="s">
        <v>184</v>
      </c>
      <c r="X85" s="21">
        <v>12</v>
      </c>
      <c r="Y85" s="77" t="s">
        <v>818</v>
      </c>
      <c r="Z85" s="86" t="s">
        <v>186</v>
      </c>
      <c r="AA85" s="21"/>
      <c r="AB85" s="21"/>
      <c r="AC85" s="122"/>
      <c r="AD85" s="115"/>
      <c r="AE85" s="122"/>
      <c r="AF85" s="124"/>
      <c r="AG85" s="122"/>
      <c r="AH85" s="59"/>
      <c r="AI85" s="59"/>
      <c r="AJ85" s="21" t="s">
        <v>203</v>
      </c>
      <c r="AK85" s="21" t="s">
        <v>190</v>
      </c>
      <c r="AL85" s="21" t="s">
        <v>190</v>
      </c>
      <c r="AM85" s="174" t="s">
        <v>819</v>
      </c>
      <c r="AN85" s="22">
        <v>182</v>
      </c>
      <c r="AO85" s="22">
        <v>5</v>
      </c>
      <c r="AP85" s="22">
        <v>0</v>
      </c>
      <c r="AQ85" s="22">
        <v>0</v>
      </c>
      <c r="AR85" s="22">
        <v>0</v>
      </c>
      <c r="AS85" s="22">
        <v>7</v>
      </c>
      <c r="AT85" s="22">
        <v>10</v>
      </c>
      <c r="AU85" s="316">
        <f t="shared" si="12"/>
        <v>204</v>
      </c>
      <c r="AV85" s="22">
        <v>190</v>
      </c>
      <c r="AW85" s="22">
        <v>5</v>
      </c>
      <c r="AX85" s="22">
        <v>0</v>
      </c>
      <c r="AY85" s="22">
        <v>0</v>
      </c>
      <c r="AZ85" s="22">
        <v>0</v>
      </c>
      <c r="BA85" s="22">
        <v>7</v>
      </c>
      <c r="BB85" s="22">
        <v>10</v>
      </c>
      <c r="BC85" s="316">
        <f t="shared" si="13"/>
        <v>212</v>
      </c>
      <c r="BD85" s="58">
        <f t="shared" si="14"/>
        <v>8</v>
      </c>
      <c r="BE85" s="58">
        <f t="shared" si="15"/>
        <v>0</v>
      </c>
      <c r="BF85" s="58">
        <f t="shared" si="16"/>
        <v>0</v>
      </c>
      <c r="BG85" s="58">
        <f t="shared" si="17"/>
        <v>0</v>
      </c>
      <c r="BH85" s="58">
        <f t="shared" si="18"/>
        <v>0</v>
      </c>
      <c r="BI85" s="58">
        <f t="shared" si="19"/>
        <v>0</v>
      </c>
      <c r="BJ85" s="58">
        <f t="shared" si="20"/>
        <v>0</v>
      </c>
      <c r="BK85" s="58">
        <f t="shared" si="21"/>
        <v>8</v>
      </c>
    </row>
    <row r="86" spans="1:63" ht="27" customHeight="1">
      <c r="A86" s="13">
        <f t="shared" si="22"/>
        <v>84</v>
      </c>
      <c r="B86" s="14" t="s">
        <v>820</v>
      </c>
      <c r="C86" s="10">
        <v>826</v>
      </c>
      <c r="D86" s="76" t="s">
        <v>821</v>
      </c>
      <c r="E86" s="77">
        <v>61168082</v>
      </c>
      <c r="F86" s="106" t="s">
        <v>822</v>
      </c>
      <c r="G86" s="107" t="s">
        <v>823</v>
      </c>
      <c r="H86" s="26" t="s">
        <v>824</v>
      </c>
      <c r="I86" s="27" t="s">
        <v>825</v>
      </c>
      <c r="J86" s="98" t="s">
        <v>178</v>
      </c>
      <c r="K86" s="28">
        <v>32982</v>
      </c>
      <c r="L86" s="82" t="s">
        <v>179</v>
      </c>
      <c r="M86" s="25">
        <v>42045</v>
      </c>
      <c r="N86" s="25"/>
      <c r="O86" s="17" t="s">
        <v>34</v>
      </c>
      <c r="P86" s="18" t="s">
        <v>301</v>
      </c>
      <c r="Q86" s="18" t="s">
        <v>181</v>
      </c>
      <c r="R86" s="17" t="s">
        <v>182</v>
      </c>
      <c r="S86" s="19" t="s">
        <v>183</v>
      </c>
      <c r="T86" s="22"/>
      <c r="U86" s="22"/>
      <c r="V86" s="21" t="s">
        <v>184</v>
      </c>
      <c r="W86" s="21">
        <v>1835</v>
      </c>
      <c r="X86" s="21">
        <v>9</v>
      </c>
      <c r="Y86" s="77" t="s">
        <v>184</v>
      </c>
      <c r="Z86" s="21"/>
      <c r="AA86" s="86" t="s">
        <v>186</v>
      </c>
      <c r="AB86" s="21"/>
      <c r="AC86" s="122" t="s">
        <v>826</v>
      </c>
      <c r="AD86" s="115"/>
      <c r="AE86" s="122"/>
      <c r="AF86" s="124"/>
      <c r="AG86" s="122"/>
      <c r="AH86" s="59"/>
      <c r="AI86" s="59"/>
      <c r="AJ86" s="21" t="s">
        <v>203</v>
      </c>
      <c r="AK86" s="21" t="s">
        <v>190</v>
      </c>
      <c r="AL86" s="21" t="s">
        <v>203</v>
      </c>
      <c r="AM86" s="174" t="s">
        <v>827</v>
      </c>
      <c r="AN86" s="22">
        <v>182</v>
      </c>
      <c r="AO86" s="22">
        <v>5</v>
      </c>
      <c r="AP86" s="22">
        <v>0</v>
      </c>
      <c r="AQ86" s="22">
        <v>0</v>
      </c>
      <c r="AR86" s="22">
        <v>0</v>
      </c>
      <c r="AS86" s="22">
        <v>7</v>
      </c>
      <c r="AT86" s="22">
        <v>10</v>
      </c>
      <c r="AU86" s="316">
        <f t="shared" si="12"/>
        <v>204</v>
      </c>
      <c r="AV86" s="22">
        <v>190</v>
      </c>
      <c r="AW86" s="22">
        <v>5</v>
      </c>
      <c r="AX86" s="22">
        <v>0</v>
      </c>
      <c r="AY86" s="22">
        <v>0</v>
      </c>
      <c r="AZ86" s="22">
        <v>0</v>
      </c>
      <c r="BA86" s="22">
        <v>7</v>
      </c>
      <c r="BB86" s="22">
        <v>10</v>
      </c>
      <c r="BC86" s="316">
        <f t="shared" si="13"/>
        <v>212</v>
      </c>
      <c r="BD86" s="58">
        <f t="shared" si="14"/>
        <v>8</v>
      </c>
      <c r="BE86" s="58">
        <f t="shared" si="15"/>
        <v>0</v>
      </c>
      <c r="BF86" s="58">
        <f t="shared" si="16"/>
        <v>0</v>
      </c>
      <c r="BG86" s="58">
        <f t="shared" si="17"/>
        <v>0</v>
      </c>
      <c r="BH86" s="58">
        <f t="shared" si="18"/>
        <v>0</v>
      </c>
      <c r="BI86" s="58">
        <f t="shared" si="19"/>
        <v>0</v>
      </c>
      <c r="BJ86" s="58">
        <f t="shared" si="20"/>
        <v>0</v>
      </c>
      <c r="BK86" s="58">
        <f t="shared" si="21"/>
        <v>8</v>
      </c>
    </row>
    <row r="87" spans="1:63" ht="27" customHeight="1">
      <c r="A87" s="13">
        <f t="shared" si="22"/>
        <v>85</v>
      </c>
      <c r="B87" s="14" t="s">
        <v>828</v>
      </c>
      <c r="C87" s="10">
        <v>827</v>
      </c>
      <c r="D87" s="76" t="s">
        <v>829</v>
      </c>
      <c r="E87" s="77">
        <v>130144705</v>
      </c>
      <c r="F87" s="106" t="s">
        <v>830</v>
      </c>
      <c r="G87" s="107" t="s">
        <v>831</v>
      </c>
      <c r="H87" s="26" t="s">
        <v>832</v>
      </c>
      <c r="I87" s="27" t="s">
        <v>700</v>
      </c>
      <c r="J87" s="98" t="s">
        <v>178</v>
      </c>
      <c r="K87" s="28">
        <v>33635</v>
      </c>
      <c r="L87" s="82" t="s">
        <v>179</v>
      </c>
      <c r="M87" s="25">
        <v>42045</v>
      </c>
      <c r="N87" s="25"/>
      <c r="O87" s="17" t="s">
        <v>34</v>
      </c>
      <c r="P87" s="18" t="s">
        <v>339</v>
      </c>
      <c r="Q87" s="18" t="s">
        <v>181</v>
      </c>
      <c r="R87" s="17" t="s">
        <v>182</v>
      </c>
      <c r="S87" s="19" t="s">
        <v>256</v>
      </c>
      <c r="T87" s="22"/>
      <c r="U87" s="22"/>
      <c r="V87" s="21" t="s">
        <v>184</v>
      </c>
      <c r="W87" s="21">
        <v>7273</v>
      </c>
      <c r="X87" s="21">
        <v>7</v>
      </c>
      <c r="Y87" s="77" t="s">
        <v>833</v>
      </c>
      <c r="Z87" s="86" t="s">
        <v>186</v>
      </c>
      <c r="AA87" s="21"/>
      <c r="AB87" s="21"/>
      <c r="AC87" s="122"/>
      <c r="AD87" s="115"/>
      <c r="AE87" s="122"/>
      <c r="AF87" s="124"/>
      <c r="AG87" s="122"/>
      <c r="AH87" s="59"/>
      <c r="AI87" s="59"/>
      <c r="AJ87" s="21" t="s">
        <v>203</v>
      </c>
      <c r="AK87" s="21" t="s">
        <v>190</v>
      </c>
      <c r="AL87" s="21" t="s">
        <v>190</v>
      </c>
      <c r="AM87" s="174" t="s">
        <v>834</v>
      </c>
      <c r="AN87" s="22">
        <v>182</v>
      </c>
      <c r="AO87" s="22">
        <v>5</v>
      </c>
      <c r="AP87" s="22">
        <v>0</v>
      </c>
      <c r="AQ87" s="22">
        <v>0</v>
      </c>
      <c r="AR87" s="22">
        <v>0</v>
      </c>
      <c r="AS87" s="22">
        <v>7</v>
      </c>
      <c r="AT87" s="22">
        <v>10</v>
      </c>
      <c r="AU87" s="316">
        <f t="shared" si="12"/>
        <v>204</v>
      </c>
      <c r="AV87" s="22">
        <v>190</v>
      </c>
      <c r="AW87" s="22">
        <v>5</v>
      </c>
      <c r="AX87" s="22">
        <v>0</v>
      </c>
      <c r="AY87" s="22">
        <v>0</v>
      </c>
      <c r="AZ87" s="22">
        <v>0</v>
      </c>
      <c r="BA87" s="22">
        <v>7</v>
      </c>
      <c r="BB87" s="22">
        <v>10</v>
      </c>
      <c r="BC87" s="316">
        <f t="shared" si="13"/>
        <v>212</v>
      </c>
      <c r="BD87" s="58">
        <f t="shared" si="14"/>
        <v>8</v>
      </c>
      <c r="BE87" s="58">
        <f t="shared" si="15"/>
        <v>0</v>
      </c>
      <c r="BF87" s="58">
        <f t="shared" si="16"/>
        <v>0</v>
      </c>
      <c r="BG87" s="58">
        <f t="shared" si="17"/>
        <v>0</v>
      </c>
      <c r="BH87" s="58">
        <f t="shared" si="18"/>
        <v>0</v>
      </c>
      <c r="BI87" s="58">
        <f t="shared" si="19"/>
        <v>0</v>
      </c>
      <c r="BJ87" s="58">
        <f t="shared" si="20"/>
        <v>0</v>
      </c>
      <c r="BK87" s="58">
        <f t="shared" si="21"/>
        <v>8</v>
      </c>
    </row>
    <row r="88" spans="1:63" ht="27" customHeight="1">
      <c r="A88" s="13">
        <f t="shared" si="22"/>
        <v>86</v>
      </c>
      <c r="B88" s="14" t="s">
        <v>835</v>
      </c>
      <c r="C88" s="10">
        <v>825</v>
      </c>
      <c r="D88" s="90" t="s">
        <v>836</v>
      </c>
      <c r="E88" s="77" t="s">
        <v>190</v>
      </c>
      <c r="F88" s="106" t="s">
        <v>837</v>
      </c>
      <c r="G88" s="107" t="s">
        <v>838</v>
      </c>
      <c r="H88" s="26" t="s">
        <v>839</v>
      </c>
      <c r="I88" s="27" t="s">
        <v>840</v>
      </c>
      <c r="J88" s="98" t="s">
        <v>178</v>
      </c>
      <c r="K88" s="28">
        <v>34227</v>
      </c>
      <c r="L88" s="82" t="s">
        <v>179</v>
      </c>
      <c r="M88" s="25">
        <v>42044</v>
      </c>
      <c r="N88" s="25"/>
      <c r="O88" s="17" t="s">
        <v>34</v>
      </c>
      <c r="P88" s="18" t="s">
        <v>512</v>
      </c>
      <c r="Q88" s="18" t="s">
        <v>181</v>
      </c>
      <c r="R88" s="17" t="s">
        <v>182</v>
      </c>
      <c r="S88" s="13" t="s">
        <v>841</v>
      </c>
      <c r="T88" s="22"/>
      <c r="U88" s="22"/>
      <c r="V88" s="21" t="s">
        <v>200</v>
      </c>
      <c r="W88" s="21">
        <v>9479</v>
      </c>
      <c r="X88" s="21">
        <v>5</v>
      </c>
      <c r="Y88" s="77" t="s">
        <v>842</v>
      </c>
      <c r="Z88" s="21"/>
      <c r="AA88" s="86" t="s">
        <v>186</v>
      </c>
      <c r="AB88" s="21"/>
      <c r="AC88" s="122" t="s">
        <v>497</v>
      </c>
      <c r="AD88" s="115" t="s">
        <v>188</v>
      </c>
      <c r="AE88" s="115" t="s">
        <v>188</v>
      </c>
      <c r="AF88" s="115" t="s">
        <v>189</v>
      </c>
      <c r="AG88" s="122"/>
      <c r="AH88" s="59"/>
      <c r="AI88" s="59"/>
      <c r="AJ88" s="21" t="s">
        <v>203</v>
      </c>
      <c r="AK88" s="21" t="s">
        <v>190</v>
      </c>
      <c r="AL88" s="21" t="s">
        <v>190</v>
      </c>
      <c r="AM88" s="174" t="s">
        <v>843</v>
      </c>
      <c r="AN88" s="22">
        <v>182</v>
      </c>
      <c r="AO88" s="22">
        <v>5</v>
      </c>
      <c r="AP88" s="22">
        <v>0</v>
      </c>
      <c r="AQ88" s="22">
        <v>0</v>
      </c>
      <c r="AR88" s="22">
        <v>0</v>
      </c>
      <c r="AS88" s="22">
        <v>7</v>
      </c>
      <c r="AT88" s="22">
        <v>10</v>
      </c>
      <c r="AU88" s="316">
        <f t="shared" si="12"/>
        <v>204</v>
      </c>
      <c r="AV88" s="22">
        <v>190</v>
      </c>
      <c r="AW88" s="22">
        <v>5</v>
      </c>
      <c r="AX88" s="22">
        <v>0</v>
      </c>
      <c r="AY88" s="22">
        <v>0</v>
      </c>
      <c r="AZ88" s="22">
        <v>0</v>
      </c>
      <c r="BA88" s="22">
        <v>7</v>
      </c>
      <c r="BB88" s="22">
        <v>10</v>
      </c>
      <c r="BC88" s="316">
        <f t="shared" si="13"/>
        <v>212</v>
      </c>
      <c r="BD88" s="58">
        <f t="shared" si="14"/>
        <v>8</v>
      </c>
      <c r="BE88" s="58">
        <f t="shared" si="15"/>
        <v>0</v>
      </c>
      <c r="BF88" s="58">
        <f t="shared" si="16"/>
        <v>0</v>
      </c>
      <c r="BG88" s="58">
        <f t="shared" si="17"/>
        <v>0</v>
      </c>
      <c r="BH88" s="58">
        <f t="shared" si="18"/>
        <v>0</v>
      </c>
      <c r="BI88" s="58">
        <f t="shared" si="19"/>
        <v>0</v>
      </c>
      <c r="BJ88" s="58">
        <f t="shared" si="20"/>
        <v>0</v>
      </c>
      <c r="BK88" s="58">
        <f t="shared" si="21"/>
        <v>8</v>
      </c>
    </row>
    <row r="89" spans="1:63" ht="27" customHeight="1">
      <c r="A89" s="13">
        <f t="shared" si="22"/>
        <v>87</v>
      </c>
      <c r="B89" s="14" t="s">
        <v>844</v>
      </c>
      <c r="C89" s="10">
        <v>854</v>
      </c>
      <c r="D89" s="76" t="s">
        <v>845</v>
      </c>
      <c r="E89" s="77">
        <v>30290497</v>
      </c>
      <c r="F89" s="106" t="s">
        <v>846</v>
      </c>
      <c r="G89" s="107" t="s">
        <v>847</v>
      </c>
      <c r="H89" s="26" t="s">
        <v>848</v>
      </c>
      <c r="I89" s="27" t="s">
        <v>849</v>
      </c>
      <c r="J89" s="98" t="s">
        <v>178</v>
      </c>
      <c r="K89" s="28">
        <v>31663</v>
      </c>
      <c r="L89" s="82" t="s">
        <v>179</v>
      </c>
      <c r="M89" s="25">
        <v>42074</v>
      </c>
      <c r="N89" s="25"/>
      <c r="O89" s="17" t="s">
        <v>34</v>
      </c>
      <c r="P89" s="18" t="s">
        <v>227</v>
      </c>
      <c r="Q89" s="18" t="s">
        <v>181</v>
      </c>
      <c r="R89" s="17" t="s">
        <v>182</v>
      </c>
      <c r="S89" s="13" t="s">
        <v>310</v>
      </c>
      <c r="T89" s="22"/>
      <c r="U89" s="22"/>
      <c r="V89" s="21" t="s">
        <v>200</v>
      </c>
      <c r="W89" s="21">
        <v>9452</v>
      </c>
      <c r="X89" s="21">
        <v>5</v>
      </c>
      <c r="Y89" s="77" t="s">
        <v>184</v>
      </c>
      <c r="Z89" s="21"/>
      <c r="AA89" s="86" t="s">
        <v>186</v>
      </c>
      <c r="AB89" s="21"/>
      <c r="AC89" s="122" t="s">
        <v>562</v>
      </c>
      <c r="AD89" s="115" t="s">
        <v>188</v>
      </c>
      <c r="AE89" s="122"/>
      <c r="AF89" s="124"/>
      <c r="AG89" s="122"/>
      <c r="AH89" s="59"/>
      <c r="AI89" s="59"/>
      <c r="AJ89" s="21" t="s">
        <v>203</v>
      </c>
      <c r="AK89" s="21" t="s">
        <v>190</v>
      </c>
      <c r="AL89" s="21" t="s">
        <v>190</v>
      </c>
      <c r="AM89" s="174" t="s">
        <v>850</v>
      </c>
      <c r="AN89" s="22">
        <v>182</v>
      </c>
      <c r="AO89" s="22">
        <v>5</v>
      </c>
      <c r="AP89" s="22">
        <v>0</v>
      </c>
      <c r="AQ89" s="22">
        <v>0</v>
      </c>
      <c r="AR89" s="22">
        <v>0</v>
      </c>
      <c r="AS89" s="22">
        <v>7</v>
      </c>
      <c r="AT89" s="22">
        <v>10</v>
      </c>
      <c r="AU89" s="316">
        <f t="shared" si="12"/>
        <v>204</v>
      </c>
      <c r="AV89" s="22">
        <v>190</v>
      </c>
      <c r="AW89" s="22">
        <v>5</v>
      </c>
      <c r="AX89" s="22">
        <v>0</v>
      </c>
      <c r="AY89" s="22">
        <v>0</v>
      </c>
      <c r="AZ89" s="22">
        <v>0</v>
      </c>
      <c r="BA89" s="22">
        <v>7</v>
      </c>
      <c r="BB89" s="22">
        <v>10</v>
      </c>
      <c r="BC89" s="316">
        <f t="shared" si="13"/>
        <v>212</v>
      </c>
      <c r="BD89" s="58">
        <f t="shared" si="14"/>
        <v>8</v>
      </c>
      <c r="BE89" s="58">
        <f t="shared" si="15"/>
        <v>0</v>
      </c>
      <c r="BF89" s="58">
        <f t="shared" si="16"/>
        <v>0</v>
      </c>
      <c r="BG89" s="58">
        <f t="shared" si="17"/>
        <v>0</v>
      </c>
      <c r="BH89" s="58">
        <f t="shared" si="18"/>
        <v>0</v>
      </c>
      <c r="BI89" s="58">
        <f t="shared" si="19"/>
        <v>0</v>
      </c>
      <c r="BJ89" s="58">
        <f t="shared" si="20"/>
        <v>0</v>
      </c>
      <c r="BK89" s="58">
        <f t="shared" si="21"/>
        <v>8</v>
      </c>
    </row>
    <row r="90" spans="1:63" ht="27" customHeight="1">
      <c r="A90" s="13">
        <f t="shared" si="22"/>
        <v>88</v>
      </c>
      <c r="B90" s="14" t="s">
        <v>851</v>
      </c>
      <c r="C90" s="10">
        <v>857</v>
      </c>
      <c r="D90" s="76" t="s">
        <v>852</v>
      </c>
      <c r="E90" s="77">
        <v>130090619</v>
      </c>
      <c r="F90" s="106" t="s">
        <v>195</v>
      </c>
      <c r="G90" s="107" t="s">
        <v>853</v>
      </c>
      <c r="H90" s="26" t="s">
        <v>699</v>
      </c>
      <c r="I90" s="27" t="s">
        <v>854</v>
      </c>
      <c r="J90" s="98" t="s">
        <v>178</v>
      </c>
      <c r="K90" s="28">
        <v>30357</v>
      </c>
      <c r="L90" s="82" t="s">
        <v>179</v>
      </c>
      <c r="M90" s="25">
        <v>42075</v>
      </c>
      <c r="N90" s="25"/>
      <c r="O90" s="17" t="s">
        <v>34</v>
      </c>
      <c r="P90" s="18" t="s">
        <v>227</v>
      </c>
      <c r="Q90" s="18" t="s">
        <v>181</v>
      </c>
      <c r="R90" s="17" t="s">
        <v>182</v>
      </c>
      <c r="S90" s="19" t="s">
        <v>211</v>
      </c>
      <c r="T90" s="22"/>
      <c r="U90" s="22"/>
      <c r="V90" s="21" t="s">
        <v>200</v>
      </c>
      <c r="W90" s="21">
        <v>233</v>
      </c>
      <c r="X90" s="21">
        <v>5</v>
      </c>
      <c r="Y90" s="77" t="s">
        <v>855</v>
      </c>
      <c r="Z90" s="21"/>
      <c r="AA90" s="86" t="s">
        <v>186</v>
      </c>
      <c r="AB90" s="21"/>
      <c r="AC90" s="122" t="s">
        <v>497</v>
      </c>
      <c r="AD90" s="115"/>
      <c r="AE90" s="122"/>
      <c r="AF90" s="124"/>
      <c r="AG90" s="122"/>
      <c r="AH90" s="59"/>
      <c r="AI90" s="59"/>
      <c r="AJ90" s="21" t="s">
        <v>203</v>
      </c>
      <c r="AK90" s="21" t="s">
        <v>190</v>
      </c>
      <c r="AL90" s="21" t="s">
        <v>190</v>
      </c>
      <c r="AM90" s="174" t="s">
        <v>856</v>
      </c>
      <c r="AN90" s="22">
        <v>182</v>
      </c>
      <c r="AO90" s="22">
        <v>5</v>
      </c>
      <c r="AP90" s="22">
        <v>0</v>
      </c>
      <c r="AQ90" s="22">
        <v>0</v>
      </c>
      <c r="AR90" s="22">
        <v>0</v>
      </c>
      <c r="AS90" s="22">
        <v>7</v>
      </c>
      <c r="AT90" s="22">
        <v>10</v>
      </c>
      <c r="AU90" s="316">
        <f t="shared" si="12"/>
        <v>204</v>
      </c>
      <c r="AV90" s="22">
        <v>190</v>
      </c>
      <c r="AW90" s="22">
        <v>5</v>
      </c>
      <c r="AX90" s="22">
        <v>0</v>
      </c>
      <c r="AY90" s="22">
        <v>0</v>
      </c>
      <c r="AZ90" s="22">
        <v>0</v>
      </c>
      <c r="BA90" s="22">
        <v>7</v>
      </c>
      <c r="BB90" s="22">
        <v>10</v>
      </c>
      <c r="BC90" s="316">
        <f t="shared" si="13"/>
        <v>212</v>
      </c>
      <c r="BD90" s="58">
        <f t="shared" si="14"/>
        <v>8</v>
      </c>
      <c r="BE90" s="58">
        <f t="shared" si="15"/>
        <v>0</v>
      </c>
      <c r="BF90" s="58">
        <f t="shared" si="16"/>
        <v>0</v>
      </c>
      <c r="BG90" s="58">
        <f t="shared" si="17"/>
        <v>0</v>
      </c>
      <c r="BH90" s="58">
        <f t="shared" si="18"/>
        <v>0</v>
      </c>
      <c r="BI90" s="58">
        <f t="shared" si="19"/>
        <v>0</v>
      </c>
      <c r="BJ90" s="58">
        <f t="shared" si="20"/>
        <v>0</v>
      </c>
      <c r="BK90" s="58">
        <f t="shared" si="21"/>
        <v>8</v>
      </c>
    </row>
    <row r="91" spans="1:63" ht="27" customHeight="1">
      <c r="A91" s="13">
        <f t="shared" si="22"/>
        <v>89</v>
      </c>
      <c r="B91" s="14" t="s">
        <v>857</v>
      </c>
      <c r="C91" s="10">
        <v>839</v>
      </c>
      <c r="D91" s="76" t="s">
        <v>858</v>
      </c>
      <c r="E91" s="77">
        <v>100888937</v>
      </c>
      <c r="F91" s="106" t="s">
        <v>859</v>
      </c>
      <c r="G91" s="107" t="s">
        <v>860</v>
      </c>
      <c r="H91" s="26" t="s">
        <v>861</v>
      </c>
      <c r="I91" s="27" t="s">
        <v>862</v>
      </c>
      <c r="J91" s="98" t="s">
        <v>178</v>
      </c>
      <c r="K91" s="28">
        <v>31455</v>
      </c>
      <c r="L91" s="82" t="s">
        <v>179</v>
      </c>
      <c r="M91" s="25">
        <v>42066</v>
      </c>
      <c r="N91" s="25"/>
      <c r="O91" s="17" t="s">
        <v>34</v>
      </c>
      <c r="P91" s="18" t="s">
        <v>282</v>
      </c>
      <c r="Q91" s="18" t="s">
        <v>249</v>
      </c>
      <c r="R91" s="17" t="s">
        <v>182</v>
      </c>
      <c r="S91" s="19" t="s">
        <v>211</v>
      </c>
      <c r="T91" s="22"/>
      <c r="U91" s="22"/>
      <c r="V91" s="21" t="s">
        <v>184</v>
      </c>
      <c r="W91" s="21" t="s">
        <v>184</v>
      </c>
      <c r="X91" s="21">
        <v>6</v>
      </c>
      <c r="Y91" s="77" t="s">
        <v>863</v>
      </c>
      <c r="Z91" s="21"/>
      <c r="AA91" s="86" t="s">
        <v>186</v>
      </c>
      <c r="AB91" s="21"/>
      <c r="AC91" s="122" t="s">
        <v>576</v>
      </c>
      <c r="AD91" s="115"/>
      <c r="AE91" s="122"/>
      <c r="AF91" s="124"/>
      <c r="AG91" s="122"/>
      <c r="AH91" s="59"/>
      <c r="AI91" s="59"/>
      <c r="AJ91" s="21" t="s">
        <v>203</v>
      </c>
      <c r="AK91" s="21" t="s">
        <v>190</v>
      </c>
      <c r="AL91" s="21" t="s">
        <v>190</v>
      </c>
      <c r="AM91" s="174" t="s">
        <v>864</v>
      </c>
      <c r="AN91" s="22">
        <v>182</v>
      </c>
      <c r="AO91" s="22">
        <v>5</v>
      </c>
      <c r="AP91" s="22">
        <v>20</v>
      </c>
      <c r="AQ91" s="22">
        <v>0</v>
      </c>
      <c r="AR91" s="22">
        <v>0</v>
      </c>
      <c r="AS91" s="22">
        <v>7</v>
      </c>
      <c r="AT91" s="22">
        <v>10</v>
      </c>
      <c r="AU91" s="316">
        <f t="shared" si="12"/>
        <v>224</v>
      </c>
      <c r="AV91" s="22">
        <v>190</v>
      </c>
      <c r="AW91" s="22">
        <v>5</v>
      </c>
      <c r="AX91" s="22">
        <v>20</v>
      </c>
      <c r="AY91" s="22">
        <v>0</v>
      </c>
      <c r="AZ91" s="22">
        <v>0</v>
      </c>
      <c r="BA91" s="22">
        <v>7</v>
      </c>
      <c r="BB91" s="22">
        <v>10</v>
      </c>
      <c r="BC91" s="316">
        <f t="shared" si="13"/>
        <v>232</v>
      </c>
      <c r="BD91" s="58">
        <f t="shared" si="14"/>
        <v>8</v>
      </c>
      <c r="BE91" s="58">
        <f t="shared" si="15"/>
        <v>0</v>
      </c>
      <c r="BF91" s="58">
        <f t="shared" si="16"/>
        <v>0</v>
      </c>
      <c r="BG91" s="58">
        <f t="shared" si="17"/>
        <v>0</v>
      </c>
      <c r="BH91" s="58">
        <f t="shared" si="18"/>
        <v>0</v>
      </c>
      <c r="BI91" s="58">
        <f t="shared" si="19"/>
        <v>0</v>
      </c>
      <c r="BJ91" s="58">
        <f t="shared" si="20"/>
        <v>0</v>
      </c>
      <c r="BK91" s="58">
        <f t="shared" si="21"/>
        <v>8</v>
      </c>
    </row>
    <row r="92" spans="1:63" ht="27" customHeight="1">
      <c r="A92" s="13">
        <f t="shared" si="22"/>
        <v>90</v>
      </c>
      <c r="B92" s="14" t="s">
        <v>865</v>
      </c>
      <c r="C92" s="10">
        <v>840</v>
      </c>
      <c r="D92" s="76" t="s">
        <v>866</v>
      </c>
      <c r="E92" s="77" t="s">
        <v>190</v>
      </c>
      <c r="F92" s="78" t="s">
        <v>675</v>
      </c>
      <c r="G92" s="79" t="s">
        <v>867</v>
      </c>
      <c r="H92" s="15" t="s">
        <v>677</v>
      </c>
      <c r="I92" s="16" t="s">
        <v>868</v>
      </c>
      <c r="J92" s="80" t="s">
        <v>178</v>
      </c>
      <c r="K92" s="24">
        <v>29222</v>
      </c>
      <c r="L92" s="93" t="s">
        <v>179</v>
      </c>
      <c r="M92" s="25">
        <v>42066</v>
      </c>
      <c r="N92" s="25"/>
      <c r="O92" s="17" t="s">
        <v>34</v>
      </c>
      <c r="P92" s="18" t="s">
        <v>309</v>
      </c>
      <c r="Q92" s="18" t="s">
        <v>181</v>
      </c>
      <c r="R92" s="17" t="s">
        <v>182</v>
      </c>
      <c r="S92" s="13" t="s">
        <v>219</v>
      </c>
      <c r="T92" s="22"/>
      <c r="U92" s="22"/>
      <c r="V92" s="21" t="s">
        <v>200</v>
      </c>
      <c r="W92" s="21">
        <v>23</v>
      </c>
      <c r="X92" s="21">
        <v>4</v>
      </c>
      <c r="Y92" s="77" t="s">
        <v>869</v>
      </c>
      <c r="Z92" s="21"/>
      <c r="AA92" s="86" t="s">
        <v>186</v>
      </c>
      <c r="AB92" s="21"/>
      <c r="AC92" s="122" t="s">
        <v>497</v>
      </c>
      <c r="AD92" s="115" t="s">
        <v>188</v>
      </c>
      <c r="AE92" s="115" t="s">
        <v>188</v>
      </c>
      <c r="AF92" s="124" t="s">
        <v>563</v>
      </c>
      <c r="AG92" s="122"/>
      <c r="AH92" s="59"/>
      <c r="AI92" s="59"/>
      <c r="AJ92" s="21" t="s">
        <v>203</v>
      </c>
      <c r="AK92" s="21" t="s">
        <v>190</v>
      </c>
      <c r="AL92" s="21" t="s">
        <v>190</v>
      </c>
      <c r="AM92" s="174" t="s">
        <v>870</v>
      </c>
      <c r="AN92" s="22">
        <v>182</v>
      </c>
      <c r="AO92" s="22">
        <v>5</v>
      </c>
      <c r="AP92" s="22">
        <v>0</v>
      </c>
      <c r="AQ92" s="22">
        <v>0</v>
      </c>
      <c r="AR92" s="22">
        <v>0</v>
      </c>
      <c r="AS92" s="22">
        <v>7</v>
      </c>
      <c r="AT92" s="22">
        <v>10</v>
      </c>
      <c r="AU92" s="316">
        <f t="shared" si="12"/>
        <v>204</v>
      </c>
      <c r="AV92" s="22">
        <v>190</v>
      </c>
      <c r="AW92" s="22">
        <v>5</v>
      </c>
      <c r="AX92" s="22">
        <v>0</v>
      </c>
      <c r="AY92" s="22">
        <v>0</v>
      </c>
      <c r="AZ92" s="22">
        <v>0</v>
      </c>
      <c r="BA92" s="22">
        <v>7</v>
      </c>
      <c r="BB92" s="22">
        <v>10</v>
      </c>
      <c r="BC92" s="316">
        <f t="shared" si="13"/>
        <v>212</v>
      </c>
      <c r="BD92" s="58">
        <f t="shared" si="14"/>
        <v>8</v>
      </c>
      <c r="BE92" s="58">
        <f t="shared" si="15"/>
        <v>0</v>
      </c>
      <c r="BF92" s="58">
        <f t="shared" si="16"/>
        <v>0</v>
      </c>
      <c r="BG92" s="58">
        <f t="shared" si="17"/>
        <v>0</v>
      </c>
      <c r="BH92" s="58">
        <f t="shared" si="18"/>
        <v>0</v>
      </c>
      <c r="BI92" s="58">
        <f t="shared" si="19"/>
        <v>0</v>
      </c>
      <c r="BJ92" s="58">
        <f t="shared" si="20"/>
        <v>0</v>
      </c>
      <c r="BK92" s="58">
        <f t="shared" si="21"/>
        <v>8</v>
      </c>
    </row>
    <row r="93" spans="1:63" ht="27" customHeight="1">
      <c r="A93" s="13">
        <f t="shared" si="22"/>
        <v>91</v>
      </c>
      <c r="B93" s="14" t="s">
        <v>871</v>
      </c>
      <c r="C93" s="10">
        <v>843</v>
      </c>
      <c r="D93" s="76" t="s">
        <v>872</v>
      </c>
      <c r="E93" s="77" t="s">
        <v>190</v>
      </c>
      <c r="F93" s="78" t="s">
        <v>873</v>
      </c>
      <c r="G93" s="79" t="s">
        <v>874</v>
      </c>
      <c r="H93" s="15" t="s">
        <v>875</v>
      </c>
      <c r="I93" s="16" t="s">
        <v>876</v>
      </c>
      <c r="J93" s="80" t="s">
        <v>178</v>
      </c>
      <c r="K93" s="24">
        <v>34586</v>
      </c>
      <c r="L93" s="93" t="s">
        <v>179</v>
      </c>
      <c r="M93" s="25">
        <v>42066</v>
      </c>
      <c r="N93" s="25"/>
      <c r="O93" s="17" t="s">
        <v>34</v>
      </c>
      <c r="P93" s="18" t="s">
        <v>301</v>
      </c>
      <c r="Q93" s="18" t="s">
        <v>181</v>
      </c>
      <c r="R93" s="17" t="s">
        <v>182</v>
      </c>
      <c r="S93" s="17" t="s">
        <v>727</v>
      </c>
      <c r="T93" s="22"/>
      <c r="U93" s="22"/>
      <c r="V93" s="21" t="s">
        <v>200</v>
      </c>
      <c r="W93" s="21">
        <v>9700</v>
      </c>
      <c r="X93" s="21">
        <v>4</v>
      </c>
      <c r="Y93" s="77" t="s">
        <v>877</v>
      </c>
      <c r="Z93" s="86" t="s">
        <v>186</v>
      </c>
      <c r="AA93" s="21"/>
      <c r="AB93" s="21"/>
      <c r="AC93" s="122"/>
      <c r="AD93" s="115"/>
      <c r="AE93" s="122"/>
      <c r="AF93" s="124"/>
      <c r="AG93" s="122"/>
      <c r="AH93" s="59"/>
      <c r="AI93" s="59"/>
      <c r="AJ93" s="21" t="s">
        <v>203</v>
      </c>
      <c r="AK93" s="21" t="s">
        <v>190</v>
      </c>
      <c r="AL93" s="21" t="s">
        <v>203</v>
      </c>
      <c r="AM93" s="174" t="s">
        <v>878</v>
      </c>
      <c r="AN93" s="22">
        <v>182</v>
      </c>
      <c r="AO93" s="22">
        <v>5</v>
      </c>
      <c r="AP93" s="22">
        <v>0</v>
      </c>
      <c r="AQ93" s="22">
        <v>0</v>
      </c>
      <c r="AR93" s="22">
        <v>0</v>
      </c>
      <c r="AS93" s="22">
        <v>7</v>
      </c>
      <c r="AT93" s="22">
        <v>10</v>
      </c>
      <c r="AU93" s="316">
        <f t="shared" si="12"/>
        <v>204</v>
      </c>
      <c r="AV93" s="22">
        <v>190</v>
      </c>
      <c r="AW93" s="22">
        <v>5</v>
      </c>
      <c r="AX93" s="22">
        <v>0</v>
      </c>
      <c r="AY93" s="22">
        <v>0</v>
      </c>
      <c r="AZ93" s="22">
        <v>0</v>
      </c>
      <c r="BA93" s="22">
        <v>7</v>
      </c>
      <c r="BB93" s="22">
        <v>10</v>
      </c>
      <c r="BC93" s="316">
        <f t="shared" si="13"/>
        <v>212</v>
      </c>
      <c r="BD93" s="58">
        <f t="shared" si="14"/>
        <v>8</v>
      </c>
      <c r="BE93" s="58">
        <f t="shared" si="15"/>
        <v>0</v>
      </c>
      <c r="BF93" s="58">
        <f t="shared" si="16"/>
        <v>0</v>
      </c>
      <c r="BG93" s="58">
        <f t="shared" si="17"/>
        <v>0</v>
      </c>
      <c r="BH93" s="58">
        <f t="shared" si="18"/>
        <v>0</v>
      </c>
      <c r="BI93" s="58">
        <f t="shared" si="19"/>
        <v>0</v>
      </c>
      <c r="BJ93" s="58">
        <f t="shared" si="20"/>
        <v>0</v>
      </c>
      <c r="BK93" s="58">
        <f t="shared" si="21"/>
        <v>8</v>
      </c>
    </row>
    <row r="94" spans="1:63" ht="27" customHeight="1">
      <c r="A94" s="13">
        <f t="shared" si="22"/>
        <v>92</v>
      </c>
      <c r="B94" s="14" t="s">
        <v>879</v>
      </c>
      <c r="C94" s="10">
        <v>844</v>
      </c>
      <c r="D94" s="76" t="s">
        <v>880</v>
      </c>
      <c r="E94" s="77">
        <v>130053176</v>
      </c>
      <c r="F94" s="78" t="s">
        <v>881</v>
      </c>
      <c r="G94" s="79" t="s">
        <v>742</v>
      </c>
      <c r="H94" s="15" t="s">
        <v>882</v>
      </c>
      <c r="I94" s="16" t="s">
        <v>883</v>
      </c>
      <c r="J94" s="80" t="s">
        <v>178</v>
      </c>
      <c r="K94" s="24">
        <v>29292</v>
      </c>
      <c r="L94" s="93" t="s">
        <v>179</v>
      </c>
      <c r="M94" s="25">
        <v>42067</v>
      </c>
      <c r="N94" s="25"/>
      <c r="O94" s="17" t="s">
        <v>34</v>
      </c>
      <c r="P94" s="18" t="s">
        <v>386</v>
      </c>
      <c r="Q94" s="18" t="s">
        <v>181</v>
      </c>
      <c r="R94" s="17" t="s">
        <v>182</v>
      </c>
      <c r="S94" s="19" t="s">
        <v>256</v>
      </c>
      <c r="T94" s="22"/>
      <c r="U94" s="22"/>
      <c r="V94" s="21" t="s">
        <v>200</v>
      </c>
      <c r="W94" s="21">
        <v>8567</v>
      </c>
      <c r="X94" s="21">
        <v>5</v>
      </c>
      <c r="Y94" s="77" t="s">
        <v>884</v>
      </c>
      <c r="Z94" s="21"/>
      <c r="AA94" s="86" t="s">
        <v>186</v>
      </c>
      <c r="AB94" s="21"/>
      <c r="AC94" s="122" t="s">
        <v>885</v>
      </c>
      <c r="AD94" s="115" t="s">
        <v>188</v>
      </c>
      <c r="AE94" s="115" t="s">
        <v>188</v>
      </c>
      <c r="AF94" s="115" t="s">
        <v>188</v>
      </c>
      <c r="AG94" s="122" t="s">
        <v>563</v>
      </c>
      <c r="AH94" s="59"/>
      <c r="AI94" s="59"/>
      <c r="AJ94" s="21" t="s">
        <v>203</v>
      </c>
      <c r="AK94" s="21" t="s">
        <v>190</v>
      </c>
      <c r="AL94" s="21" t="s">
        <v>190</v>
      </c>
      <c r="AM94" s="174" t="s">
        <v>886</v>
      </c>
      <c r="AN94" s="22">
        <v>182</v>
      </c>
      <c r="AO94" s="22">
        <v>5</v>
      </c>
      <c r="AP94" s="22">
        <v>0</v>
      </c>
      <c r="AQ94" s="22">
        <v>0</v>
      </c>
      <c r="AR94" s="22">
        <v>0</v>
      </c>
      <c r="AS94" s="22">
        <v>7</v>
      </c>
      <c r="AT94" s="22">
        <v>10</v>
      </c>
      <c r="AU94" s="316">
        <f t="shared" si="12"/>
        <v>204</v>
      </c>
      <c r="AV94" s="22">
        <v>190</v>
      </c>
      <c r="AW94" s="22">
        <v>5</v>
      </c>
      <c r="AX94" s="22">
        <v>0</v>
      </c>
      <c r="AY94" s="22">
        <v>0</v>
      </c>
      <c r="AZ94" s="22">
        <v>0</v>
      </c>
      <c r="BA94" s="22">
        <v>7</v>
      </c>
      <c r="BB94" s="22">
        <v>10</v>
      </c>
      <c r="BC94" s="316">
        <f t="shared" si="13"/>
        <v>212</v>
      </c>
      <c r="BD94" s="58">
        <f t="shared" si="14"/>
        <v>8</v>
      </c>
      <c r="BE94" s="58">
        <f t="shared" si="15"/>
        <v>0</v>
      </c>
      <c r="BF94" s="58">
        <f t="shared" si="16"/>
        <v>0</v>
      </c>
      <c r="BG94" s="58">
        <f t="shared" si="17"/>
        <v>0</v>
      </c>
      <c r="BH94" s="58">
        <f t="shared" si="18"/>
        <v>0</v>
      </c>
      <c r="BI94" s="58">
        <f t="shared" si="19"/>
        <v>0</v>
      </c>
      <c r="BJ94" s="58">
        <f t="shared" si="20"/>
        <v>0</v>
      </c>
      <c r="BK94" s="58">
        <f t="shared" si="21"/>
        <v>8</v>
      </c>
    </row>
    <row r="95" spans="1:63" ht="27" customHeight="1">
      <c r="A95" s="13">
        <f t="shared" si="22"/>
        <v>93</v>
      </c>
      <c r="B95" s="14" t="s">
        <v>887</v>
      </c>
      <c r="C95" s="10">
        <v>855</v>
      </c>
      <c r="D95" s="76" t="s">
        <v>888</v>
      </c>
      <c r="E95" s="77">
        <v>130162749</v>
      </c>
      <c r="F95" s="78" t="s">
        <v>889</v>
      </c>
      <c r="G95" s="79" t="s">
        <v>890</v>
      </c>
      <c r="H95" s="15" t="s">
        <v>891</v>
      </c>
      <c r="I95" s="16" t="s">
        <v>892</v>
      </c>
      <c r="J95" s="80" t="s">
        <v>178</v>
      </c>
      <c r="K95" s="24">
        <v>30777</v>
      </c>
      <c r="L95" s="93" t="s">
        <v>179</v>
      </c>
      <c r="M95" s="25">
        <v>42074</v>
      </c>
      <c r="N95" s="25"/>
      <c r="O95" s="17" t="s">
        <v>34</v>
      </c>
      <c r="P95" s="18" t="s">
        <v>512</v>
      </c>
      <c r="Q95" s="18" t="s">
        <v>181</v>
      </c>
      <c r="R95" s="17" t="s">
        <v>182</v>
      </c>
      <c r="S95" s="19" t="s">
        <v>256</v>
      </c>
      <c r="T95" s="22"/>
      <c r="U95" s="22"/>
      <c r="V95" s="21" t="s">
        <v>200</v>
      </c>
      <c r="W95" s="21" t="s">
        <v>184</v>
      </c>
      <c r="X95" s="21">
        <v>3</v>
      </c>
      <c r="Y95" s="77" t="s">
        <v>184</v>
      </c>
      <c r="Z95" s="21"/>
      <c r="AA95" s="86" t="s">
        <v>186</v>
      </c>
      <c r="AB95" s="21"/>
      <c r="AC95" s="122" t="s">
        <v>497</v>
      </c>
      <c r="AD95" s="115" t="s">
        <v>188</v>
      </c>
      <c r="AE95" s="115" t="s">
        <v>188</v>
      </c>
      <c r="AF95" s="115" t="s">
        <v>188</v>
      </c>
      <c r="AG95" s="122"/>
      <c r="AH95" s="59"/>
      <c r="AI95" s="59"/>
      <c r="AJ95" s="21" t="s">
        <v>203</v>
      </c>
      <c r="AK95" s="21" t="s">
        <v>190</v>
      </c>
      <c r="AL95" s="21" t="s">
        <v>190</v>
      </c>
      <c r="AM95" s="174" t="s">
        <v>893</v>
      </c>
      <c r="AN95" s="22">
        <v>182</v>
      </c>
      <c r="AO95" s="22">
        <v>5</v>
      </c>
      <c r="AP95" s="22">
        <v>0</v>
      </c>
      <c r="AQ95" s="22">
        <v>0</v>
      </c>
      <c r="AR95" s="22">
        <v>0</v>
      </c>
      <c r="AS95" s="22">
        <v>7</v>
      </c>
      <c r="AT95" s="22">
        <v>10</v>
      </c>
      <c r="AU95" s="316">
        <f t="shared" si="12"/>
        <v>204</v>
      </c>
      <c r="AV95" s="22">
        <v>190</v>
      </c>
      <c r="AW95" s="22">
        <v>5</v>
      </c>
      <c r="AX95" s="22">
        <v>0</v>
      </c>
      <c r="AY95" s="22">
        <v>0</v>
      </c>
      <c r="AZ95" s="22">
        <v>0</v>
      </c>
      <c r="BA95" s="22">
        <v>7</v>
      </c>
      <c r="BB95" s="22">
        <v>10</v>
      </c>
      <c r="BC95" s="316">
        <f t="shared" si="13"/>
        <v>212</v>
      </c>
      <c r="BD95" s="58">
        <f t="shared" si="14"/>
        <v>8</v>
      </c>
      <c r="BE95" s="58">
        <f t="shared" si="15"/>
        <v>0</v>
      </c>
      <c r="BF95" s="58">
        <f t="shared" si="16"/>
        <v>0</v>
      </c>
      <c r="BG95" s="58">
        <f t="shared" si="17"/>
        <v>0</v>
      </c>
      <c r="BH95" s="58">
        <f t="shared" si="18"/>
        <v>0</v>
      </c>
      <c r="BI95" s="58">
        <f t="shared" si="19"/>
        <v>0</v>
      </c>
      <c r="BJ95" s="58">
        <f t="shared" si="20"/>
        <v>0</v>
      </c>
      <c r="BK95" s="58">
        <f t="shared" si="21"/>
        <v>8</v>
      </c>
    </row>
    <row r="96" spans="1:63" ht="27" customHeight="1">
      <c r="A96" s="13">
        <f t="shared" si="22"/>
        <v>94</v>
      </c>
      <c r="B96" s="14" t="s">
        <v>894</v>
      </c>
      <c r="C96" s="10">
        <v>873</v>
      </c>
      <c r="D96" s="76" t="s">
        <v>895</v>
      </c>
      <c r="E96" s="77">
        <v>130104646</v>
      </c>
      <c r="F96" s="78" t="s">
        <v>896</v>
      </c>
      <c r="G96" s="79" t="s">
        <v>897</v>
      </c>
      <c r="H96" s="15" t="s">
        <v>898</v>
      </c>
      <c r="I96" s="16" t="s">
        <v>899</v>
      </c>
      <c r="J96" s="80" t="s">
        <v>178</v>
      </c>
      <c r="K96" s="24">
        <v>27580</v>
      </c>
      <c r="L96" s="93" t="s">
        <v>179</v>
      </c>
      <c r="M96" s="25">
        <v>42086</v>
      </c>
      <c r="N96" s="25"/>
      <c r="O96" s="17" t="s">
        <v>34</v>
      </c>
      <c r="P96" s="18" t="s">
        <v>301</v>
      </c>
      <c r="Q96" s="18" t="s">
        <v>181</v>
      </c>
      <c r="R96" s="17" t="s">
        <v>182</v>
      </c>
      <c r="S96" s="19" t="s">
        <v>256</v>
      </c>
      <c r="T96" s="22"/>
      <c r="U96" s="22"/>
      <c r="V96" s="21" t="s">
        <v>184</v>
      </c>
      <c r="W96" s="21">
        <v>2600</v>
      </c>
      <c r="X96" s="21">
        <v>8</v>
      </c>
      <c r="Y96" s="77" t="s">
        <v>900</v>
      </c>
      <c r="Z96" s="21"/>
      <c r="AA96" s="86" t="s">
        <v>186</v>
      </c>
      <c r="AB96" s="21"/>
      <c r="AC96" s="122" t="s">
        <v>514</v>
      </c>
      <c r="AD96" s="115"/>
      <c r="AE96" s="122"/>
      <c r="AF96" s="124"/>
      <c r="AG96" s="122"/>
      <c r="AH96" s="59"/>
      <c r="AI96" s="59"/>
      <c r="AJ96" s="21" t="s">
        <v>203</v>
      </c>
      <c r="AK96" s="21" t="s">
        <v>190</v>
      </c>
      <c r="AL96" s="21" t="s">
        <v>190</v>
      </c>
      <c r="AM96" s="174" t="s">
        <v>901</v>
      </c>
      <c r="AN96" s="22">
        <v>182</v>
      </c>
      <c r="AO96" s="22">
        <v>5</v>
      </c>
      <c r="AP96" s="22">
        <v>0</v>
      </c>
      <c r="AQ96" s="22">
        <v>0</v>
      </c>
      <c r="AR96" s="22">
        <v>0</v>
      </c>
      <c r="AS96" s="22">
        <v>7</v>
      </c>
      <c r="AT96" s="22">
        <v>10</v>
      </c>
      <c r="AU96" s="316">
        <f t="shared" si="12"/>
        <v>204</v>
      </c>
      <c r="AV96" s="22">
        <v>190</v>
      </c>
      <c r="AW96" s="22">
        <v>5</v>
      </c>
      <c r="AX96" s="22">
        <v>0</v>
      </c>
      <c r="AY96" s="22">
        <v>0</v>
      </c>
      <c r="AZ96" s="22">
        <v>0</v>
      </c>
      <c r="BA96" s="22">
        <v>7</v>
      </c>
      <c r="BB96" s="22">
        <v>10</v>
      </c>
      <c r="BC96" s="316">
        <f t="shared" si="13"/>
        <v>212</v>
      </c>
      <c r="BD96" s="58">
        <f t="shared" si="14"/>
        <v>8</v>
      </c>
      <c r="BE96" s="58">
        <f t="shared" si="15"/>
        <v>0</v>
      </c>
      <c r="BF96" s="58">
        <f t="shared" si="16"/>
        <v>0</v>
      </c>
      <c r="BG96" s="58">
        <f t="shared" si="17"/>
        <v>0</v>
      </c>
      <c r="BH96" s="58">
        <f t="shared" si="18"/>
        <v>0</v>
      </c>
      <c r="BI96" s="58">
        <f t="shared" si="19"/>
        <v>0</v>
      </c>
      <c r="BJ96" s="58">
        <f t="shared" si="20"/>
        <v>0</v>
      </c>
      <c r="BK96" s="58">
        <f t="shared" si="21"/>
        <v>8</v>
      </c>
    </row>
    <row r="97" spans="1:63" ht="27" customHeight="1">
      <c r="A97" s="13">
        <f t="shared" si="22"/>
        <v>95</v>
      </c>
      <c r="B97" s="14" t="s">
        <v>902</v>
      </c>
      <c r="C97" s="10">
        <v>884</v>
      </c>
      <c r="D97" s="91" t="s">
        <v>903</v>
      </c>
      <c r="E97" s="85">
        <v>110070367</v>
      </c>
      <c r="F97" s="78" t="s">
        <v>904</v>
      </c>
      <c r="G97" s="79" t="s">
        <v>905</v>
      </c>
      <c r="H97" s="15" t="s">
        <v>906</v>
      </c>
      <c r="I97" s="16" t="s">
        <v>907</v>
      </c>
      <c r="J97" s="80" t="s">
        <v>178</v>
      </c>
      <c r="K97" s="24">
        <v>29714</v>
      </c>
      <c r="L97" s="93" t="s">
        <v>179</v>
      </c>
      <c r="M97" s="170">
        <v>42103</v>
      </c>
      <c r="N97" s="170"/>
      <c r="O97" s="17" t="s">
        <v>34</v>
      </c>
      <c r="P97" s="18" t="s">
        <v>386</v>
      </c>
      <c r="Q97" s="18" t="s">
        <v>181</v>
      </c>
      <c r="R97" s="17" t="s">
        <v>182</v>
      </c>
      <c r="S97" s="17" t="s">
        <v>228</v>
      </c>
      <c r="T97" s="22" t="s">
        <v>340</v>
      </c>
      <c r="U97" s="22" t="s">
        <v>908</v>
      </c>
      <c r="V97" s="21" t="s">
        <v>200</v>
      </c>
      <c r="W97" s="21">
        <v>1786</v>
      </c>
      <c r="X97" s="21">
        <v>5</v>
      </c>
      <c r="Y97" s="77" t="s">
        <v>184</v>
      </c>
      <c r="Z97" s="21"/>
      <c r="AA97" s="86" t="s">
        <v>186</v>
      </c>
      <c r="AB97" s="21"/>
      <c r="AC97" s="122" t="s">
        <v>562</v>
      </c>
      <c r="AD97" s="115" t="s">
        <v>188</v>
      </c>
      <c r="AE97" s="122"/>
      <c r="AF97" s="124"/>
      <c r="AG97" s="122"/>
      <c r="AH97" s="59"/>
      <c r="AI97" s="59"/>
      <c r="AJ97" s="21" t="s">
        <v>203</v>
      </c>
      <c r="AK97" s="21" t="s">
        <v>190</v>
      </c>
      <c r="AL97" s="21" t="s">
        <v>190</v>
      </c>
      <c r="AM97" s="174" t="s">
        <v>909</v>
      </c>
      <c r="AN97" s="22">
        <v>182</v>
      </c>
      <c r="AO97" s="22">
        <v>5</v>
      </c>
      <c r="AP97" s="22">
        <v>0</v>
      </c>
      <c r="AQ97" s="22">
        <v>0</v>
      </c>
      <c r="AR97" s="22">
        <v>0</v>
      </c>
      <c r="AS97" s="22">
        <v>7</v>
      </c>
      <c r="AT97" s="22">
        <v>10</v>
      </c>
      <c r="AU97" s="316">
        <f t="shared" si="12"/>
        <v>204</v>
      </c>
      <c r="AV97" s="22">
        <v>190</v>
      </c>
      <c r="AW97" s="22">
        <v>5</v>
      </c>
      <c r="AX97" s="22">
        <v>0</v>
      </c>
      <c r="AY97" s="22">
        <v>0</v>
      </c>
      <c r="AZ97" s="22">
        <v>0</v>
      </c>
      <c r="BA97" s="22">
        <v>7</v>
      </c>
      <c r="BB97" s="22">
        <v>10</v>
      </c>
      <c r="BC97" s="316">
        <f t="shared" si="13"/>
        <v>212</v>
      </c>
      <c r="BD97" s="58">
        <f t="shared" si="14"/>
        <v>8</v>
      </c>
      <c r="BE97" s="58">
        <f t="shared" si="15"/>
        <v>0</v>
      </c>
      <c r="BF97" s="58">
        <f t="shared" si="16"/>
        <v>0</v>
      </c>
      <c r="BG97" s="58">
        <f t="shared" si="17"/>
        <v>0</v>
      </c>
      <c r="BH97" s="58">
        <f t="shared" si="18"/>
        <v>0</v>
      </c>
      <c r="BI97" s="58">
        <f t="shared" si="19"/>
        <v>0</v>
      </c>
      <c r="BJ97" s="58">
        <f t="shared" si="20"/>
        <v>0</v>
      </c>
      <c r="BK97" s="58">
        <f t="shared" si="21"/>
        <v>8</v>
      </c>
    </row>
    <row r="98" spans="1:63" ht="27" customHeight="1">
      <c r="A98" s="13">
        <f t="shared" si="22"/>
        <v>96</v>
      </c>
      <c r="B98" s="14" t="s">
        <v>910</v>
      </c>
      <c r="C98" s="10">
        <v>892</v>
      </c>
      <c r="D98" s="91" t="s">
        <v>911</v>
      </c>
      <c r="E98" s="85" t="s">
        <v>190</v>
      </c>
      <c r="F98" s="78" t="s">
        <v>742</v>
      </c>
      <c r="G98" s="79" t="s">
        <v>912</v>
      </c>
      <c r="H98" s="15" t="s">
        <v>24</v>
      </c>
      <c r="I98" s="16" t="s">
        <v>913</v>
      </c>
      <c r="J98" s="80" t="s">
        <v>178</v>
      </c>
      <c r="K98" s="24">
        <v>34578</v>
      </c>
      <c r="L98" s="93" t="s">
        <v>179</v>
      </c>
      <c r="M98" s="170">
        <v>42116</v>
      </c>
      <c r="N98" s="170"/>
      <c r="O98" s="17" t="s">
        <v>34</v>
      </c>
      <c r="P98" s="18" t="s">
        <v>227</v>
      </c>
      <c r="Q98" s="18" t="s">
        <v>181</v>
      </c>
      <c r="R98" s="17" t="s">
        <v>182</v>
      </c>
      <c r="S98" s="17" t="s">
        <v>228</v>
      </c>
      <c r="T98" s="22"/>
      <c r="U98" s="22"/>
      <c r="V98" s="21" t="s">
        <v>200</v>
      </c>
      <c r="W98" s="21">
        <v>251</v>
      </c>
      <c r="X98" s="21">
        <v>5</v>
      </c>
      <c r="Y98" s="77" t="s">
        <v>184</v>
      </c>
      <c r="Z98" s="86" t="s">
        <v>186</v>
      </c>
      <c r="AA98" s="21"/>
      <c r="AB98" s="21"/>
      <c r="AC98" s="122"/>
      <c r="AD98" s="115"/>
      <c r="AE98" s="122"/>
      <c r="AF98" s="124"/>
      <c r="AG98" s="122"/>
      <c r="AH98" s="59"/>
      <c r="AI98" s="59"/>
      <c r="AJ98" s="21" t="s">
        <v>203</v>
      </c>
      <c r="AK98" s="21" t="s">
        <v>190</v>
      </c>
      <c r="AL98" s="21" t="s">
        <v>190</v>
      </c>
      <c r="AM98" s="174" t="s">
        <v>914</v>
      </c>
      <c r="AN98" s="22">
        <v>182</v>
      </c>
      <c r="AO98" s="22">
        <v>0</v>
      </c>
      <c r="AP98" s="22">
        <v>0</v>
      </c>
      <c r="AQ98" s="22">
        <v>0</v>
      </c>
      <c r="AR98" s="22">
        <v>0</v>
      </c>
      <c r="AS98" s="22">
        <v>7</v>
      </c>
      <c r="AT98" s="22">
        <v>10</v>
      </c>
      <c r="AU98" s="316">
        <f t="shared" si="12"/>
        <v>199</v>
      </c>
      <c r="AV98" s="22">
        <v>190</v>
      </c>
      <c r="AW98" s="22">
        <v>0</v>
      </c>
      <c r="AX98" s="22">
        <v>0</v>
      </c>
      <c r="AY98" s="22">
        <v>0</v>
      </c>
      <c r="AZ98" s="22">
        <v>0</v>
      </c>
      <c r="BA98" s="22">
        <v>7</v>
      </c>
      <c r="BB98" s="22">
        <v>10</v>
      </c>
      <c r="BC98" s="316">
        <f t="shared" si="13"/>
        <v>207</v>
      </c>
      <c r="BD98" s="58">
        <f t="shared" si="14"/>
        <v>8</v>
      </c>
      <c r="BE98" s="58">
        <f t="shared" si="15"/>
        <v>0</v>
      </c>
      <c r="BF98" s="58">
        <f t="shared" si="16"/>
        <v>0</v>
      </c>
      <c r="BG98" s="58">
        <f t="shared" si="17"/>
        <v>0</v>
      </c>
      <c r="BH98" s="58">
        <f t="shared" si="18"/>
        <v>0</v>
      </c>
      <c r="BI98" s="58">
        <f t="shared" si="19"/>
        <v>0</v>
      </c>
      <c r="BJ98" s="58">
        <f t="shared" si="20"/>
        <v>0</v>
      </c>
      <c r="BK98" s="58">
        <f t="shared" si="21"/>
        <v>8</v>
      </c>
    </row>
    <row r="99" spans="1:63" ht="27" customHeight="1">
      <c r="A99" s="13">
        <f t="shared" si="22"/>
        <v>97</v>
      </c>
      <c r="B99" s="14" t="s">
        <v>915</v>
      </c>
      <c r="C99" s="10">
        <v>899</v>
      </c>
      <c r="D99" s="91" t="s">
        <v>916</v>
      </c>
      <c r="E99" s="85">
        <v>110477592</v>
      </c>
      <c r="F99" s="78" t="s">
        <v>482</v>
      </c>
      <c r="G99" s="79" t="s">
        <v>917</v>
      </c>
      <c r="H99" s="15" t="s">
        <v>918</v>
      </c>
      <c r="I99" s="16" t="s">
        <v>919</v>
      </c>
      <c r="J99" s="80" t="s">
        <v>178</v>
      </c>
      <c r="K99" s="24">
        <v>31570</v>
      </c>
      <c r="L99" s="93" t="s">
        <v>179</v>
      </c>
      <c r="M99" s="170">
        <v>42118</v>
      </c>
      <c r="N99" s="170"/>
      <c r="O99" s="17" t="s">
        <v>34</v>
      </c>
      <c r="P99" s="18" t="s">
        <v>348</v>
      </c>
      <c r="Q99" s="18" t="s">
        <v>181</v>
      </c>
      <c r="R99" s="17" t="s">
        <v>182</v>
      </c>
      <c r="S99" s="17" t="s">
        <v>228</v>
      </c>
      <c r="T99" s="22"/>
      <c r="U99" s="22"/>
      <c r="V99" s="21" t="s">
        <v>200</v>
      </c>
      <c r="W99" s="21">
        <v>2830</v>
      </c>
      <c r="X99" s="21">
        <v>4</v>
      </c>
      <c r="Y99" s="77" t="s">
        <v>184</v>
      </c>
      <c r="Z99" s="21"/>
      <c r="AA99" s="86" t="s">
        <v>186</v>
      </c>
      <c r="AB99" s="21"/>
      <c r="AC99" s="122" t="s">
        <v>920</v>
      </c>
      <c r="AD99" s="115" t="s">
        <v>188</v>
      </c>
      <c r="AE99" s="122" t="s">
        <v>563</v>
      </c>
      <c r="AF99" s="124"/>
      <c r="AG99" s="122"/>
      <c r="AH99" s="59"/>
      <c r="AI99" s="59"/>
      <c r="AJ99" s="21" t="s">
        <v>203</v>
      </c>
      <c r="AK99" s="21" t="s">
        <v>190</v>
      </c>
      <c r="AL99" s="21" t="s">
        <v>190</v>
      </c>
      <c r="AM99" s="174" t="s">
        <v>921</v>
      </c>
      <c r="AN99" s="22">
        <v>182</v>
      </c>
      <c r="AO99" s="22">
        <v>5</v>
      </c>
      <c r="AP99" s="22">
        <v>0</v>
      </c>
      <c r="AQ99" s="22">
        <v>0</v>
      </c>
      <c r="AR99" s="22">
        <v>0</v>
      </c>
      <c r="AS99" s="22">
        <v>7</v>
      </c>
      <c r="AT99" s="22">
        <v>10</v>
      </c>
      <c r="AU99" s="316">
        <f t="shared" si="12"/>
        <v>204</v>
      </c>
      <c r="AV99" s="22">
        <v>190</v>
      </c>
      <c r="AW99" s="22">
        <v>5</v>
      </c>
      <c r="AX99" s="22">
        <v>0</v>
      </c>
      <c r="AY99" s="22">
        <v>0</v>
      </c>
      <c r="AZ99" s="22">
        <v>0</v>
      </c>
      <c r="BA99" s="22">
        <v>7</v>
      </c>
      <c r="BB99" s="22">
        <v>10</v>
      </c>
      <c r="BC99" s="316">
        <f t="shared" si="13"/>
        <v>212</v>
      </c>
      <c r="BD99" s="58">
        <f t="shared" si="14"/>
        <v>8</v>
      </c>
      <c r="BE99" s="58">
        <f t="shared" si="15"/>
        <v>0</v>
      </c>
      <c r="BF99" s="58">
        <f t="shared" si="16"/>
        <v>0</v>
      </c>
      <c r="BG99" s="58">
        <f t="shared" si="17"/>
        <v>0</v>
      </c>
      <c r="BH99" s="58">
        <f t="shared" si="18"/>
        <v>0</v>
      </c>
      <c r="BI99" s="58">
        <f t="shared" si="19"/>
        <v>0</v>
      </c>
      <c r="BJ99" s="58">
        <f t="shared" si="20"/>
        <v>0</v>
      </c>
      <c r="BK99" s="58">
        <f t="shared" si="21"/>
        <v>8</v>
      </c>
    </row>
    <row r="100" spans="1:63" ht="27" customHeight="1">
      <c r="A100" s="13">
        <f t="shared" si="22"/>
        <v>98</v>
      </c>
      <c r="B100" s="14" t="s">
        <v>922</v>
      </c>
      <c r="C100" s="10">
        <v>906</v>
      </c>
      <c r="D100" s="91" t="s">
        <v>923</v>
      </c>
      <c r="E100" s="85">
        <v>110376372</v>
      </c>
      <c r="F100" s="78" t="s">
        <v>924</v>
      </c>
      <c r="G100" s="79" t="s">
        <v>925</v>
      </c>
      <c r="H100" s="15" t="s">
        <v>926</v>
      </c>
      <c r="I100" s="16" t="s">
        <v>927</v>
      </c>
      <c r="J100" s="80" t="s">
        <v>178</v>
      </c>
      <c r="K100" s="24">
        <v>33857</v>
      </c>
      <c r="L100" s="93" t="s">
        <v>179</v>
      </c>
      <c r="M100" s="170">
        <v>42119</v>
      </c>
      <c r="N100" s="170"/>
      <c r="O100" s="17" t="s">
        <v>26</v>
      </c>
      <c r="P100" s="18" t="s">
        <v>27</v>
      </c>
      <c r="Q100" s="18" t="s">
        <v>181</v>
      </c>
      <c r="R100" s="17" t="s">
        <v>182</v>
      </c>
      <c r="S100" s="17" t="s">
        <v>228</v>
      </c>
      <c r="T100" s="22"/>
      <c r="U100" s="22"/>
      <c r="V100" s="21" t="s">
        <v>200</v>
      </c>
      <c r="W100" s="21">
        <v>4182</v>
      </c>
      <c r="X100" s="21">
        <v>8</v>
      </c>
      <c r="Y100" s="77" t="s">
        <v>928</v>
      </c>
      <c r="Z100" s="21"/>
      <c r="AA100" s="86" t="s">
        <v>186</v>
      </c>
      <c r="AB100" s="21"/>
      <c r="AC100" s="122" t="s">
        <v>929</v>
      </c>
      <c r="AD100" s="115"/>
      <c r="AE100" s="122"/>
      <c r="AF100" s="124"/>
      <c r="AG100" s="122"/>
      <c r="AH100" s="59"/>
      <c r="AI100" s="59"/>
      <c r="AJ100" s="21" t="s">
        <v>203</v>
      </c>
      <c r="AK100" s="21" t="s">
        <v>190</v>
      </c>
      <c r="AL100" s="21" t="s">
        <v>190</v>
      </c>
      <c r="AM100" s="174" t="s">
        <v>921</v>
      </c>
      <c r="AN100" s="22">
        <v>182</v>
      </c>
      <c r="AO100" s="22">
        <v>5</v>
      </c>
      <c r="AP100" s="22">
        <v>0</v>
      </c>
      <c r="AQ100" s="22">
        <v>0</v>
      </c>
      <c r="AR100" s="22">
        <v>0</v>
      </c>
      <c r="AS100" s="22">
        <v>7</v>
      </c>
      <c r="AT100" s="22">
        <v>10</v>
      </c>
      <c r="AU100" s="316">
        <f t="shared" si="12"/>
        <v>204</v>
      </c>
      <c r="AV100" s="22">
        <v>190</v>
      </c>
      <c r="AW100" s="22">
        <v>5</v>
      </c>
      <c r="AX100" s="22">
        <v>0</v>
      </c>
      <c r="AY100" s="22">
        <v>0</v>
      </c>
      <c r="AZ100" s="22">
        <v>0</v>
      </c>
      <c r="BA100" s="22">
        <v>7</v>
      </c>
      <c r="BB100" s="22">
        <v>10</v>
      </c>
      <c r="BC100" s="316">
        <f t="shared" si="13"/>
        <v>212</v>
      </c>
      <c r="BD100" s="58">
        <f t="shared" si="14"/>
        <v>8</v>
      </c>
      <c r="BE100" s="58">
        <f t="shared" si="15"/>
        <v>0</v>
      </c>
      <c r="BF100" s="58">
        <f t="shared" si="16"/>
        <v>0</v>
      </c>
      <c r="BG100" s="58">
        <f t="shared" si="17"/>
        <v>0</v>
      </c>
      <c r="BH100" s="58">
        <f t="shared" si="18"/>
        <v>0</v>
      </c>
      <c r="BI100" s="58">
        <f t="shared" si="19"/>
        <v>0</v>
      </c>
      <c r="BJ100" s="58">
        <f t="shared" si="20"/>
        <v>0</v>
      </c>
      <c r="BK100" s="58">
        <f t="shared" si="21"/>
        <v>8</v>
      </c>
    </row>
    <row r="101" spans="1:63" ht="27" customHeight="1">
      <c r="A101" s="13">
        <f t="shared" si="22"/>
        <v>99</v>
      </c>
      <c r="B101" s="14" t="s">
        <v>930</v>
      </c>
      <c r="C101" s="10">
        <v>909</v>
      </c>
      <c r="D101" s="76" t="s">
        <v>931</v>
      </c>
      <c r="E101" s="77">
        <v>90324203</v>
      </c>
      <c r="F101" s="78" t="s">
        <v>932</v>
      </c>
      <c r="G101" s="79" t="s">
        <v>933</v>
      </c>
      <c r="H101" s="15" t="s">
        <v>934</v>
      </c>
      <c r="I101" s="16" t="s">
        <v>935</v>
      </c>
      <c r="J101" s="80" t="s">
        <v>178</v>
      </c>
      <c r="K101" s="24">
        <v>31851</v>
      </c>
      <c r="L101" s="82" t="s">
        <v>179</v>
      </c>
      <c r="M101" s="25">
        <v>42122</v>
      </c>
      <c r="N101" s="25"/>
      <c r="O101" s="17" t="s">
        <v>34</v>
      </c>
      <c r="P101" s="18" t="s">
        <v>318</v>
      </c>
      <c r="Q101" s="18" t="s">
        <v>249</v>
      </c>
      <c r="R101" s="17" t="s">
        <v>182</v>
      </c>
      <c r="S101" s="17" t="s">
        <v>727</v>
      </c>
      <c r="T101" s="22"/>
      <c r="U101" s="22"/>
      <c r="V101" s="21" t="s">
        <v>184</v>
      </c>
      <c r="W101" s="21" t="s">
        <v>200</v>
      </c>
      <c r="X101" s="21">
        <v>9</v>
      </c>
      <c r="Y101" s="77" t="s">
        <v>936</v>
      </c>
      <c r="Z101" s="86" t="s">
        <v>186</v>
      </c>
      <c r="AA101" s="21"/>
      <c r="AB101" s="21"/>
      <c r="AC101" s="122"/>
      <c r="AD101" s="115"/>
      <c r="AE101" s="122"/>
      <c r="AF101" s="124"/>
      <c r="AG101" s="122"/>
      <c r="AH101" s="59"/>
      <c r="AI101" s="59"/>
      <c r="AJ101" s="21" t="s">
        <v>203</v>
      </c>
      <c r="AK101" s="21" t="s">
        <v>190</v>
      </c>
      <c r="AL101" s="21" t="s">
        <v>190</v>
      </c>
      <c r="AM101" s="174" t="s">
        <v>937</v>
      </c>
      <c r="AN101" s="22">
        <v>182</v>
      </c>
      <c r="AO101" s="22">
        <v>5</v>
      </c>
      <c r="AP101" s="22">
        <v>20</v>
      </c>
      <c r="AQ101" s="22">
        <v>10</v>
      </c>
      <c r="AR101" s="22">
        <v>0</v>
      </c>
      <c r="AS101" s="22">
        <v>7</v>
      </c>
      <c r="AT101" s="22">
        <v>10</v>
      </c>
      <c r="AU101" s="316">
        <f t="shared" si="12"/>
        <v>234</v>
      </c>
      <c r="AV101" s="22">
        <v>190</v>
      </c>
      <c r="AW101" s="22">
        <v>5</v>
      </c>
      <c r="AX101" s="22">
        <v>20</v>
      </c>
      <c r="AY101" s="22">
        <v>10</v>
      </c>
      <c r="AZ101" s="22">
        <v>0</v>
      </c>
      <c r="BA101" s="22">
        <v>7</v>
      </c>
      <c r="BB101" s="22">
        <v>10</v>
      </c>
      <c r="BC101" s="316">
        <f t="shared" si="13"/>
        <v>242</v>
      </c>
      <c r="BD101" s="58">
        <f t="shared" si="14"/>
        <v>8</v>
      </c>
      <c r="BE101" s="58">
        <f t="shared" si="15"/>
        <v>0</v>
      </c>
      <c r="BF101" s="58">
        <f t="shared" si="16"/>
        <v>0</v>
      </c>
      <c r="BG101" s="58">
        <f t="shared" si="17"/>
        <v>0</v>
      </c>
      <c r="BH101" s="58">
        <f t="shared" si="18"/>
        <v>0</v>
      </c>
      <c r="BI101" s="58">
        <f t="shared" si="19"/>
        <v>0</v>
      </c>
      <c r="BJ101" s="58">
        <f t="shared" si="20"/>
        <v>0</v>
      </c>
      <c r="BK101" s="58">
        <f t="shared" si="21"/>
        <v>8</v>
      </c>
    </row>
    <row r="102" spans="1:63" ht="27" customHeight="1">
      <c r="A102" s="13">
        <f t="shared" si="22"/>
        <v>100</v>
      </c>
      <c r="B102" s="14" t="s">
        <v>938</v>
      </c>
      <c r="C102" s="10">
        <v>946</v>
      </c>
      <c r="D102" s="76" t="s">
        <v>939</v>
      </c>
      <c r="E102" s="77">
        <v>130150056</v>
      </c>
      <c r="F102" s="78" t="s">
        <v>940</v>
      </c>
      <c r="G102" s="79" t="s">
        <v>941</v>
      </c>
      <c r="H102" s="15" t="s">
        <v>942</v>
      </c>
      <c r="I102" s="16" t="s">
        <v>943</v>
      </c>
      <c r="J102" s="80" t="s">
        <v>178</v>
      </c>
      <c r="K102" s="24">
        <v>29322</v>
      </c>
      <c r="L102" s="82" t="s">
        <v>179</v>
      </c>
      <c r="M102" s="25">
        <v>42136</v>
      </c>
      <c r="N102" s="25"/>
      <c r="O102" s="17" t="s">
        <v>34</v>
      </c>
      <c r="P102" s="18" t="s">
        <v>348</v>
      </c>
      <c r="Q102" s="18" t="s">
        <v>181</v>
      </c>
      <c r="R102" s="17" t="s">
        <v>182</v>
      </c>
      <c r="S102" s="19" t="s">
        <v>183</v>
      </c>
      <c r="T102" s="22"/>
      <c r="U102" s="22"/>
      <c r="V102" s="21" t="s">
        <v>200</v>
      </c>
      <c r="W102" s="21" t="s">
        <v>184</v>
      </c>
      <c r="X102" s="21">
        <v>8</v>
      </c>
      <c r="Y102" s="77"/>
      <c r="Z102" s="86" t="s">
        <v>186</v>
      </c>
      <c r="AA102" s="21"/>
      <c r="AB102" s="21"/>
      <c r="AC102" s="122"/>
      <c r="AD102" s="115"/>
      <c r="AE102" s="122"/>
      <c r="AF102" s="124"/>
      <c r="AG102" s="122"/>
      <c r="AH102" s="59"/>
      <c r="AI102" s="59"/>
      <c r="AJ102" s="21" t="s">
        <v>203</v>
      </c>
      <c r="AK102" s="21" t="s">
        <v>190</v>
      </c>
      <c r="AL102" s="21" t="s">
        <v>190</v>
      </c>
      <c r="AM102" s="174" t="s">
        <v>944</v>
      </c>
      <c r="AN102" s="22">
        <v>182</v>
      </c>
      <c r="AO102" s="22">
        <v>5</v>
      </c>
      <c r="AP102" s="22">
        <v>0</v>
      </c>
      <c r="AQ102" s="22">
        <v>0</v>
      </c>
      <c r="AR102" s="22">
        <v>0</v>
      </c>
      <c r="AS102" s="22">
        <v>7</v>
      </c>
      <c r="AT102" s="22">
        <v>10</v>
      </c>
      <c r="AU102" s="316">
        <f t="shared" si="12"/>
        <v>204</v>
      </c>
      <c r="AV102" s="22">
        <v>190</v>
      </c>
      <c r="AW102" s="22">
        <v>5</v>
      </c>
      <c r="AX102" s="22">
        <v>0</v>
      </c>
      <c r="AY102" s="22">
        <v>0</v>
      </c>
      <c r="AZ102" s="22">
        <v>0</v>
      </c>
      <c r="BA102" s="22">
        <v>7</v>
      </c>
      <c r="BB102" s="22">
        <v>10</v>
      </c>
      <c r="BC102" s="316">
        <f t="shared" si="13"/>
        <v>212</v>
      </c>
      <c r="BD102" s="58">
        <f t="shared" si="14"/>
        <v>8</v>
      </c>
      <c r="BE102" s="58">
        <f t="shared" si="15"/>
        <v>0</v>
      </c>
      <c r="BF102" s="58">
        <f t="shared" si="16"/>
        <v>0</v>
      </c>
      <c r="BG102" s="58">
        <f t="shared" si="17"/>
        <v>0</v>
      </c>
      <c r="BH102" s="58">
        <f t="shared" si="18"/>
        <v>0</v>
      </c>
      <c r="BI102" s="58">
        <f t="shared" si="19"/>
        <v>0</v>
      </c>
      <c r="BJ102" s="58">
        <f t="shared" si="20"/>
        <v>0</v>
      </c>
      <c r="BK102" s="58">
        <f t="shared" si="21"/>
        <v>8</v>
      </c>
    </row>
    <row r="103" spans="1:63" ht="27" customHeight="1">
      <c r="A103" s="13">
        <f t="shared" si="22"/>
        <v>101</v>
      </c>
      <c r="B103" s="14" t="s">
        <v>945</v>
      </c>
      <c r="C103" s="10">
        <v>947</v>
      </c>
      <c r="D103" s="76" t="s">
        <v>946</v>
      </c>
      <c r="E103" s="77">
        <v>50472909</v>
      </c>
      <c r="F103" s="78" t="s">
        <v>947</v>
      </c>
      <c r="G103" s="79" t="s">
        <v>948</v>
      </c>
      <c r="H103" s="15" t="s">
        <v>949</v>
      </c>
      <c r="I103" s="16" t="s">
        <v>950</v>
      </c>
      <c r="J103" s="80" t="s">
        <v>178</v>
      </c>
      <c r="K103" s="24">
        <v>31827</v>
      </c>
      <c r="L103" s="82" t="s">
        <v>179</v>
      </c>
      <c r="M103" s="25">
        <v>42136</v>
      </c>
      <c r="N103" s="25"/>
      <c r="O103" s="17" t="s">
        <v>34</v>
      </c>
      <c r="P103" s="18" t="s">
        <v>348</v>
      </c>
      <c r="Q103" s="18" t="s">
        <v>181</v>
      </c>
      <c r="R103" s="17" t="s">
        <v>182</v>
      </c>
      <c r="S103" s="13" t="s">
        <v>219</v>
      </c>
      <c r="T103" s="22"/>
      <c r="U103" s="22"/>
      <c r="V103" s="21" t="s">
        <v>200</v>
      </c>
      <c r="W103" s="21" t="s">
        <v>184</v>
      </c>
      <c r="X103" s="21">
        <v>7</v>
      </c>
      <c r="Y103" s="77" t="s">
        <v>951</v>
      </c>
      <c r="Z103" s="21"/>
      <c r="AA103" s="86" t="s">
        <v>186</v>
      </c>
      <c r="AB103" s="21"/>
      <c r="AC103" s="122" t="s">
        <v>514</v>
      </c>
      <c r="AD103" s="115"/>
      <c r="AE103" s="122"/>
      <c r="AF103" s="124"/>
      <c r="AG103" s="122"/>
      <c r="AH103" s="59"/>
      <c r="AI103" s="59"/>
      <c r="AJ103" s="21" t="s">
        <v>203</v>
      </c>
      <c r="AK103" s="21" t="s">
        <v>190</v>
      </c>
      <c r="AL103" s="21" t="s">
        <v>190</v>
      </c>
      <c r="AM103" s="174" t="s">
        <v>952</v>
      </c>
      <c r="AN103" s="22">
        <v>182</v>
      </c>
      <c r="AO103" s="22">
        <v>5</v>
      </c>
      <c r="AP103" s="22">
        <v>0</v>
      </c>
      <c r="AQ103" s="22">
        <v>0</v>
      </c>
      <c r="AR103" s="22">
        <v>0</v>
      </c>
      <c r="AS103" s="22">
        <v>7</v>
      </c>
      <c r="AT103" s="22">
        <v>10</v>
      </c>
      <c r="AU103" s="316">
        <f t="shared" si="12"/>
        <v>204</v>
      </c>
      <c r="AV103" s="22">
        <v>190</v>
      </c>
      <c r="AW103" s="22">
        <v>5</v>
      </c>
      <c r="AX103" s="22">
        <v>0</v>
      </c>
      <c r="AY103" s="22">
        <v>0</v>
      </c>
      <c r="AZ103" s="22">
        <v>0</v>
      </c>
      <c r="BA103" s="22">
        <v>7</v>
      </c>
      <c r="BB103" s="22">
        <v>10</v>
      </c>
      <c r="BC103" s="316">
        <f t="shared" si="13"/>
        <v>212</v>
      </c>
      <c r="BD103" s="58">
        <f t="shared" si="14"/>
        <v>8</v>
      </c>
      <c r="BE103" s="58">
        <f t="shared" si="15"/>
        <v>0</v>
      </c>
      <c r="BF103" s="58">
        <f t="shared" si="16"/>
        <v>0</v>
      </c>
      <c r="BG103" s="58">
        <f t="shared" si="17"/>
        <v>0</v>
      </c>
      <c r="BH103" s="58">
        <f t="shared" si="18"/>
        <v>0</v>
      </c>
      <c r="BI103" s="58">
        <f t="shared" si="19"/>
        <v>0</v>
      </c>
      <c r="BJ103" s="58">
        <f t="shared" si="20"/>
        <v>0</v>
      </c>
      <c r="BK103" s="58">
        <f t="shared" si="21"/>
        <v>8</v>
      </c>
    </row>
    <row r="104" spans="1:63" ht="27" customHeight="1">
      <c r="A104" s="13">
        <f t="shared" si="22"/>
        <v>102</v>
      </c>
      <c r="B104" s="14" t="s">
        <v>953</v>
      </c>
      <c r="C104" s="10">
        <v>919</v>
      </c>
      <c r="D104" s="76" t="s">
        <v>954</v>
      </c>
      <c r="E104" s="77">
        <v>50106240</v>
      </c>
      <c r="F104" s="78" t="s">
        <v>955</v>
      </c>
      <c r="G104" s="79" t="s">
        <v>956</v>
      </c>
      <c r="H104" s="15" t="s">
        <v>957</v>
      </c>
      <c r="I104" s="16" t="s">
        <v>958</v>
      </c>
      <c r="J104" s="80" t="s">
        <v>178</v>
      </c>
      <c r="K104" s="24">
        <v>30471</v>
      </c>
      <c r="L104" s="82" t="s">
        <v>179</v>
      </c>
      <c r="M104" s="25">
        <v>42129</v>
      </c>
      <c r="N104" s="25"/>
      <c r="O104" s="17" t="s">
        <v>34</v>
      </c>
      <c r="P104" s="18" t="s">
        <v>227</v>
      </c>
      <c r="Q104" s="18" t="s">
        <v>181</v>
      </c>
      <c r="R104" s="17" t="s">
        <v>182</v>
      </c>
      <c r="S104" s="13" t="s">
        <v>219</v>
      </c>
      <c r="T104" s="22"/>
      <c r="U104" s="22"/>
      <c r="V104" s="21" t="s">
        <v>200</v>
      </c>
      <c r="W104" s="21" t="s">
        <v>184</v>
      </c>
      <c r="X104" s="21">
        <v>7</v>
      </c>
      <c r="Y104" s="77"/>
      <c r="Z104" s="21"/>
      <c r="AA104" s="86" t="s">
        <v>186</v>
      </c>
      <c r="AB104" s="21"/>
      <c r="AC104" s="122" t="s">
        <v>959</v>
      </c>
      <c r="AD104" s="115" t="s">
        <v>188</v>
      </c>
      <c r="AE104" s="115" t="s">
        <v>188</v>
      </c>
      <c r="AF104" s="124"/>
      <c r="AG104" s="122"/>
      <c r="AH104" s="59"/>
      <c r="AI104" s="59"/>
      <c r="AJ104" s="21" t="s">
        <v>203</v>
      </c>
      <c r="AK104" s="21" t="s">
        <v>190</v>
      </c>
      <c r="AL104" s="21" t="s">
        <v>190</v>
      </c>
      <c r="AM104" s="174" t="s">
        <v>960</v>
      </c>
      <c r="AN104" s="22">
        <v>182</v>
      </c>
      <c r="AO104" s="22">
        <v>5</v>
      </c>
      <c r="AP104" s="22">
        <v>0</v>
      </c>
      <c r="AQ104" s="22">
        <v>0</v>
      </c>
      <c r="AR104" s="22">
        <v>0</v>
      </c>
      <c r="AS104" s="22">
        <v>7</v>
      </c>
      <c r="AT104" s="22">
        <v>10</v>
      </c>
      <c r="AU104" s="316">
        <f t="shared" si="12"/>
        <v>204</v>
      </c>
      <c r="AV104" s="22">
        <v>190</v>
      </c>
      <c r="AW104" s="22">
        <v>5</v>
      </c>
      <c r="AX104" s="22">
        <v>0</v>
      </c>
      <c r="AY104" s="22">
        <v>0</v>
      </c>
      <c r="AZ104" s="22">
        <v>0</v>
      </c>
      <c r="BA104" s="22">
        <v>7</v>
      </c>
      <c r="BB104" s="22">
        <v>10</v>
      </c>
      <c r="BC104" s="316">
        <f t="shared" si="13"/>
        <v>212</v>
      </c>
      <c r="BD104" s="58">
        <f t="shared" si="14"/>
        <v>8</v>
      </c>
      <c r="BE104" s="58">
        <f t="shared" si="15"/>
        <v>0</v>
      </c>
      <c r="BF104" s="58">
        <f t="shared" si="16"/>
        <v>0</v>
      </c>
      <c r="BG104" s="58">
        <f t="shared" si="17"/>
        <v>0</v>
      </c>
      <c r="BH104" s="58">
        <f t="shared" si="18"/>
        <v>0</v>
      </c>
      <c r="BI104" s="58">
        <f t="shared" si="19"/>
        <v>0</v>
      </c>
      <c r="BJ104" s="58">
        <f t="shared" si="20"/>
        <v>0</v>
      </c>
      <c r="BK104" s="58">
        <f t="shared" si="21"/>
        <v>8</v>
      </c>
    </row>
    <row r="105" spans="1:63" ht="27" customHeight="1">
      <c r="A105" s="13">
        <f t="shared" si="22"/>
        <v>103</v>
      </c>
      <c r="B105" s="14" t="s">
        <v>961</v>
      </c>
      <c r="C105" s="10">
        <v>929</v>
      </c>
      <c r="D105" s="119" t="s">
        <v>962</v>
      </c>
      <c r="E105" s="77" t="s">
        <v>190</v>
      </c>
      <c r="F105" s="78" t="s">
        <v>963</v>
      </c>
      <c r="G105" s="79" t="s">
        <v>724</v>
      </c>
      <c r="H105" s="15" t="s">
        <v>964</v>
      </c>
      <c r="I105" s="27" t="s">
        <v>726</v>
      </c>
      <c r="J105" s="98" t="s">
        <v>178</v>
      </c>
      <c r="K105" s="28">
        <v>31396</v>
      </c>
      <c r="L105" s="82" t="s">
        <v>179</v>
      </c>
      <c r="M105" s="25">
        <v>42130</v>
      </c>
      <c r="N105" s="25"/>
      <c r="O105" s="17" t="s">
        <v>34</v>
      </c>
      <c r="P105" s="18" t="s">
        <v>604</v>
      </c>
      <c r="Q105" s="18" t="s">
        <v>181</v>
      </c>
      <c r="R105" s="17" t="s">
        <v>182</v>
      </c>
      <c r="S105" s="19" t="s">
        <v>256</v>
      </c>
      <c r="T105" s="22"/>
      <c r="U105" s="22"/>
      <c r="V105" s="21" t="s">
        <v>200</v>
      </c>
      <c r="W105" s="21">
        <v>2735</v>
      </c>
      <c r="X105" s="21">
        <v>3</v>
      </c>
      <c r="Y105" s="77"/>
      <c r="Z105" s="86" t="s">
        <v>186</v>
      </c>
      <c r="AA105" s="21"/>
      <c r="AB105" s="21"/>
      <c r="AC105" s="122"/>
      <c r="AD105" s="115"/>
      <c r="AE105" s="122"/>
      <c r="AF105" s="124"/>
      <c r="AG105" s="122"/>
      <c r="AH105" s="59"/>
      <c r="AI105" s="59"/>
      <c r="AJ105" s="21" t="s">
        <v>203</v>
      </c>
      <c r="AK105" s="21" t="s">
        <v>190</v>
      </c>
      <c r="AL105" s="21" t="s">
        <v>190</v>
      </c>
      <c r="AM105" s="174" t="s">
        <v>965</v>
      </c>
      <c r="AN105" s="22">
        <v>182</v>
      </c>
      <c r="AO105" s="22">
        <v>5</v>
      </c>
      <c r="AP105" s="22">
        <v>0</v>
      </c>
      <c r="AQ105" s="22">
        <v>0</v>
      </c>
      <c r="AR105" s="22">
        <v>0</v>
      </c>
      <c r="AS105" s="22">
        <v>7</v>
      </c>
      <c r="AT105" s="22">
        <v>10</v>
      </c>
      <c r="AU105" s="316">
        <f t="shared" si="12"/>
        <v>204</v>
      </c>
      <c r="AV105" s="22">
        <v>190</v>
      </c>
      <c r="AW105" s="22">
        <v>5</v>
      </c>
      <c r="AX105" s="22">
        <v>0</v>
      </c>
      <c r="AY105" s="22">
        <v>0</v>
      </c>
      <c r="AZ105" s="22">
        <v>0</v>
      </c>
      <c r="BA105" s="22">
        <v>7</v>
      </c>
      <c r="BB105" s="22">
        <v>10</v>
      </c>
      <c r="BC105" s="316">
        <f t="shared" si="13"/>
        <v>212</v>
      </c>
      <c r="BD105" s="58">
        <f t="shared" si="14"/>
        <v>8</v>
      </c>
      <c r="BE105" s="58">
        <f t="shared" si="15"/>
        <v>0</v>
      </c>
      <c r="BF105" s="58">
        <f t="shared" si="16"/>
        <v>0</v>
      </c>
      <c r="BG105" s="58">
        <f t="shared" si="17"/>
        <v>0</v>
      </c>
      <c r="BH105" s="58">
        <f t="shared" si="18"/>
        <v>0</v>
      </c>
      <c r="BI105" s="58">
        <f t="shared" si="19"/>
        <v>0</v>
      </c>
      <c r="BJ105" s="58">
        <f t="shared" si="20"/>
        <v>0</v>
      </c>
      <c r="BK105" s="58">
        <f t="shared" si="21"/>
        <v>8</v>
      </c>
    </row>
    <row r="106" spans="1:63" ht="27" customHeight="1">
      <c r="A106" s="13">
        <f t="shared" si="22"/>
        <v>104</v>
      </c>
      <c r="B106" s="14" t="s">
        <v>966</v>
      </c>
      <c r="C106" s="10">
        <v>925</v>
      </c>
      <c r="D106" s="76" t="s">
        <v>967</v>
      </c>
      <c r="E106" s="77">
        <v>51021080</v>
      </c>
      <c r="F106" s="106" t="s">
        <v>968</v>
      </c>
      <c r="G106" s="107" t="s">
        <v>969</v>
      </c>
      <c r="H106" s="26" t="s">
        <v>970</v>
      </c>
      <c r="I106" s="27" t="s">
        <v>971</v>
      </c>
      <c r="J106" s="98" t="s">
        <v>178</v>
      </c>
      <c r="K106" s="28">
        <v>31587</v>
      </c>
      <c r="L106" s="82" t="s">
        <v>179</v>
      </c>
      <c r="M106" s="25">
        <v>42129</v>
      </c>
      <c r="N106" s="25"/>
      <c r="O106" s="17" t="s">
        <v>34</v>
      </c>
      <c r="P106" s="18" t="s">
        <v>512</v>
      </c>
      <c r="Q106" s="18" t="s">
        <v>181</v>
      </c>
      <c r="R106" s="17" t="s">
        <v>182</v>
      </c>
      <c r="S106" s="13" t="s">
        <v>219</v>
      </c>
      <c r="T106" s="22"/>
      <c r="U106" s="22"/>
      <c r="V106" s="21" t="s">
        <v>200</v>
      </c>
      <c r="W106" s="21" t="s">
        <v>184</v>
      </c>
      <c r="X106" s="21">
        <v>5</v>
      </c>
      <c r="Y106" s="77" t="s">
        <v>972</v>
      </c>
      <c r="Z106" s="21"/>
      <c r="AA106" s="86" t="s">
        <v>186</v>
      </c>
      <c r="AB106" s="21"/>
      <c r="AC106" s="122" t="s">
        <v>973</v>
      </c>
      <c r="AD106" s="115" t="s">
        <v>188</v>
      </c>
      <c r="AE106" s="122"/>
      <c r="AF106" s="124"/>
      <c r="AG106" s="122"/>
      <c r="AH106" s="59"/>
      <c r="AI106" s="59"/>
      <c r="AJ106" s="21" t="s">
        <v>203</v>
      </c>
      <c r="AK106" s="21" t="s">
        <v>190</v>
      </c>
      <c r="AL106" s="21" t="s">
        <v>190</v>
      </c>
      <c r="AM106" s="174" t="s">
        <v>965</v>
      </c>
      <c r="AN106" s="22">
        <v>182</v>
      </c>
      <c r="AO106" s="22">
        <v>0</v>
      </c>
      <c r="AP106" s="22">
        <v>0</v>
      </c>
      <c r="AQ106" s="22">
        <v>0</v>
      </c>
      <c r="AR106" s="22">
        <v>0</v>
      </c>
      <c r="AS106" s="22">
        <v>7</v>
      </c>
      <c r="AT106" s="22">
        <v>10</v>
      </c>
      <c r="AU106" s="316">
        <f t="shared" si="12"/>
        <v>199</v>
      </c>
      <c r="AV106" s="22">
        <v>190</v>
      </c>
      <c r="AW106" s="22">
        <v>0</v>
      </c>
      <c r="AX106" s="22">
        <v>0</v>
      </c>
      <c r="AY106" s="22">
        <v>0</v>
      </c>
      <c r="AZ106" s="22">
        <v>0</v>
      </c>
      <c r="BA106" s="22">
        <v>7</v>
      </c>
      <c r="BB106" s="22">
        <v>10</v>
      </c>
      <c r="BC106" s="316">
        <f t="shared" si="13"/>
        <v>207</v>
      </c>
      <c r="BD106" s="58">
        <f t="shared" si="14"/>
        <v>8</v>
      </c>
      <c r="BE106" s="58">
        <f t="shared" si="15"/>
        <v>0</v>
      </c>
      <c r="BF106" s="58">
        <f t="shared" si="16"/>
        <v>0</v>
      </c>
      <c r="BG106" s="58">
        <f t="shared" si="17"/>
        <v>0</v>
      </c>
      <c r="BH106" s="58">
        <f t="shared" si="18"/>
        <v>0</v>
      </c>
      <c r="BI106" s="58">
        <f t="shared" si="19"/>
        <v>0</v>
      </c>
      <c r="BJ106" s="58">
        <f t="shared" si="20"/>
        <v>0</v>
      </c>
      <c r="BK106" s="58">
        <f t="shared" si="21"/>
        <v>8</v>
      </c>
    </row>
    <row r="107" spans="1:63" ht="27" customHeight="1">
      <c r="A107" s="13">
        <f t="shared" si="22"/>
        <v>105</v>
      </c>
      <c r="B107" s="14" t="s">
        <v>974</v>
      </c>
      <c r="C107" s="10">
        <v>933</v>
      </c>
      <c r="D107" s="76" t="s">
        <v>975</v>
      </c>
      <c r="E107" s="77">
        <v>130178007</v>
      </c>
      <c r="F107" s="106" t="s">
        <v>742</v>
      </c>
      <c r="G107" s="107" t="s">
        <v>976</v>
      </c>
      <c r="H107" s="26" t="s">
        <v>24</v>
      </c>
      <c r="I107" s="27" t="s">
        <v>977</v>
      </c>
      <c r="J107" s="98" t="s">
        <v>178</v>
      </c>
      <c r="K107" s="28">
        <v>29692</v>
      </c>
      <c r="L107" s="82" t="s">
        <v>179</v>
      </c>
      <c r="M107" s="25">
        <v>42130</v>
      </c>
      <c r="N107" s="25"/>
      <c r="O107" s="17" t="s">
        <v>34</v>
      </c>
      <c r="P107" s="18" t="s">
        <v>282</v>
      </c>
      <c r="Q107" s="18" t="s">
        <v>249</v>
      </c>
      <c r="R107" s="17" t="s">
        <v>182</v>
      </c>
      <c r="S107" s="19" t="s">
        <v>211</v>
      </c>
      <c r="T107" s="22"/>
      <c r="U107" s="22"/>
      <c r="V107" s="21" t="s">
        <v>200</v>
      </c>
      <c r="W107" s="21">
        <v>424</v>
      </c>
      <c r="X107" s="21">
        <v>1</v>
      </c>
      <c r="Y107" s="77" t="s">
        <v>978</v>
      </c>
      <c r="Z107" s="21"/>
      <c r="AA107" s="86" t="s">
        <v>186</v>
      </c>
      <c r="AB107" s="21"/>
      <c r="AC107" s="122" t="s">
        <v>959</v>
      </c>
      <c r="AD107" s="115"/>
      <c r="AE107" s="122"/>
      <c r="AF107" s="124"/>
      <c r="AG107" s="122"/>
      <c r="AH107" s="59"/>
      <c r="AI107" s="59"/>
      <c r="AJ107" s="21" t="s">
        <v>203</v>
      </c>
      <c r="AK107" s="21" t="s">
        <v>190</v>
      </c>
      <c r="AL107" s="21" t="s">
        <v>190</v>
      </c>
      <c r="AM107" s="174" t="s">
        <v>979</v>
      </c>
      <c r="AN107" s="22">
        <v>182</v>
      </c>
      <c r="AO107" s="22">
        <v>5</v>
      </c>
      <c r="AP107" s="22">
        <v>20</v>
      </c>
      <c r="AQ107" s="22">
        <v>0</v>
      </c>
      <c r="AR107" s="22">
        <v>0</v>
      </c>
      <c r="AS107" s="22">
        <v>7</v>
      </c>
      <c r="AT107" s="22">
        <v>10</v>
      </c>
      <c r="AU107" s="316">
        <f t="shared" si="12"/>
        <v>224</v>
      </c>
      <c r="AV107" s="22">
        <v>190</v>
      </c>
      <c r="AW107" s="22">
        <v>5</v>
      </c>
      <c r="AX107" s="22">
        <v>20</v>
      </c>
      <c r="AY107" s="22">
        <v>0</v>
      </c>
      <c r="AZ107" s="22">
        <v>0</v>
      </c>
      <c r="BA107" s="22">
        <v>7</v>
      </c>
      <c r="BB107" s="22">
        <v>10</v>
      </c>
      <c r="BC107" s="316">
        <f t="shared" si="13"/>
        <v>232</v>
      </c>
      <c r="BD107" s="58">
        <f t="shared" si="14"/>
        <v>8</v>
      </c>
      <c r="BE107" s="58">
        <f t="shared" si="15"/>
        <v>0</v>
      </c>
      <c r="BF107" s="58">
        <f t="shared" si="16"/>
        <v>0</v>
      </c>
      <c r="BG107" s="58">
        <f t="shared" si="17"/>
        <v>0</v>
      </c>
      <c r="BH107" s="58">
        <f t="shared" si="18"/>
        <v>0</v>
      </c>
      <c r="BI107" s="58">
        <f t="shared" si="19"/>
        <v>0</v>
      </c>
      <c r="BJ107" s="58">
        <f t="shared" si="20"/>
        <v>0</v>
      </c>
      <c r="BK107" s="58">
        <f t="shared" si="21"/>
        <v>8</v>
      </c>
    </row>
    <row r="108" spans="1:63" ht="27" customHeight="1">
      <c r="A108" s="13">
        <f t="shared" si="22"/>
        <v>106</v>
      </c>
      <c r="B108" s="14" t="s">
        <v>980</v>
      </c>
      <c r="C108" s="10">
        <v>942</v>
      </c>
      <c r="D108" s="76" t="s">
        <v>981</v>
      </c>
      <c r="E108" s="77">
        <v>50793894</v>
      </c>
      <c r="F108" s="78" t="s">
        <v>982</v>
      </c>
      <c r="G108" s="79" t="s">
        <v>983</v>
      </c>
      <c r="H108" s="15" t="s">
        <v>78</v>
      </c>
      <c r="I108" s="16" t="s">
        <v>79</v>
      </c>
      <c r="J108" s="80" t="s">
        <v>209</v>
      </c>
      <c r="K108" s="24">
        <v>35385</v>
      </c>
      <c r="L108" s="82" t="s">
        <v>179</v>
      </c>
      <c r="M108" s="25">
        <v>42132</v>
      </c>
      <c r="N108" s="25"/>
      <c r="O108" s="13" t="s">
        <v>80</v>
      </c>
      <c r="P108" s="18" t="s">
        <v>84</v>
      </c>
      <c r="Q108" s="18" t="s">
        <v>181</v>
      </c>
      <c r="R108" s="17" t="s">
        <v>182</v>
      </c>
      <c r="S108" s="13" t="s">
        <v>219</v>
      </c>
      <c r="T108" s="22"/>
      <c r="U108" s="22"/>
      <c r="V108" s="21" t="s">
        <v>200</v>
      </c>
      <c r="W108" s="21" t="s">
        <v>184</v>
      </c>
      <c r="X108" s="21">
        <v>8</v>
      </c>
      <c r="Y108" s="77"/>
      <c r="Z108" s="86" t="s">
        <v>186</v>
      </c>
      <c r="AA108" s="21"/>
      <c r="AB108" s="21"/>
      <c r="AC108" s="122"/>
      <c r="AD108" s="115"/>
      <c r="AE108" s="122"/>
      <c r="AF108" s="124"/>
      <c r="AG108" s="122"/>
      <c r="AH108" s="59"/>
      <c r="AI108" s="59"/>
      <c r="AJ108" s="21" t="s">
        <v>203</v>
      </c>
      <c r="AK108" s="21" t="s">
        <v>190</v>
      </c>
      <c r="AL108" s="21" t="s">
        <v>203</v>
      </c>
      <c r="AM108" s="174" t="s">
        <v>984</v>
      </c>
      <c r="AN108" s="22">
        <v>182</v>
      </c>
      <c r="AO108" s="22">
        <v>5</v>
      </c>
      <c r="AP108" s="22">
        <v>0</v>
      </c>
      <c r="AQ108" s="22">
        <v>60</v>
      </c>
      <c r="AR108" s="22">
        <v>50</v>
      </c>
      <c r="AS108" s="22">
        <v>7</v>
      </c>
      <c r="AT108" s="22">
        <v>10</v>
      </c>
      <c r="AU108" s="316">
        <f t="shared" si="12"/>
        <v>314</v>
      </c>
      <c r="AV108" s="22">
        <v>190</v>
      </c>
      <c r="AW108" s="22">
        <v>5</v>
      </c>
      <c r="AX108" s="22">
        <v>0</v>
      </c>
      <c r="AY108" s="22">
        <v>60</v>
      </c>
      <c r="AZ108" s="22">
        <v>50</v>
      </c>
      <c r="BA108" s="22">
        <v>7</v>
      </c>
      <c r="BB108" s="22">
        <v>10</v>
      </c>
      <c r="BC108" s="316">
        <f t="shared" si="13"/>
        <v>322</v>
      </c>
      <c r="BD108" s="58">
        <f t="shared" si="14"/>
        <v>8</v>
      </c>
      <c r="BE108" s="58">
        <f t="shared" si="15"/>
        <v>0</v>
      </c>
      <c r="BF108" s="58">
        <f t="shared" si="16"/>
        <v>0</v>
      </c>
      <c r="BG108" s="58">
        <f t="shared" si="17"/>
        <v>0</v>
      </c>
      <c r="BH108" s="58">
        <f t="shared" si="18"/>
        <v>0</v>
      </c>
      <c r="BI108" s="58">
        <f t="shared" si="19"/>
        <v>0</v>
      </c>
      <c r="BJ108" s="58">
        <f t="shared" si="20"/>
        <v>0</v>
      </c>
      <c r="BK108" s="58">
        <f t="shared" si="21"/>
        <v>8</v>
      </c>
    </row>
    <row r="109" spans="1:63" ht="27" customHeight="1">
      <c r="A109" s="13">
        <f t="shared" si="22"/>
        <v>107</v>
      </c>
      <c r="B109" s="14" t="s">
        <v>985</v>
      </c>
      <c r="C109" s="10">
        <v>951</v>
      </c>
      <c r="D109" s="76" t="s">
        <v>986</v>
      </c>
      <c r="E109" s="77" t="s">
        <v>190</v>
      </c>
      <c r="F109" s="78" t="s">
        <v>987</v>
      </c>
      <c r="G109" s="79" t="s">
        <v>988</v>
      </c>
      <c r="H109" s="15" t="s">
        <v>964</v>
      </c>
      <c r="I109" s="16" t="s">
        <v>989</v>
      </c>
      <c r="J109" s="80" t="s">
        <v>178</v>
      </c>
      <c r="K109" s="24">
        <v>29105</v>
      </c>
      <c r="L109" s="82" t="s">
        <v>179</v>
      </c>
      <c r="M109" s="25">
        <v>42142</v>
      </c>
      <c r="N109" s="25"/>
      <c r="O109" s="17" t="s">
        <v>34</v>
      </c>
      <c r="P109" s="18" t="s">
        <v>301</v>
      </c>
      <c r="Q109" s="18" t="s">
        <v>181</v>
      </c>
      <c r="R109" s="17" t="s">
        <v>182</v>
      </c>
      <c r="S109" s="17" t="s">
        <v>228</v>
      </c>
      <c r="T109" s="22"/>
      <c r="U109" s="22"/>
      <c r="V109" s="21" t="s">
        <v>200</v>
      </c>
      <c r="W109" s="21">
        <v>65</v>
      </c>
      <c r="X109" s="21">
        <v>6</v>
      </c>
      <c r="Y109" s="77"/>
      <c r="Z109" s="21"/>
      <c r="AA109" s="86" t="s">
        <v>186</v>
      </c>
      <c r="AB109" s="21"/>
      <c r="AC109" s="122" t="s">
        <v>467</v>
      </c>
      <c r="AD109" s="115"/>
      <c r="AE109" s="122"/>
      <c r="AF109" s="124"/>
      <c r="AG109" s="122"/>
      <c r="AH109" s="59"/>
      <c r="AI109" s="59"/>
      <c r="AJ109" s="21" t="s">
        <v>203</v>
      </c>
      <c r="AK109" s="21" t="s">
        <v>190</v>
      </c>
      <c r="AL109" s="21" t="s">
        <v>190</v>
      </c>
      <c r="AM109" s="174" t="s">
        <v>990</v>
      </c>
      <c r="AN109" s="22">
        <v>182</v>
      </c>
      <c r="AO109" s="22">
        <v>5</v>
      </c>
      <c r="AP109" s="22">
        <v>0</v>
      </c>
      <c r="AQ109" s="22">
        <v>0</v>
      </c>
      <c r="AR109" s="22">
        <v>0</v>
      </c>
      <c r="AS109" s="22">
        <v>7</v>
      </c>
      <c r="AT109" s="22">
        <v>10</v>
      </c>
      <c r="AU109" s="316">
        <f t="shared" si="12"/>
        <v>204</v>
      </c>
      <c r="AV109" s="22">
        <v>190</v>
      </c>
      <c r="AW109" s="22">
        <v>5</v>
      </c>
      <c r="AX109" s="22">
        <v>0</v>
      </c>
      <c r="AY109" s="22">
        <v>0</v>
      </c>
      <c r="AZ109" s="22">
        <v>0</v>
      </c>
      <c r="BA109" s="22">
        <v>7</v>
      </c>
      <c r="BB109" s="22">
        <v>10</v>
      </c>
      <c r="BC109" s="316">
        <f t="shared" si="13"/>
        <v>212</v>
      </c>
      <c r="BD109" s="58">
        <f t="shared" si="14"/>
        <v>8</v>
      </c>
      <c r="BE109" s="58">
        <f t="shared" si="15"/>
        <v>0</v>
      </c>
      <c r="BF109" s="58">
        <f t="shared" si="16"/>
        <v>0</v>
      </c>
      <c r="BG109" s="58">
        <f t="shared" si="17"/>
        <v>0</v>
      </c>
      <c r="BH109" s="58">
        <f t="shared" si="18"/>
        <v>0</v>
      </c>
      <c r="BI109" s="58">
        <f t="shared" si="19"/>
        <v>0</v>
      </c>
      <c r="BJ109" s="58">
        <f t="shared" si="20"/>
        <v>0</v>
      </c>
      <c r="BK109" s="58">
        <f t="shared" si="21"/>
        <v>8</v>
      </c>
    </row>
    <row r="110" spans="1:63" ht="27" customHeight="1">
      <c r="A110" s="13">
        <f t="shared" si="22"/>
        <v>108</v>
      </c>
      <c r="B110" s="14" t="s">
        <v>991</v>
      </c>
      <c r="C110" s="10">
        <v>957</v>
      </c>
      <c r="D110" s="76" t="s">
        <v>992</v>
      </c>
      <c r="E110" s="77">
        <v>50645635</v>
      </c>
      <c r="F110" s="78" t="s">
        <v>993</v>
      </c>
      <c r="G110" s="79" t="s">
        <v>994</v>
      </c>
      <c r="H110" s="15" t="s">
        <v>995</v>
      </c>
      <c r="I110" s="16" t="s">
        <v>996</v>
      </c>
      <c r="J110" s="80" t="s">
        <v>178</v>
      </c>
      <c r="K110" s="24">
        <v>33028</v>
      </c>
      <c r="L110" s="82" t="s">
        <v>179</v>
      </c>
      <c r="M110" s="25">
        <v>42143</v>
      </c>
      <c r="N110" s="25"/>
      <c r="O110" s="17" t="s">
        <v>34</v>
      </c>
      <c r="P110" s="18" t="s">
        <v>348</v>
      </c>
      <c r="Q110" s="18" t="s">
        <v>181</v>
      </c>
      <c r="R110" s="17" t="s">
        <v>182</v>
      </c>
      <c r="S110" s="13" t="s">
        <v>219</v>
      </c>
      <c r="T110" s="22"/>
      <c r="U110" s="22"/>
      <c r="V110" s="21" t="s">
        <v>200</v>
      </c>
      <c r="W110" s="21" t="s">
        <v>184</v>
      </c>
      <c r="X110" s="21">
        <v>7</v>
      </c>
      <c r="Y110" s="77" t="s">
        <v>997</v>
      </c>
      <c r="Z110" s="21"/>
      <c r="AA110" s="86" t="s">
        <v>186</v>
      </c>
      <c r="AB110" s="21"/>
      <c r="AC110" s="122" t="s">
        <v>959</v>
      </c>
      <c r="AD110" s="115"/>
      <c r="AE110" s="122"/>
      <c r="AF110" s="124"/>
      <c r="AG110" s="122"/>
      <c r="AH110" s="59"/>
      <c r="AI110" s="59"/>
      <c r="AJ110" s="21" t="s">
        <v>203</v>
      </c>
      <c r="AK110" s="21" t="s">
        <v>190</v>
      </c>
      <c r="AL110" s="21" t="s">
        <v>190</v>
      </c>
      <c r="AM110" s="174" t="s">
        <v>979</v>
      </c>
      <c r="AN110" s="22">
        <v>182</v>
      </c>
      <c r="AO110" s="22">
        <v>5</v>
      </c>
      <c r="AP110" s="22">
        <v>0</v>
      </c>
      <c r="AQ110" s="22">
        <v>0</v>
      </c>
      <c r="AR110" s="22">
        <v>0</v>
      </c>
      <c r="AS110" s="22">
        <v>7</v>
      </c>
      <c r="AT110" s="22">
        <v>10</v>
      </c>
      <c r="AU110" s="316">
        <f t="shared" si="12"/>
        <v>204</v>
      </c>
      <c r="AV110" s="22">
        <v>190</v>
      </c>
      <c r="AW110" s="22">
        <v>5</v>
      </c>
      <c r="AX110" s="22">
        <v>0</v>
      </c>
      <c r="AY110" s="22">
        <v>0</v>
      </c>
      <c r="AZ110" s="22">
        <v>0</v>
      </c>
      <c r="BA110" s="22">
        <v>7</v>
      </c>
      <c r="BB110" s="22">
        <v>10</v>
      </c>
      <c r="BC110" s="316">
        <f t="shared" si="13"/>
        <v>212</v>
      </c>
      <c r="BD110" s="58">
        <f t="shared" si="14"/>
        <v>8</v>
      </c>
      <c r="BE110" s="58">
        <f t="shared" si="15"/>
        <v>0</v>
      </c>
      <c r="BF110" s="58">
        <f t="shared" si="16"/>
        <v>0</v>
      </c>
      <c r="BG110" s="58">
        <f t="shared" si="17"/>
        <v>0</v>
      </c>
      <c r="BH110" s="58">
        <f t="shared" si="18"/>
        <v>0</v>
      </c>
      <c r="BI110" s="58">
        <f t="shared" si="19"/>
        <v>0</v>
      </c>
      <c r="BJ110" s="58">
        <f t="shared" si="20"/>
        <v>0</v>
      </c>
      <c r="BK110" s="58">
        <f t="shared" si="21"/>
        <v>8</v>
      </c>
    </row>
    <row r="111" spans="1:63" ht="27" customHeight="1">
      <c r="A111" s="13">
        <f t="shared" si="22"/>
        <v>109</v>
      </c>
      <c r="B111" s="14" t="s">
        <v>998</v>
      </c>
      <c r="C111" s="10">
        <v>955</v>
      </c>
      <c r="D111" s="76" t="s">
        <v>999</v>
      </c>
      <c r="E111" s="77" t="s">
        <v>190</v>
      </c>
      <c r="F111" s="78" t="s">
        <v>742</v>
      </c>
      <c r="G111" s="79" t="s">
        <v>1000</v>
      </c>
      <c r="H111" s="15" t="s">
        <v>24</v>
      </c>
      <c r="I111" s="16" t="s">
        <v>1001</v>
      </c>
      <c r="J111" s="80" t="s">
        <v>178</v>
      </c>
      <c r="K111" s="24">
        <v>29710</v>
      </c>
      <c r="L111" s="82" t="s">
        <v>179</v>
      </c>
      <c r="M111" s="25">
        <v>42143</v>
      </c>
      <c r="N111" s="25"/>
      <c r="O111" s="17" t="s">
        <v>34</v>
      </c>
      <c r="P111" s="18" t="s">
        <v>348</v>
      </c>
      <c r="Q111" s="18" t="s">
        <v>181</v>
      </c>
      <c r="R111" s="17" t="s">
        <v>182</v>
      </c>
      <c r="S111" s="17" t="s">
        <v>228</v>
      </c>
      <c r="T111" s="22"/>
      <c r="U111" s="22"/>
      <c r="V111" s="21" t="s">
        <v>200</v>
      </c>
      <c r="W111" s="21">
        <v>1955</v>
      </c>
      <c r="X111" s="21">
        <v>4</v>
      </c>
      <c r="Y111" s="77"/>
      <c r="Z111" s="21"/>
      <c r="AA111" s="86" t="s">
        <v>186</v>
      </c>
      <c r="AB111" s="21"/>
      <c r="AC111" s="122" t="s">
        <v>514</v>
      </c>
      <c r="AD111" s="115"/>
      <c r="AE111" s="122"/>
      <c r="AF111" s="124"/>
      <c r="AG111" s="122"/>
      <c r="AH111" s="59"/>
      <c r="AI111" s="59"/>
      <c r="AJ111" s="21" t="s">
        <v>203</v>
      </c>
      <c r="AK111" s="21" t="s">
        <v>190</v>
      </c>
      <c r="AL111" s="21" t="s">
        <v>190</v>
      </c>
      <c r="AM111" s="174" t="s">
        <v>1002</v>
      </c>
      <c r="AN111" s="22">
        <v>182</v>
      </c>
      <c r="AO111" s="22">
        <v>0</v>
      </c>
      <c r="AP111" s="22">
        <v>0</v>
      </c>
      <c r="AQ111" s="22">
        <v>0</v>
      </c>
      <c r="AR111" s="22">
        <v>0</v>
      </c>
      <c r="AS111" s="22">
        <v>7</v>
      </c>
      <c r="AT111" s="22">
        <v>10</v>
      </c>
      <c r="AU111" s="316">
        <f t="shared" si="12"/>
        <v>199</v>
      </c>
      <c r="AV111" s="22">
        <v>190</v>
      </c>
      <c r="AW111" s="22">
        <v>0</v>
      </c>
      <c r="AX111" s="22">
        <v>0</v>
      </c>
      <c r="AY111" s="22">
        <v>0</v>
      </c>
      <c r="AZ111" s="22">
        <v>0</v>
      </c>
      <c r="BA111" s="22">
        <v>7</v>
      </c>
      <c r="BB111" s="22">
        <v>10</v>
      </c>
      <c r="BC111" s="316">
        <f t="shared" si="13"/>
        <v>207</v>
      </c>
      <c r="BD111" s="58">
        <f t="shared" si="14"/>
        <v>8</v>
      </c>
      <c r="BE111" s="58">
        <f t="shared" si="15"/>
        <v>0</v>
      </c>
      <c r="BF111" s="58">
        <f t="shared" si="16"/>
        <v>0</v>
      </c>
      <c r="BG111" s="58">
        <f t="shared" si="17"/>
        <v>0</v>
      </c>
      <c r="BH111" s="58">
        <f t="shared" si="18"/>
        <v>0</v>
      </c>
      <c r="BI111" s="58">
        <f t="shared" si="19"/>
        <v>0</v>
      </c>
      <c r="BJ111" s="58">
        <f t="shared" si="20"/>
        <v>0</v>
      </c>
      <c r="BK111" s="58">
        <f t="shared" si="21"/>
        <v>8</v>
      </c>
    </row>
    <row r="112" spans="1:63" ht="27" customHeight="1">
      <c r="A112" s="13">
        <f t="shared" si="22"/>
        <v>110</v>
      </c>
      <c r="B112" s="14" t="s">
        <v>1003</v>
      </c>
      <c r="C112" s="10">
        <v>956</v>
      </c>
      <c r="D112" s="76" t="s">
        <v>1004</v>
      </c>
      <c r="E112" s="77">
        <v>100279651</v>
      </c>
      <c r="F112" s="78" t="s">
        <v>1005</v>
      </c>
      <c r="G112" s="79" t="s">
        <v>1006</v>
      </c>
      <c r="H112" s="15" t="s">
        <v>1007</v>
      </c>
      <c r="I112" s="16" t="s">
        <v>1008</v>
      </c>
      <c r="J112" s="80" t="s">
        <v>178</v>
      </c>
      <c r="K112" s="24">
        <v>30116</v>
      </c>
      <c r="L112" s="82" t="s">
        <v>179</v>
      </c>
      <c r="M112" s="25">
        <v>42143</v>
      </c>
      <c r="N112" s="25"/>
      <c r="O112" s="17" t="s">
        <v>34</v>
      </c>
      <c r="P112" s="18" t="s">
        <v>348</v>
      </c>
      <c r="Q112" s="18" t="s">
        <v>181</v>
      </c>
      <c r="R112" s="17" t="s">
        <v>182</v>
      </c>
      <c r="S112" s="19" t="s">
        <v>211</v>
      </c>
      <c r="T112" s="22"/>
      <c r="U112" s="22"/>
      <c r="V112" s="21" t="s">
        <v>200</v>
      </c>
      <c r="W112" s="21">
        <v>1955</v>
      </c>
      <c r="X112" s="21">
        <v>5</v>
      </c>
      <c r="Y112" s="77" t="s">
        <v>1009</v>
      </c>
      <c r="Z112" s="21"/>
      <c r="AA112" s="86" t="s">
        <v>186</v>
      </c>
      <c r="AB112" s="21"/>
      <c r="AC112" s="122" t="s">
        <v>514</v>
      </c>
      <c r="AD112" s="115"/>
      <c r="AE112" s="122"/>
      <c r="AF112" s="124"/>
      <c r="AG112" s="122"/>
      <c r="AH112" s="59"/>
      <c r="AI112" s="59"/>
      <c r="AJ112" s="21" t="s">
        <v>203</v>
      </c>
      <c r="AK112" s="21" t="s">
        <v>190</v>
      </c>
      <c r="AL112" s="21" t="s">
        <v>190</v>
      </c>
      <c r="AM112" s="174" t="s">
        <v>1010</v>
      </c>
      <c r="AN112" s="22">
        <v>182</v>
      </c>
      <c r="AO112" s="22">
        <v>5</v>
      </c>
      <c r="AP112" s="22">
        <v>0</v>
      </c>
      <c r="AQ112" s="22">
        <v>0</v>
      </c>
      <c r="AR112" s="22">
        <v>0</v>
      </c>
      <c r="AS112" s="22">
        <v>7</v>
      </c>
      <c r="AT112" s="22">
        <v>10</v>
      </c>
      <c r="AU112" s="316">
        <f t="shared" si="12"/>
        <v>204</v>
      </c>
      <c r="AV112" s="22">
        <v>190</v>
      </c>
      <c r="AW112" s="22">
        <v>5</v>
      </c>
      <c r="AX112" s="22">
        <v>0</v>
      </c>
      <c r="AY112" s="22">
        <v>0</v>
      </c>
      <c r="AZ112" s="22">
        <v>0</v>
      </c>
      <c r="BA112" s="22">
        <v>7</v>
      </c>
      <c r="BB112" s="22">
        <v>10</v>
      </c>
      <c r="BC112" s="316">
        <f t="shared" si="13"/>
        <v>212</v>
      </c>
      <c r="BD112" s="58">
        <f t="shared" si="14"/>
        <v>8</v>
      </c>
      <c r="BE112" s="58">
        <f t="shared" si="15"/>
        <v>0</v>
      </c>
      <c r="BF112" s="58">
        <f t="shared" si="16"/>
        <v>0</v>
      </c>
      <c r="BG112" s="58">
        <f t="shared" si="17"/>
        <v>0</v>
      </c>
      <c r="BH112" s="58">
        <f t="shared" si="18"/>
        <v>0</v>
      </c>
      <c r="BI112" s="58">
        <f t="shared" si="19"/>
        <v>0</v>
      </c>
      <c r="BJ112" s="58">
        <f t="shared" si="20"/>
        <v>0</v>
      </c>
      <c r="BK112" s="58">
        <f t="shared" si="21"/>
        <v>8</v>
      </c>
    </row>
    <row r="113" spans="1:63" ht="27" customHeight="1">
      <c r="A113" s="13">
        <f t="shared" si="22"/>
        <v>111</v>
      </c>
      <c r="B113" s="14" t="s">
        <v>1011</v>
      </c>
      <c r="C113" s="10">
        <v>967</v>
      </c>
      <c r="D113" s="76" t="s">
        <v>1012</v>
      </c>
      <c r="E113" s="77">
        <v>20998962</v>
      </c>
      <c r="F113" s="78" t="s">
        <v>1013</v>
      </c>
      <c r="G113" s="79" t="s">
        <v>1014</v>
      </c>
      <c r="H113" s="15" t="s">
        <v>181</v>
      </c>
      <c r="I113" s="16" t="s">
        <v>1015</v>
      </c>
      <c r="J113" s="80" t="s">
        <v>178</v>
      </c>
      <c r="K113" s="24">
        <v>26757</v>
      </c>
      <c r="L113" s="82" t="s">
        <v>179</v>
      </c>
      <c r="M113" s="25">
        <v>42149</v>
      </c>
      <c r="N113" s="25"/>
      <c r="O113" s="17" t="s">
        <v>34</v>
      </c>
      <c r="P113" s="18" t="s">
        <v>301</v>
      </c>
      <c r="Q113" s="18" t="s">
        <v>181</v>
      </c>
      <c r="R113" s="17" t="s">
        <v>182</v>
      </c>
      <c r="S113" s="13" t="s">
        <v>331</v>
      </c>
      <c r="T113" s="22"/>
      <c r="U113" s="22"/>
      <c r="V113" s="21" t="s">
        <v>200</v>
      </c>
      <c r="W113" s="21" t="s">
        <v>184</v>
      </c>
      <c r="X113" s="21">
        <v>7</v>
      </c>
      <c r="Y113" s="77" t="s">
        <v>1016</v>
      </c>
      <c r="Z113" s="21"/>
      <c r="AA113" s="86" t="s">
        <v>186</v>
      </c>
      <c r="AB113" s="21"/>
      <c r="AC113" s="122" t="s">
        <v>1017</v>
      </c>
      <c r="AD113" s="115" t="s">
        <v>188</v>
      </c>
      <c r="AE113" s="122"/>
      <c r="AF113" s="124"/>
      <c r="AG113" s="122"/>
      <c r="AH113" s="59"/>
      <c r="AI113" s="59"/>
      <c r="AJ113" s="21" t="s">
        <v>203</v>
      </c>
      <c r="AK113" s="21" t="s">
        <v>190</v>
      </c>
      <c r="AL113" s="21" t="s">
        <v>190</v>
      </c>
      <c r="AM113" s="174" t="s">
        <v>819</v>
      </c>
      <c r="AN113" s="22">
        <v>182</v>
      </c>
      <c r="AO113" s="22">
        <v>5</v>
      </c>
      <c r="AP113" s="22">
        <v>0</v>
      </c>
      <c r="AQ113" s="22">
        <v>0</v>
      </c>
      <c r="AR113" s="22">
        <v>0</v>
      </c>
      <c r="AS113" s="22">
        <v>7</v>
      </c>
      <c r="AT113" s="22">
        <v>10</v>
      </c>
      <c r="AU113" s="316">
        <f t="shared" si="12"/>
        <v>204</v>
      </c>
      <c r="AV113" s="22">
        <v>190</v>
      </c>
      <c r="AW113" s="22">
        <v>5</v>
      </c>
      <c r="AX113" s="22">
        <v>0</v>
      </c>
      <c r="AY113" s="22">
        <v>0</v>
      </c>
      <c r="AZ113" s="22">
        <v>0</v>
      </c>
      <c r="BA113" s="22">
        <v>7</v>
      </c>
      <c r="BB113" s="22">
        <v>10</v>
      </c>
      <c r="BC113" s="316">
        <f t="shared" si="13"/>
        <v>212</v>
      </c>
      <c r="BD113" s="58">
        <f t="shared" si="14"/>
        <v>8</v>
      </c>
      <c r="BE113" s="58">
        <f t="shared" si="15"/>
        <v>0</v>
      </c>
      <c r="BF113" s="58">
        <f t="shared" si="16"/>
        <v>0</v>
      </c>
      <c r="BG113" s="58">
        <f t="shared" si="17"/>
        <v>0</v>
      </c>
      <c r="BH113" s="58">
        <f t="shared" si="18"/>
        <v>0</v>
      </c>
      <c r="BI113" s="58">
        <f t="shared" si="19"/>
        <v>0</v>
      </c>
      <c r="BJ113" s="58">
        <f t="shared" si="20"/>
        <v>0</v>
      </c>
      <c r="BK113" s="58">
        <f t="shared" si="21"/>
        <v>8</v>
      </c>
    </row>
    <row r="114" spans="1:63" ht="27" customHeight="1">
      <c r="A114" s="13">
        <f t="shared" si="22"/>
        <v>112</v>
      </c>
      <c r="B114" s="14" t="s">
        <v>1018</v>
      </c>
      <c r="C114" s="10">
        <v>913</v>
      </c>
      <c r="D114" s="76" t="s">
        <v>1019</v>
      </c>
      <c r="E114" s="77">
        <v>60854660</v>
      </c>
      <c r="F114" s="78" t="s">
        <v>1020</v>
      </c>
      <c r="G114" s="79" t="s">
        <v>1021</v>
      </c>
      <c r="H114" s="15" t="s">
        <v>1022</v>
      </c>
      <c r="I114" s="16" t="s">
        <v>1023</v>
      </c>
      <c r="J114" s="80" t="s">
        <v>178</v>
      </c>
      <c r="K114" s="24">
        <v>32211</v>
      </c>
      <c r="L114" s="82" t="s">
        <v>179</v>
      </c>
      <c r="M114" s="25">
        <v>42128</v>
      </c>
      <c r="N114" s="25"/>
      <c r="O114" s="17" t="s">
        <v>34</v>
      </c>
      <c r="P114" s="18" t="s">
        <v>282</v>
      </c>
      <c r="Q114" s="18" t="s">
        <v>249</v>
      </c>
      <c r="R114" s="17" t="s">
        <v>182</v>
      </c>
      <c r="S114" s="19" t="s">
        <v>183</v>
      </c>
      <c r="T114" s="22"/>
      <c r="U114" s="22"/>
      <c r="V114" s="21" t="s">
        <v>184</v>
      </c>
      <c r="W114" s="21">
        <v>409</v>
      </c>
      <c r="X114" s="21">
        <v>2</v>
      </c>
      <c r="Y114" s="77" t="s">
        <v>1024</v>
      </c>
      <c r="Z114" s="21"/>
      <c r="AA114" s="86" t="s">
        <v>186</v>
      </c>
      <c r="AB114" s="21"/>
      <c r="AC114" s="122" t="s">
        <v>1025</v>
      </c>
      <c r="AD114" s="115" t="s">
        <v>189</v>
      </c>
      <c r="AE114" s="122"/>
      <c r="AF114" s="124"/>
      <c r="AG114" s="122"/>
      <c r="AH114" s="59"/>
      <c r="AI114" s="59"/>
      <c r="AJ114" s="21" t="s">
        <v>203</v>
      </c>
      <c r="AK114" s="21" t="s">
        <v>190</v>
      </c>
      <c r="AL114" s="21" t="s">
        <v>190</v>
      </c>
      <c r="AM114" s="174" t="s">
        <v>1002</v>
      </c>
      <c r="AN114" s="22">
        <v>182</v>
      </c>
      <c r="AO114" s="22">
        <v>5</v>
      </c>
      <c r="AP114" s="22">
        <v>20</v>
      </c>
      <c r="AQ114" s="22">
        <v>0</v>
      </c>
      <c r="AR114" s="22">
        <v>0</v>
      </c>
      <c r="AS114" s="22">
        <v>7</v>
      </c>
      <c r="AT114" s="22">
        <v>10</v>
      </c>
      <c r="AU114" s="316">
        <f t="shared" si="12"/>
        <v>224</v>
      </c>
      <c r="AV114" s="22">
        <v>190</v>
      </c>
      <c r="AW114" s="22">
        <v>5</v>
      </c>
      <c r="AX114" s="22">
        <v>20</v>
      </c>
      <c r="AY114" s="22">
        <v>0</v>
      </c>
      <c r="AZ114" s="22">
        <v>0</v>
      </c>
      <c r="BA114" s="22">
        <v>7</v>
      </c>
      <c r="BB114" s="22">
        <v>10</v>
      </c>
      <c r="BC114" s="316">
        <f t="shared" si="13"/>
        <v>232</v>
      </c>
      <c r="BD114" s="58">
        <f t="shared" si="14"/>
        <v>8</v>
      </c>
      <c r="BE114" s="58">
        <f t="shared" si="15"/>
        <v>0</v>
      </c>
      <c r="BF114" s="58">
        <f t="shared" si="16"/>
        <v>0</v>
      </c>
      <c r="BG114" s="58">
        <f t="shared" si="17"/>
        <v>0</v>
      </c>
      <c r="BH114" s="58">
        <f t="shared" si="18"/>
        <v>0</v>
      </c>
      <c r="BI114" s="58">
        <f t="shared" si="19"/>
        <v>0</v>
      </c>
      <c r="BJ114" s="58">
        <f t="shared" si="20"/>
        <v>0</v>
      </c>
      <c r="BK114" s="58">
        <f t="shared" si="21"/>
        <v>8</v>
      </c>
    </row>
    <row r="115" spans="1:63" ht="27" customHeight="1">
      <c r="A115" s="13">
        <f t="shared" si="22"/>
        <v>113</v>
      </c>
      <c r="B115" s="14" t="s">
        <v>1026</v>
      </c>
      <c r="C115" s="10">
        <v>981</v>
      </c>
      <c r="D115" s="76" t="s">
        <v>1027</v>
      </c>
      <c r="E115" s="77">
        <v>100985189</v>
      </c>
      <c r="F115" s="78" t="s">
        <v>1028</v>
      </c>
      <c r="G115" s="79" t="s">
        <v>1029</v>
      </c>
      <c r="H115" s="15" t="s">
        <v>1030</v>
      </c>
      <c r="I115" s="16" t="s">
        <v>1031</v>
      </c>
      <c r="J115" s="80" t="s">
        <v>178</v>
      </c>
      <c r="K115" s="24">
        <v>32093</v>
      </c>
      <c r="L115" s="82" t="s">
        <v>179</v>
      </c>
      <c r="M115" s="25">
        <v>42158</v>
      </c>
      <c r="N115" s="25"/>
      <c r="O115" s="17" t="s">
        <v>34</v>
      </c>
      <c r="P115" s="18" t="s">
        <v>339</v>
      </c>
      <c r="Q115" s="18" t="s">
        <v>181</v>
      </c>
      <c r="R115" s="17" t="s">
        <v>182</v>
      </c>
      <c r="S115" s="19" t="s">
        <v>211</v>
      </c>
      <c r="T115" s="22" t="s">
        <v>340</v>
      </c>
      <c r="U115" s="22" t="s">
        <v>1032</v>
      </c>
      <c r="V115" s="21" t="s">
        <v>200</v>
      </c>
      <c r="W115" s="21" t="s">
        <v>184</v>
      </c>
      <c r="X115" s="21">
        <v>7</v>
      </c>
      <c r="Y115" s="77" t="s">
        <v>1033</v>
      </c>
      <c r="Z115" s="21"/>
      <c r="AA115" s="86" t="s">
        <v>186</v>
      </c>
      <c r="AB115" s="21"/>
      <c r="AC115" s="122" t="s">
        <v>576</v>
      </c>
      <c r="AD115" s="115"/>
      <c r="AE115" s="122"/>
      <c r="AF115" s="124"/>
      <c r="AG115" s="122"/>
      <c r="AH115" s="59"/>
      <c r="AI115" s="59"/>
      <c r="AJ115" s="21" t="s">
        <v>203</v>
      </c>
      <c r="AK115" s="21" t="s">
        <v>190</v>
      </c>
      <c r="AL115" s="21" t="s">
        <v>190</v>
      </c>
      <c r="AM115" s="174" t="s">
        <v>1034</v>
      </c>
      <c r="AN115" s="22">
        <v>182</v>
      </c>
      <c r="AO115" s="22">
        <v>0</v>
      </c>
      <c r="AP115" s="22">
        <v>0</v>
      </c>
      <c r="AQ115" s="22">
        <v>0</v>
      </c>
      <c r="AR115" s="22">
        <v>0</v>
      </c>
      <c r="AS115" s="22">
        <v>7</v>
      </c>
      <c r="AT115" s="22">
        <v>10</v>
      </c>
      <c r="AU115" s="316">
        <f t="shared" si="12"/>
        <v>199</v>
      </c>
      <c r="AV115" s="22">
        <v>190</v>
      </c>
      <c r="AW115" s="22">
        <v>0</v>
      </c>
      <c r="AX115" s="22">
        <v>0</v>
      </c>
      <c r="AY115" s="22">
        <v>0</v>
      </c>
      <c r="AZ115" s="22">
        <v>0</v>
      </c>
      <c r="BA115" s="22">
        <v>7</v>
      </c>
      <c r="BB115" s="22">
        <v>10</v>
      </c>
      <c r="BC115" s="316">
        <f t="shared" si="13"/>
        <v>207</v>
      </c>
      <c r="BD115" s="58">
        <f t="shared" si="14"/>
        <v>8</v>
      </c>
      <c r="BE115" s="58">
        <f t="shared" si="15"/>
        <v>0</v>
      </c>
      <c r="BF115" s="58">
        <f t="shared" si="16"/>
        <v>0</v>
      </c>
      <c r="BG115" s="58">
        <f t="shared" si="17"/>
        <v>0</v>
      </c>
      <c r="BH115" s="58">
        <f t="shared" si="18"/>
        <v>0</v>
      </c>
      <c r="BI115" s="58">
        <f t="shared" si="19"/>
        <v>0</v>
      </c>
      <c r="BJ115" s="58">
        <f t="shared" si="20"/>
        <v>0</v>
      </c>
      <c r="BK115" s="58">
        <f t="shared" si="21"/>
        <v>8</v>
      </c>
    </row>
    <row r="116" spans="1:63" ht="27" customHeight="1">
      <c r="A116" s="13">
        <f t="shared" si="22"/>
        <v>114</v>
      </c>
      <c r="B116" s="14" t="s">
        <v>1035</v>
      </c>
      <c r="C116" s="10">
        <v>1011</v>
      </c>
      <c r="D116" s="76" t="s">
        <v>1036</v>
      </c>
      <c r="E116" s="77">
        <v>130158032</v>
      </c>
      <c r="F116" s="78" t="s">
        <v>1037</v>
      </c>
      <c r="G116" s="79" t="s">
        <v>1038</v>
      </c>
      <c r="H116" s="15" t="s">
        <v>1039</v>
      </c>
      <c r="I116" s="16" t="s">
        <v>1040</v>
      </c>
      <c r="J116" s="80" t="s">
        <v>178</v>
      </c>
      <c r="K116" s="24">
        <v>31965</v>
      </c>
      <c r="L116" s="82" t="s">
        <v>179</v>
      </c>
      <c r="M116" s="25">
        <v>42177</v>
      </c>
      <c r="N116" s="25"/>
      <c r="O116" s="17" t="s">
        <v>34</v>
      </c>
      <c r="P116" s="18" t="s">
        <v>402</v>
      </c>
      <c r="Q116" s="18" t="s">
        <v>181</v>
      </c>
      <c r="R116" s="17" t="s">
        <v>182</v>
      </c>
      <c r="S116" s="17" t="s">
        <v>727</v>
      </c>
      <c r="T116" s="22" t="s">
        <v>340</v>
      </c>
      <c r="U116" s="22" t="s">
        <v>1041</v>
      </c>
      <c r="V116" s="21" t="s">
        <v>200</v>
      </c>
      <c r="W116" s="21" t="s">
        <v>184</v>
      </c>
      <c r="X116" s="21">
        <v>5</v>
      </c>
      <c r="Y116" s="77" t="s">
        <v>1042</v>
      </c>
      <c r="Z116" s="86" t="s">
        <v>186</v>
      </c>
      <c r="AA116" s="21"/>
      <c r="AB116" s="21"/>
      <c r="AC116" s="122"/>
      <c r="AD116" s="115"/>
      <c r="AE116" s="122"/>
      <c r="AF116" s="124"/>
      <c r="AG116" s="122"/>
      <c r="AH116" s="59"/>
      <c r="AI116" s="59"/>
      <c r="AJ116" s="21" t="s">
        <v>203</v>
      </c>
      <c r="AK116" s="21" t="s">
        <v>190</v>
      </c>
      <c r="AL116" s="21" t="s">
        <v>190</v>
      </c>
      <c r="AM116" s="174" t="s">
        <v>1043</v>
      </c>
      <c r="AN116" s="22">
        <v>182</v>
      </c>
      <c r="AO116" s="22">
        <v>0</v>
      </c>
      <c r="AP116" s="22">
        <v>0</v>
      </c>
      <c r="AQ116" s="22">
        <v>0</v>
      </c>
      <c r="AR116" s="22">
        <v>0</v>
      </c>
      <c r="AS116" s="22">
        <v>7</v>
      </c>
      <c r="AT116" s="22">
        <v>10</v>
      </c>
      <c r="AU116" s="316">
        <f t="shared" si="12"/>
        <v>199</v>
      </c>
      <c r="AV116" s="22">
        <v>190</v>
      </c>
      <c r="AW116" s="22">
        <v>0</v>
      </c>
      <c r="AX116" s="22">
        <v>0</v>
      </c>
      <c r="AY116" s="22">
        <v>0</v>
      </c>
      <c r="AZ116" s="22">
        <v>0</v>
      </c>
      <c r="BA116" s="22">
        <v>7</v>
      </c>
      <c r="BB116" s="22">
        <v>10</v>
      </c>
      <c r="BC116" s="316">
        <f t="shared" si="13"/>
        <v>207</v>
      </c>
      <c r="BD116" s="58">
        <f t="shared" si="14"/>
        <v>8</v>
      </c>
      <c r="BE116" s="58">
        <f t="shared" si="15"/>
        <v>0</v>
      </c>
      <c r="BF116" s="58">
        <f t="shared" si="16"/>
        <v>0</v>
      </c>
      <c r="BG116" s="58">
        <f t="shared" si="17"/>
        <v>0</v>
      </c>
      <c r="BH116" s="58">
        <f t="shared" si="18"/>
        <v>0</v>
      </c>
      <c r="BI116" s="58">
        <f t="shared" si="19"/>
        <v>0</v>
      </c>
      <c r="BJ116" s="58">
        <f t="shared" si="20"/>
        <v>0</v>
      </c>
      <c r="BK116" s="58">
        <f t="shared" si="21"/>
        <v>8</v>
      </c>
    </row>
    <row r="117" spans="1:63" ht="27" customHeight="1">
      <c r="A117" s="13">
        <f t="shared" si="22"/>
        <v>115</v>
      </c>
      <c r="B117" s="14" t="s">
        <v>1044</v>
      </c>
      <c r="C117" s="10">
        <v>1012</v>
      </c>
      <c r="D117" s="76" t="s">
        <v>1045</v>
      </c>
      <c r="E117" s="77" t="s">
        <v>190</v>
      </c>
      <c r="F117" s="78" t="s">
        <v>747</v>
      </c>
      <c r="G117" s="79" t="s">
        <v>1046</v>
      </c>
      <c r="H117" s="15" t="s">
        <v>1047</v>
      </c>
      <c r="I117" s="16" t="s">
        <v>1048</v>
      </c>
      <c r="J117" s="80" t="s">
        <v>178</v>
      </c>
      <c r="K117" s="24">
        <v>34132</v>
      </c>
      <c r="L117" s="82" t="s">
        <v>179</v>
      </c>
      <c r="M117" s="25">
        <v>42167</v>
      </c>
      <c r="N117" s="25"/>
      <c r="O117" s="17" t="s">
        <v>80</v>
      </c>
      <c r="P117" s="18" t="s">
        <v>210</v>
      </c>
      <c r="Q117" s="18" t="s">
        <v>181</v>
      </c>
      <c r="R117" s="17" t="s">
        <v>182</v>
      </c>
      <c r="S117" s="17" t="s">
        <v>727</v>
      </c>
      <c r="T117" s="22"/>
      <c r="U117" s="22"/>
      <c r="V117" s="21" t="s">
        <v>200</v>
      </c>
      <c r="W117" s="21">
        <v>1100</v>
      </c>
      <c r="X117" s="21" t="s">
        <v>409</v>
      </c>
      <c r="Y117" s="77" t="s">
        <v>1049</v>
      </c>
      <c r="Z117" s="86" t="s">
        <v>186</v>
      </c>
      <c r="AA117" s="21"/>
      <c r="AB117" s="21"/>
      <c r="AC117" s="122"/>
      <c r="AD117" s="115"/>
      <c r="AE117" s="122"/>
      <c r="AF117" s="124"/>
      <c r="AG117" s="122"/>
      <c r="AH117" s="59"/>
      <c r="AI117" s="59"/>
      <c r="AJ117" s="21" t="s">
        <v>203</v>
      </c>
      <c r="AK117" s="21" t="s">
        <v>190</v>
      </c>
      <c r="AL117" s="21" t="s">
        <v>203</v>
      </c>
      <c r="AM117" s="174" t="s">
        <v>1050</v>
      </c>
      <c r="AN117" s="22">
        <v>182</v>
      </c>
      <c r="AO117" s="22">
        <v>0</v>
      </c>
      <c r="AP117" s="22">
        <v>0</v>
      </c>
      <c r="AQ117" s="22">
        <v>0</v>
      </c>
      <c r="AR117" s="22">
        <v>0</v>
      </c>
      <c r="AS117" s="22">
        <v>7</v>
      </c>
      <c r="AT117" s="22">
        <v>10</v>
      </c>
      <c r="AU117" s="316">
        <f t="shared" si="12"/>
        <v>199</v>
      </c>
      <c r="AV117" s="22">
        <v>190</v>
      </c>
      <c r="AW117" s="22">
        <v>0</v>
      </c>
      <c r="AX117" s="22">
        <v>0</v>
      </c>
      <c r="AY117" s="22">
        <v>0</v>
      </c>
      <c r="AZ117" s="22">
        <v>0</v>
      </c>
      <c r="BA117" s="22">
        <v>7</v>
      </c>
      <c r="BB117" s="22">
        <v>10</v>
      </c>
      <c r="BC117" s="316">
        <f t="shared" si="13"/>
        <v>207</v>
      </c>
      <c r="BD117" s="58">
        <f t="shared" si="14"/>
        <v>8</v>
      </c>
      <c r="BE117" s="58">
        <f t="shared" si="15"/>
        <v>0</v>
      </c>
      <c r="BF117" s="58">
        <f t="shared" si="16"/>
        <v>0</v>
      </c>
      <c r="BG117" s="58">
        <f t="shared" si="17"/>
        <v>0</v>
      </c>
      <c r="BH117" s="58">
        <f t="shared" si="18"/>
        <v>0</v>
      </c>
      <c r="BI117" s="58">
        <f t="shared" si="19"/>
        <v>0</v>
      </c>
      <c r="BJ117" s="58">
        <f t="shared" si="20"/>
        <v>0</v>
      </c>
      <c r="BK117" s="58">
        <f t="shared" si="21"/>
        <v>8</v>
      </c>
    </row>
    <row r="118" spans="1:63" ht="27" customHeight="1">
      <c r="A118" s="13">
        <f t="shared" si="22"/>
        <v>116</v>
      </c>
      <c r="B118" s="14" t="s">
        <v>1051</v>
      </c>
      <c r="C118" s="10">
        <v>1019</v>
      </c>
      <c r="D118" s="76" t="s">
        <v>1052</v>
      </c>
      <c r="E118" s="77" t="s">
        <v>190</v>
      </c>
      <c r="F118" s="78" t="s">
        <v>1053</v>
      </c>
      <c r="G118" s="79" t="s">
        <v>1054</v>
      </c>
      <c r="H118" s="15" t="s">
        <v>18</v>
      </c>
      <c r="I118" s="16" t="s">
        <v>1055</v>
      </c>
      <c r="J118" s="80" t="s">
        <v>178</v>
      </c>
      <c r="K118" s="24">
        <v>29258</v>
      </c>
      <c r="L118" s="82" t="s">
        <v>179</v>
      </c>
      <c r="M118" s="25">
        <v>42178</v>
      </c>
      <c r="N118" s="25"/>
      <c r="O118" s="17" t="s">
        <v>34</v>
      </c>
      <c r="P118" s="18" t="s">
        <v>227</v>
      </c>
      <c r="Q118" s="18" t="s">
        <v>181</v>
      </c>
      <c r="R118" s="17" t="s">
        <v>182</v>
      </c>
      <c r="S118" s="17" t="s">
        <v>228</v>
      </c>
      <c r="T118" s="22"/>
      <c r="U118" s="22"/>
      <c r="V118" s="21" t="s">
        <v>200</v>
      </c>
      <c r="W118" s="21">
        <v>4049</v>
      </c>
      <c r="X118" s="21">
        <v>5</v>
      </c>
      <c r="Y118" s="77" t="s">
        <v>1056</v>
      </c>
      <c r="Z118" s="21"/>
      <c r="AA118" s="86" t="s">
        <v>186</v>
      </c>
      <c r="AB118" s="21"/>
      <c r="AC118" s="122" t="s">
        <v>514</v>
      </c>
      <c r="AD118" s="115"/>
      <c r="AE118" s="122"/>
      <c r="AF118" s="124"/>
      <c r="AG118" s="122"/>
      <c r="AH118" s="59"/>
      <c r="AI118" s="59"/>
      <c r="AJ118" s="21" t="s">
        <v>203</v>
      </c>
      <c r="AK118" s="21" t="s">
        <v>190</v>
      </c>
      <c r="AL118" s="21" t="s">
        <v>190</v>
      </c>
      <c r="AM118" s="174" t="s">
        <v>1057</v>
      </c>
      <c r="AN118" s="22">
        <v>182</v>
      </c>
      <c r="AO118" s="22">
        <v>5</v>
      </c>
      <c r="AP118" s="22">
        <v>0</v>
      </c>
      <c r="AQ118" s="22">
        <v>0</v>
      </c>
      <c r="AR118" s="22">
        <v>0</v>
      </c>
      <c r="AS118" s="22">
        <v>7</v>
      </c>
      <c r="AT118" s="22">
        <v>10</v>
      </c>
      <c r="AU118" s="316">
        <f t="shared" si="12"/>
        <v>204</v>
      </c>
      <c r="AV118" s="22">
        <v>190</v>
      </c>
      <c r="AW118" s="22">
        <v>5</v>
      </c>
      <c r="AX118" s="22">
        <v>0</v>
      </c>
      <c r="AY118" s="22">
        <v>0</v>
      </c>
      <c r="AZ118" s="22">
        <v>0</v>
      </c>
      <c r="BA118" s="22">
        <v>7</v>
      </c>
      <c r="BB118" s="22">
        <v>10</v>
      </c>
      <c r="BC118" s="316">
        <f t="shared" si="13"/>
        <v>212</v>
      </c>
      <c r="BD118" s="58">
        <f t="shared" si="14"/>
        <v>8</v>
      </c>
      <c r="BE118" s="58">
        <f t="shared" si="15"/>
        <v>0</v>
      </c>
      <c r="BF118" s="58">
        <f t="shared" si="16"/>
        <v>0</v>
      </c>
      <c r="BG118" s="58">
        <f t="shared" si="17"/>
        <v>0</v>
      </c>
      <c r="BH118" s="58">
        <f t="shared" si="18"/>
        <v>0</v>
      </c>
      <c r="BI118" s="58">
        <f t="shared" si="19"/>
        <v>0</v>
      </c>
      <c r="BJ118" s="58">
        <f t="shared" si="20"/>
        <v>0</v>
      </c>
      <c r="BK118" s="58">
        <f t="shared" si="21"/>
        <v>8</v>
      </c>
    </row>
    <row r="119" spans="1:63" ht="27" customHeight="1">
      <c r="A119" s="13">
        <f t="shared" si="22"/>
        <v>117</v>
      </c>
      <c r="B119" s="14" t="s">
        <v>1058</v>
      </c>
      <c r="C119" s="10">
        <v>1026</v>
      </c>
      <c r="D119" s="76" t="s">
        <v>1059</v>
      </c>
      <c r="E119" s="77">
        <v>130004046</v>
      </c>
      <c r="F119" s="78" t="s">
        <v>481</v>
      </c>
      <c r="G119" s="79" t="s">
        <v>1060</v>
      </c>
      <c r="H119" s="15" t="s">
        <v>1061</v>
      </c>
      <c r="I119" s="16" t="s">
        <v>1062</v>
      </c>
      <c r="J119" s="80" t="s">
        <v>178</v>
      </c>
      <c r="K119" s="24">
        <v>30082</v>
      </c>
      <c r="L119" s="82" t="s">
        <v>179</v>
      </c>
      <c r="M119" s="25">
        <v>42187</v>
      </c>
      <c r="N119" s="25"/>
      <c r="O119" s="17" t="s">
        <v>34</v>
      </c>
      <c r="P119" s="18" t="s">
        <v>227</v>
      </c>
      <c r="Q119" s="18" t="s">
        <v>181</v>
      </c>
      <c r="R119" s="17" t="s">
        <v>182</v>
      </c>
      <c r="S119" s="19" t="s">
        <v>256</v>
      </c>
      <c r="T119" s="175"/>
      <c r="U119" s="175"/>
      <c r="V119" s="21" t="s">
        <v>200</v>
      </c>
      <c r="W119" s="21" t="s">
        <v>184</v>
      </c>
      <c r="X119" s="1">
        <v>5</v>
      </c>
      <c r="Y119" s="176" t="s">
        <v>1063</v>
      </c>
      <c r="Z119" s="86" t="s">
        <v>186</v>
      </c>
      <c r="AA119" s="1"/>
      <c r="AB119" s="1"/>
      <c r="AC119" s="177"/>
      <c r="AD119" s="115"/>
      <c r="AE119" s="122"/>
      <c r="AF119" s="124"/>
      <c r="AG119" s="122"/>
      <c r="AH119" s="178"/>
      <c r="AI119" s="178"/>
      <c r="AJ119" s="21" t="s">
        <v>203</v>
      </c>
      <c r="AK119" s="21" t="s">
        <v>190</v>
      </c>
      <c r="AL119" s="21" t="s">
        <v>203</v>
      </c>
      <c r="AM119" s="174" t="s">
        <v>1002</v>
      </c>
      <c r="AN119" s="22">
        <v>182</v>
      </c>
      <c r="AO119" s="22">
        <v>5</v>
      </c>
      <c r="AP119" s="22">
        <v>0</v>
      </c>
      <c r="AQ119" s="22">
        <v>0</v>
      </c>
      <c r="AR119" s="22">
        <v>0</v>
      </c>
      <c r="AS119" s="22">
        <v>7</v>
      </c>
      <c r="AT119" s="22">
        <v>10</v>
      </c>
      <c r="AU119" s="316">
        <f t="shared" si="12"/>
        <v>204</v>
      </c>
      <c r="AV119" s="22">
        <v>190</v>
      </c>
      <c r="AW119" s="22">
        <v>5</v>
      </c>
      <c r="AX119" s="22">
        <v>0</v>
      </c>
      <c r="AY119" s="22">
        <v>0</v>
      </c>
      <c r="AZ119" s="22">
        <v>0</v>
      </c>
      <c r="BA119" s="22">
        <v>7</v>
      </c>
      <c r="BB119" s="22">
        <v>10</v>
      </c>
      <c r="BC119" s="316">
        <f t="shared" si="13"/>
        <v>212</v>
      </c>
      <c r="BD119" s="58">
        <f t="shared" si="14"/>
        <v>8</v>
      </c>
      <c r="BE119" s="58">
        <f t="shared" si="15"/>
        <v>0</v>
      </c>
      <c r="BF119" s="58">
        <f t="shared" si="16"/>
        <v>0</v>
      </c>
      <c r="BG119" s="58">
        <f t="shared" si="17"/>
        <v>0</v>
      </c>
      <c r="BH119" s="58">
        <f t="shared" si="18"/>
        <v>0</v>
      </c>
      <c r="BI119" s="58">
        <f t="shared" si="19"/>
        <v>0</v>
      </c>
      <c r="BJ119" s="58">
        <f t="shared" si="20"/>
        <v>0</v>
      </c>
      <c r="BK119" s="58">
        <f t="shared" si="21"/>
        <v>8</v>
      </c>
    </row>
    <row r="120" spans="1:63" ht="27" customHeight="1">
      <c r="A120" s="13">
        <f t="shared" si="22"/>
        <v>118</v>
      </c>
      <c r="B120" s="14" t="s">
        <v>1064</v>
      </c>
      <c r="C120" s="10">
        <v>1031</v>
      </c>
      <c r="D120" s="76" t="s">
        <v>1065</v>
      </c>
      <c r="E120" s="77" t="s">
        <v>190</v>
      </c>
      <c r="F120" s="78" t="s">
        <v>1066</v>
      </c>
      <c r="G120" s="79" t="s">
        <v>1067</v>
      </c>
      <c r="H120" s="15" t="s">
        <v>1068</v>
      </c>
      <c r="I120" s="16" t="s">
        <v>1069</v>
      </c>
      <c r="J120" s="80" t="s">
        <v>178</v>
      </c>
      <c r="K120" s="24">
        <v>29361</v>
      </c>
      <c r="L120" s="82" t="s">
        <v>179</v>
      </c>
      <c r="M120" s="25">
        <v>42187</v>
      </c>
      <c r="N120" s="25"/>
      <c r="O120" s="17" t="s">
        <v>34</v>
      </c>
      <c r="P120" s="18" t="s">
        <v>282</v>
      </c>
      <c r="Q120" s="18" t="s">
        <v>249</v>
      </c>
      <c r="R120" s="17" t="s">
        <v>182</v>
      </c>
      <c r="S120" s="17" t="s">
        <v>727</v>
      </c>
      <c r="T120" s="175"/>
      <c r="U120" s="175"/>
      <c r="V120" s="21" t="s">
        <v>200</v>
      </c>
      <c r="W120" s="21">
        <v>2663</v>
      </c>
      <c r="X120" s="1">
        <v>3</v>
      </c>
      <c r="Y120" s="176" t="s">
        <v>1070</v>
      </c>
      <c r="Z120" s="1"/>
      <c r="AA120" s="86" t="s">
        <v>186</v>
      </c>
      <c r="AB120" s="1"/>
      <c r="AC120" s="177" t="s">
        <v>202</v>
      </c>
      <c r="AD120" s="115"/>
      <c r="AE120" s="122"/>
      <c r="AF120" s="124"/>
      <c r="AG120" s="122"/>
      <c r="AH120" s="178"/>
      <c r="AI120" s="178"/>
      <c r="AJ120" s="21" t="s">
        <v>203</v>
      </c>
      <c r="AK120" s="21" t="s">
        <v>190</v>
      </c>
      <c r="AL120" s="21" t="s">
        <v>203</v>
      </c>
      <c r="AM120" s="174" t="s">
        <v>1071</v>
      </c>
      <c r="AN120" s="22">
        <v>182</v>
      </c>
      <c r="AO120" s="22">
        <v>5</v>
      </c>
      <c r="AP120" s="22">
        <v>20</v>
      </c>
      <c r="AQ120" s="22">
        <v>0</v>
      </c>
      <c r="AR120" s="22">
        <v>0</v>
      </c>
      <c r="AS120" s="22">
        <v>7</v>
      </c>
      <c r="AT120" s="22">
        <v>10</v>
      </c>
      <c r="AU120" s="316">
        <f t="shared" si="12"/>
        <v>224</v>
      </c>
      <c r="AV120" s="22">
        <v>190</v>
      </c>
      <c r="AW120" s="22">
        <v>5</v>
      </c>
      <c r="AX120" s="22">
        <v>20</v>
      </c>
      <c r="AY120" s="22">
        <v>0</v>
      </c>
      <c r="AZ120" s="22">
        <v>0</v>
      </c>
      <c r="BA120" s="22">
        <v>7</v>
      </c>
      <c r="BB120" s="22">
        <v>10</v>
      </c>
      <c r="BC120" s="316">
        <f t="shared" si="13"/>
        <v>232</v>
      </c>
      <c r="BD120" s="58">
        <f t="shared" si="14"/>
        <v>8</v>
      </c>
      <c r="BE120" s="58">
        <f t="shared" si="15"/>
        <v>0</v>
      </c>
      <c r="BF120" s="58">
        <f t="shared" si="16"/>
        <v>0</v>
      </c>
      <c r="BG120" s="58">
        <f t="shared" si="17"/>
        <v>0</v>
      </c>
      <c r="BH120" s="58">
        <f t="shared" si="18"/>
        <v>0</v>
      </c>
      <c r="BI120" s="58">
        <f t="shared" si="19"/>
        <v>0</v>
      </c>
      <c r="BJ120" s="58">
        <f t="shared" si="20"/>
        <v>0</v>
      </c>
      <c r="BK120" s="58">
        <f t="shared" si="21"/>
        <v>8</v>
      </c>
    </row>
    <row r="121" spans="1:63" ht="27" customHeight="1">
      <c r="A121" s="13">
        <f t="shared" si="22"/>
        <v>119</v>
      </c>
      <c r="B121" s="10" t="s">
        <v>1072</v>
      </c>
      <c r="C121" s="10">
        <v>1036</v>
      </c>
      <c r="D121" s="91" t="s">
        <v>1073</v>
      </c>
      <c r="E121" s="85">
        <v>130156314</v>
      </c>
      <c r="F121" s="78" t="s">
        <v>1074</v>
      </c>
      <c r="G121" s="79" t="s">
        <v>1075</v>
      </c>
      <c r="H121" s="15" t="s">
        <v>1076</v>
      </c>
      <c r="I121" s="16" t="s">
        <v>1077</v>
      </c>
      <c r="J121" s="80" t="s">
        <v>178</v>
      </c>
      <c r="K121" s="24">
        <v>31144</v>
      </c>
      <c r="L121" s="93" t="s">
        <v>179</v>
      </c>
      <c r="M121" s="170">
        <v>42192</v>
      </c>
      <c r="N121" s="170"/>
      <c r="O121" s="19" t="s">
        <v>34</v>
      </c>
      <c r="P121" s="18" t="s">
        <v>386</v>
      </c>
      <c r="Q121" s="18" t="s">
        <v>181</v>
      </c>
      <c r="R121" s="19" t="s">
        <v>182</v>
      </c>
      <c r="S121" s="19" t="s">
        <v>256</v>
      </c>
      <c r="T121" s="20"/>
      <c r="U121" s="20"/>
      <c r="V121" s="84" t="s">
        <v>200</v>
      </c>
      <c r="W121" s="84" t="s">
        <v>184</v>
      </c>
      <c r="X121" s="84">
        <v>5</v>
      </c>
      <c r="Y121" s="85" t="s">
        <v>184</v>
      </c>
      <c r="Z121" s="84"/>
      <c r="AA121" s="94" t="s">
        <v>186</v>
      </c>
      <c r="AB121" s="84"/>
      <c r="AC121" s="179" t="s">
        <v>202</v>
      </c>
      <c r="AD121" s="180" t="s">
        <v>189</v>
      </c>
      <c r="AE121" s="179" t="s">
        <v>188</v>
      </c>
      <c r="AF121" s="181"/>
      <c r="AG121" s="182"/>
      <c r="AH121" s="95"/>
      <c r="AI121" s="95"/>
      <c r="AJ121" s="84" t="s">
        <v>203</v>
      </c>
      <c r="AK121" s="84" t="s">
        <v>190</v>
      </c>
      <c r="AL121" s="84" t="s">
        <v>203</v>
      </c>
      <c r="AM121" s="174" t="s">
        <v>1078</v>
      </c>
      <c r="AN121" s="22">
        <v>182</v>
      </c>
      <c r="AO121" s="22">
        <v>5</v>
      </c>
      <c r="AP121" s="22">
        <v>0</v>
      </c>
      <c r="AQ121" s="22">
        <v>0</v>
      </c>
      <c r="AR121" s="22">
        <v>0</v>
      </c>
      <c r="AS121" s="22">
        <v>7</v>
      </c>
      <c r="AT121" s="22">
        <v>10</v>
      </c>
      <c r="AU121" s="316">
        <f t="shared" si="12"/>
        <v>204</v>
      </c>
      <c r="AV121" s="22">
        <v>190</v>
      </c>
      <c r="AW121" s="22">
        <v>5</v>
      </c>
      <c r="AX121" s="22">
        <v>0</v>
      </c>
      <c r="AY121" s="22">
        <v>0</v>
      </c>
      <c r="AZ121" s="22">
        <v>0</v>
      </c>
      <c r="BA121" s="22">
        <v>7</v>
      </c>
      <c r="BB121" s="22">
        <v>10</v>
      </c>
      <c r="BC121" s="316">
        <f t="shared" si="13"/>
        <v>212</v>
      </c>
      <c r="BD121" s="58">
        <f t="shared" si="14"/>
        <v>8</v>
      </c>
      <c r="BE121" s="58">
        <f t="shared" si="15"/>
        <v>0</v>
      </c>
      <c r="BF121" s="58">
        <f t="shared" si="16"/>
        <v>0</v>
      </c>
      <c r="BG121" s="58">
        <f t="shared" si="17"/>
        <v>0</v>
      </c>
      <c r="BH121" s="58">
        <f t="shared" si="18"/>
        <v>0</v>
      </c>
      <c r="BI121" s="58">
        <f t="shared" si="19"/>
        <v>0</v>
      </c>
      <c r="BJ121" s="58">
        <f t="shared" si="20"/>
        <v>0</v>
      </c>
      <c r="BK121" s="58">
        <f t="shared" si="21"/>
        <v>8</v>
      </c>
    </row>
    <row r="122" spans="1:63" ht="27" customHeight="1">
      <c r="A122" s="13">
        <f t="shared" si="22"/>
        <v>120</v>
      </c>
      <c r="B122" s="14" t="s">
        <v>1079</v>
      </c>
      <c r="C122" s="10">
        <v>1038</v>
      </c>
      <c r="D122" s="76" t="s">
        <v>1080</v>
      </c>
      <c r="E122" s="77">
        <v>50471510</v>
      </c>
      <c r="F122" s="78" t="s">
        <v>1081</v>
      </c>
      <c r="G122" s="79" t="s">
        <v>1082</v>
      </c>
      <c r="H122" s="15" t="s">
        <v>1083</v>
      </c>
      <c r="I122" s="16" t="s">
        <v>1084</v>
      </c>
      <c r="J122" s="80" t="s">
        <v>178</v>
      </c>
      <c r="K122" s="24">
        <v>32212</v>
      </c>
      <c r="L122" s="82" t="s">
        <v>179</v>
      </c>
      <c r="M122" s="25">
        <v>42192</v>
      </c>
      <c r="N122" s="25"/>
      <c r="O122" s="17" t="s">
        <v>34</v>
      </c>
      <c r="P122" s="18" t="s">
        <v>1085</v>
      </c>
      <c r="Q122" s="18" t="s">
        <v>181</v>
      </c>
      <c r="R122" s="17" t="s">
        <v>182</v>
      </c>
      <c r="S122" s="13" t="s">
        <v>219</v>
      </c>
      <c r="T122" s="175"/>
      <c r="U122" s="175"/>
      <c r="V122" s="21" t="s">
        <v>200</v>
      </c>
      <c r="W122" s="21" t="s">
        <v>184</v>
      </c>
      <c r="X122" s="1">
        <v>6</v>
      </c>
      <c r="Y122" s="176" t="s">
        <v>1086</v>
      </c>
      <c r="Z122" s="1"/>
      <c r="AA122" s="86" t="s">
        <v>186</v>
      </c>
      <c r="AB122" s="1"/>
      <c r="AC122" s="177" t="s">
        <v>202</v>
      </c>
      <c r="AD122" s="115"/>
      <c r="AE122" s="122"/>
      <c r="AF122" s="124"/>
      <c r="AG122" s="122"/>
      <c r="AH122" s="178"/>
      <c r="AI122" s="178"/>
      <c r="AJ122" s="21" t="s">
        <v>203</v>
      </c>
      <c r="AK122" s="21" t="s">
        <v>190</v>
      </c>
      <c r="AL122" s="21" t="s">
        <v>190</v>
      </c>
      <c r="AM122" s="174" t="s">
        <v>1087</v>
      </c>
      <c r="AN122" s="22">
        <v>182</v>
      </c>
      <c r="AO122" s="22">
        <v>5</v>
      </c>
      <c r="AP122" s="22">
        <v>0</v>
      </c>
      <c r="AQ122" s="22">
        <v>0</v>
      </c>
      <c r="AR122" s="22">
        <v>0</v>
      </c>
      <c r="AS122" s="22">
        <v>7</v>
      </c>
      <c r="AT122" s="22">
        <v>10</v>
      </c>
      <c r="AU122" s="316">
        <f t="shared" si="12"/>
        <v>204</v>
      </c>
      <c r="AV122" s="22">
        <v>190</v>
      </c>
      <c r="AW122" s="22">
        <v>5</v>
      </c>
      <c r="AX122" s="22">
        <v>0</v>
      </c>
      <c r="AY122" s="22">
        <v>0</v>
      </c>
      <c r="AZ122" s="22">
        <v>0</v>
      </c>
      <c r="BA122" s="22">
        <v>7</v>
      </c>
      <c r="BB122" s="22">
        <v>10</v>
      </c>
      <c r="BC122" s="316">
        <f t="shared" si="13"/>
        <v>212</v>
      </c>
      <c r="BD122" s="58">
        <f t="shared" si="14"/>
        <v>8</v>
      </c>
      <c r="BE122" s="58">
        <f t="shared" si="15"/>
        <v>0</v>
      </c>
      <c r="BF122" s="58">
        <f t="shared" si="16"/>
        <v>0</v>
      </c>
      <c r="BG122" s="58">
        <f t="shared" si="17"/>
        <v>0</v>
      </c>
      <c r="BH122" s="58">
        <f t="shared" si="18"/>
        <v>0</v>
      </c>
      <c r="BI122" s="58">
        <f t="shared" si="19"/>
        <v>0</v>
      </c>
      <c r="BJ122" s="58">
        <f t="shared" si="20"/>
        <v>0</v>
      </c>
      <c r="BK122" s="58">
        <f t="shared" si="21"/>
        <v>8</v>
      </c>
    </row>
    <row r="123" spans="1:63" ht="27" customHeight="1">
      <c r="A123" s="13">
        <f t="shared" si="22"/>
        <v>121</v>
      </c>
      <c r="B123" s="148" t="s">
        <v>1088</v>
      </c>
      <c r="C123" s="148">
        <v>1057</v>
      </c>
      <c r="D123" s="149" t="s">
        <v>1089</v>
      </c>
      <c r="E123" s="150">
        <v>60862031</v>
      </c>
      <c r="F123" s="151" t="s">
        <v>1090</v>
      </c>
      <c r="G123" s="152" t="s">
        <v>1091</v>
      </c>
      <c r="H123" s="153" t="s">
        <v>1092</v>
      </c>
      <c r="I123" s="154" t="s">
        <v>1093</v>
      </c>
      <c r="J123" s="155" t="s">
        <v>178</v>
      </c>
      <c r="K123" s="156">
        <v>32393</v>
      </c>
      <c r="L123" s="157" t="s">
        <v>179</v>
      </c>
      <c r="M123" s="158">
        <v>42209</v>
      </c>
      <c r="N123" s="158"/>
      <c r="O123" s="159" t="s">
        <v>34</v>
      </c>
      <c r="P123" s="18" t="s">
        <v>309</v>
      </c>
      <c r="Q123" s="18" t="s">
        <v>181</v>
      </c>
      <c r="R123" s="159" t="s">
        <v>182</v>
      </c>
      <c r="S123" s="19" t="s">
        <v>183</v>
      </c>
      <c r="T123" s="160"/>
      <c r="U123" s="160"/>
      <c r="V123" s="161" t="s">
        <v>200</v>
      </c>
      <c r="W123" s="161" t="s">
        <v>184</v>
      </c>
      <c r="X123" s="161">
        <v>7</v>
      </c>
      <c r="Y123" s="150" t="s">
        <v>1094</v>
      </c>
      <c r="Z123" s="161"/>
      <c r="AA123" s="162" t="s">
        <v>186</v>
      </c>
      <c r="AB123" s="161"/>
      <c r="AC123" s="183" t="s">
        <v>1095</v>
      </c>
      <c r="AD123" s="184"/>
      <c r="AE123" s="163"/>
      <c r="AF123" s="164"/>
      <c r="AG123" s="163"/>
      <c r="AH123" s="165"/>
      <c r="AI123" s="165"/>
      <c r="AJ123" s="161" t="s">
        <v>203</v>
      </c>
      <c r="AK123" s="161" t="s">
        <v>190</v>
      </c>
      <c r="AL123" s="161" t="s">
        <v>190</v>
      </c>
      <c r="AM123" s="166" t="s">
        <v>1096</v>
      </c>
      <c r="AN123" s="22">
        <v>182</v>
      </c>
      <c r="AO123" s="22">
        <v>5</v>
      </c>
      <c r="AP123" s="22">
        <v>0</v>
      </c>
      <c r="AQ123" s="22">
        <v>0</v>
      </c>
      <c r="AR123" s="22">
        <v>0</v>
      </c>
      <c r="AS123" s="22">
        <v>7</v>
      </c>
      <c r="AT123" s="22">
        <v>10</v>
      </c>
      <c r="AU123" s="316">
        <f t="shared" si="12"/>
        <v>204</v>
      </c>
      <c r="AV123" s="22">
        <v>190</v>
      </c>
      <c r="AW123" s="22">
        <v>5</v>
      </c>
      <c r="AX123" s="22">
        <v>0</v>
      </c>
      <c r="AY123" s="22">
        <v>0</v>
      </c>
      <c r="AZ123" s="22">
        <v>0</v>
      </c>
      <c r="BA123" s="22">
        <v>7</v>
      </c>
      <c r="BB123" s="22">
        <v>10</v>
      </c>
      <c r="BC123" s="316">
        <f t="shared" si="13"/>
        <v>212</v>
      </c>
      <c r="BD123" s="58">
        <f t="shared" si="14"/>
        <v>8</v>
      </c>
      <c r="BE123" s="58">
        <f t="shared" si="15"/>
        <v>0</v>
      </c>
      <c r="BF123" s="58">
        <f t="shared" si="16"/>
        <v>0</v>
      </c>
      <c r="BG123" s="58">
        <f t="shared" si="17"/>
        <v>0</v>
      </c>
      <c r="BH123" s="58">
        <f t="shared" si="18"/>
        <v>0</v>
      </c>
      <c r="BI123" s="58">
        <f t="shared" si="19"/>
        <v>0</v>
      </c>
      <c r="BJ123" s="58">
        <f t="shared" si="20"/>
        <v>0</v>
      </c>
      <c r="BK123" s="58">
        <f t="shared" si="21"/>
        <v>8</v>
      </c>
    </row>
    <row r="124" spans="1:63" ht="27" customHeight="1">
      <c r="A124" s="13">
        <f t="shared" si="22"/>
        <v>122</v>
      </c>
      <c r="B124" s="14" t="s">
        <v>1097</v>
      </c>
      <c r="C124" s="10">
        <v>1063</v>
      </c>
      <c r="D124" s="76" t="s">
        <v>1098</v>
      </c>
      <c r="E124" s="77" t="s">
        <v>190</v>
      </c>
      <c r="F124" s="78" t="s">
        <v>1099</v>
      </c>
      <c r="G124" s="79" t="s">
        <v>413</v>
      </c>
      <c r="H124" s="15" t="s">
        <v>1100</v>
      </c>
      <c r="I124" s="16" t="s">
        <v>1101</v>
      </c>
      <c r="J124" s="80" t="s">
        <v>178</v>
      </c>
      <c r="K124" s="24">
        <v>31899</v>
      </c>
      <c r="L124" s="82" t="s">
        <v>179</v>
      </c>
      <c r="M124" s="25">
        <v>42219</v>
      </c>
      <c r="N124" s="25"/>
      <c r="O124" s="17" t="s">
        <v>26</v>
      </c>
      <c r="P124" s="18" t="s">
        <v>27</v>
      </c>
      <c r="Q124" s="18" t="s">
        <v>181</v>
      </c>
      <c r="R124" s="17" t="s">
        <v>182</v>
      </c>
      <c r="S124" s="17" t="s">
        <v>228</v>
      </c>
      <c r="T124" s="175"/>
      <c r="U124" s="175"/>
      <c r="V124" s="21" t="s">
        <v>200</v>
      </c>
      <c r="W124" s="21">
        <v>45</v>
      </c>
      <c r="X124" s="1">
        <v>7</v>
      </c>
      <c r="Y124" s="176" t="s">
        <v>1102</v>
      </c>
      <c r="Z124" s="1"/>
      <c r="AA124" s="86" t="s">
        <v>186</v>
      </c>
      <c r="AB124" s="1"/>
      <c r="AC124" s="177" t="s">
        <v>371</v>
      </c>
      <c r="AD124" s="115" t="s">
        <v>188</v>
      </c>
      <c r="AE124" s="115" t="s">
        <v>189</v>
      </c>
      <c r="AF124" s="124"/>
      <c r="AG124" s="122"/>
      <c r="AH124" s="178"/>
      <c r="AI124" s="178"/>
      <c r="AJ124" s="21" t="s">
        <v>203</v>
      </c>
      <c r="AK124" s="21" t="s">
        <v>190</v>
      </c>
      <c r="AL124" s="21" t="s">
        <v>190</v>
      </c>
      <c r="AM124" s="174" t="s">
        <v>990</v>
      </c>
      <c r="AN124" s="22">
        <v>182</v>
      </c>
      <c r="AO124" s="22">
        <v>5</v>
      </c>
      <c r="AP124" s="22">
        <v>0</v>
      </c>
      <c r="AQ124" s="22">
        <v>0</v>
      </c>
      <c r="AR124" s="22">
        <v>0</v>
      </c>
      <c r="AS124" s="22">
        <v>7</v>
      </c>
      <c r="AT124" s="22">
        <v>10</v>
      </c>
      <c r="AU124" s="316">
        <f t="shared" si="12"/>
        <v>204</v>
      </c>
      <c r="AV124" s="22">
        <v>190</v>
      </c>
      <c r="AW124" s="22">
        <v>5</v>
      </c>
      <c r="AX124" s="22">
        <v>0</v>
      </c>
      <c r="AY124" s="22">
        <v>0</v>
      </c>
      <c r="AZ124" s="22">
        <v>0</v>
      </c>
      <c r="BA124" s="22">
        <v>7</v>
      </c>
      <c r="BB124" s="22">
        <v>10</v>
      </c>
      <c r="BC124" s="316">
        <f t="shared" si="13"/>
        <v>212</v>
      </c>
      <c r="BD124" s="58">
        <f t="shared" si="14"/>
        <v>8</v>
      </c>
      <c r="BE124" s="58">
        <f t="shared" si="15"/>
        <v>0</v>
      </c>
      <c r="BF124" s="58">
        <f t="shared" si="16"/>
        <v>0</v>
      </c>
      <c r="BG124" s="58">
        <f t="shared" si="17"/>
        <v>0</v>
      </c>
      <c r="BH124" s="58">
        <f t="shared" si="18"/>
        <v>0</v>
      </c>
      <c r="BI124" s="58">
        <f t="shared" si="19"/>
        <v>0</v>
      </c>
      <c r="BJ124" s="58">
        <f t="shared" si="20"/>
        <v>0</v>
      </c>
      <c r="BK124" s="58">
        <f t="shared" si="21"/>
        <v>8</v>
      </c>
    </row>
    <row r="125" spans="1:63" ht="27" customHeight="1">
      <c r="A125" s="13">
        <f t="shared" si="22"/>
        <v>123</v>
      </c>
      <c r="B125" s="14" t="s">
        <v>1103</v>
      </c>
      <c r="C125" s="10">
        <v>1122</v>
      </c>
      <c r="D125" s="76" t="s">
        <v>1104</v>
      </c>
      <c r="E125" s="77" t="s">
        <v>190</v>
      </c>
      <c r="F125" s="78" t="s">
        <v>1105</v>
      </c>
      <c r="G125" s="79" t="s">
        <v>1106</v>
      </c>
      <c r="H125" s="15" t="s">
        <v>1107</v>
      </c>
      <c r="I125" s="16" t="s">
        <v>1108</v>
      </c>
      <c r="J125" s="80" t="s">
        <v>178</v>
      </c>
      <c r="K125" s="24">
        <v>27900</v>
      </c>
      <c r="L125" s="82" t="s">
        <v>179</v>
      </c>
      <c r="M125" s="25">
        <v>42257</v>
      </c>
      <c r="N125" s="25"/>
      <c r="O125" s="17" t="s">
        <v>26</v>
      </c>
      <c r="P125" s="18" t="s">
        <v>27</v>
      </c>
      <c r="Q125" s="18" t="s">
        <v>181</v>
      </c>
      <c r="R125" s="17" t="s">
        <v>182</v>
      </c>
      <c r="S125" s="13" t="s">
        <v>1109</v>
      </c>
      <c r="T125" s="175"/>
      <c r="U125" s="175"/>
      <c r="V125" s="21" t="s">
        <v>200</v>
      </c>
      <c r="W125" s="21">
        <v>82</v>
      </c>
      <c r="X125" s="1">
        <v>6</v>
      </c>
      <c r="Y125" s="77" t="s">
        <v>184</v>
      </c>
      <c r="Z125" s="86"/>
      <c r="AA125" s="86" t="s">
        <v>186</v>
      </c>
      <c r="AB125" s="1"/>
      <c r="AC125" s="177" t="s">
        <v>1110</v>
      </c>
      <c r="AD125" s="115"/>
      <c r="AE125" s="115"/>
      <c r="AF125" s="124"/>
      <c r="AG125" s="122"/>
      <c r="AH125" s="178"/>
      <c r="AI125" s="178"/>
      <c r="AJ125" s="21" t="s">
        <v>203</v>
      </c>
      <c r="AK125" s="21" t="s">
        <v>190</v>
      </c>
      <c r="AL125" s="21" t="s">
        <v>203</v>
      </c>
      <c r="AM125" s="174" t="s">
        <v>1111</v>
      </c>
      <c r="AN125" s="22">
        <v>182</v>
      </c>
      <c r="AO125" s="22">
        <v>5</v>
      </c>
      <c r="AP125" s="22">
        <v>0</v>
      </c>
      <c r="AQ125" s="22">
        <v>0</v>
      </c>
      <c r="AR125" s="22">
        <v>0</v>
      </c>
      <c r="AS125" s="22">
        <v>7</v>
      </c>
      <c r="AT125" s="22">
        <v>10</v>
      </c>
      <c r="AU125" s="316">
        <f t="shared" si="12"/>
        <v>204</v>
      </c>
      <c r="AV125" s="22">
        <v>190</v>
      </c>
      <c r="AW125" s="22">
        <v>5</v>
      </c>
      <c r="AX125" s="22">
        <v>0</v>
      </c>
      <c r="AY125" s="22">
        <v>0</v>
      </c>
      <c r="AZ125" s="22">
        <v>0</v>
      </c>
      <c r="BA125" s="22">
        <v>7</v>
      </c>
      <c r="BB125" s="22">
        <v>10</v>
      </c>
      <c r="BC125" s="316">
        <f t="shared" si="13"/>
        <v>212</v>
      </c>
      <c r="BD125" s="58">
        <f t="shared" si="14"/>
        <v>8</v>
      </c>
      <c r="BE125" s="58">
        <f t="shared" si="15"/>
        <v>0</v>
      </c>
      <c r="BF125" s="58">
        <f t="shared" si="16"/>
        <v>0</v>
      </c>
      <c r="BG125" s="58">
        <f t="shared" si="17"/>
        <v>0</v>
      </c>
      <c r="BH125" s="58">
        <f t="shared" si="18"/>
        <v>0</v>
      </c>
      <c r="BI125" s="58">
        <f t="shared" si="19"/>
        <v>0</v>
      </c>
      <c r="BJ125" s="58">
        <f t="shared" si="20"/>
        <v>0</v>
      </c>
      <c r="BK125" s="58">
        <f t="shared" si="21"/>
        <v>8</v>
      </c>
    </row>
    <row r="126" spans="1:63" ht="27" customHeight="1">
      <c r="A126" s="13">
        <f t="shared" si="22"/>
        <v>124</v>
      </c>
      <c r="B126" s="14" t="s">
        <v>1112</v>
      </c>
      <c r="C126" s="10">
        <v>1128</v>
      </c>
      <c r="D126" s="76" t="s">
        <v>1113</v>
      </c>
      <c r="E126" s="77">
        <v>40264896</v>
      </c>
      <c r="F126" s="78" t="s">
        <v>1114</v>
      </c>
      <c r="G126" s="79" t="s">
        <v>1115</v>
      </c>
      <c r="H126" s="15" t="s">
        <v>1116</v>
      </c>
      <c r="I126" s="16" t="s">
        <v>1117</v>
      </c>
      <c r="J126" s="80" t="s">
        <v>178</v>
      </c>
      <c r="K126" s="24">
        <v>31755</v>
      </c>
      <c r="L126" s="82" t="s">
        <v>179</v>
      </c>
      <c r="M126" s="25">
        <v>42262</v>
      </c>
      <c r="N126" s="25"/>
      <c r="O126" s="17" t="s">
        <v>34</v>
      </c>
      <c r="P126" s="18" t="s">
        <v>402</v>
      </c>
      <c r="Q126" s="18" t="s">
        <v>181</v>
      </c>
      <c r="R126" s="17" t="s">
        <v>182</v>
      </c>
      <c r="S126" s="13" t="s">
        <v>1118</v>
      </c>
      <c r="T126" s="175"/>
      <c r="U126" s="175"/>
      <c r="V126" s="21" t="s">
        <v>200</v>
      </c>
      <c r="W126" s="21" t="s">
        <v>184</v>
      </c>
      <c r="X126" s="1">
        <v>12</v>
      </c>
      <c r="Y126" s="176" t="s">
        <v>1119</v>
      </c>
      <c r="Z126" s="86"/>
      <c r="AA126" s="86" t="s">
        <v>186</v>
      </c>
      <c r="AB126" s="1"/>
      <c r="AC126" s="177" t="s">
        <v>425</v>
      </c>
      <c r="AD126" s="115"/>
      <c r="AE126" s="115"/>
      <c r="AF126" s="124"/>
      <c r="AG126" s="122"/>
      <c r="AH126" s="178"/>
      <c r="AI126" s="178"/>
      <c r="AJ126" s="21" t="s">
        <v>203</v>
      </c>
      <c r="AK126" s="21" t="s">
        <v>190</v>
      </c>
      <c r="AL126" s="21" t="s">
        <v>203</v>
      </c>
      <c r="AM126" s="174" t="s">
        <v>1120</v>
      </c>
      <c r="AN126" s="22">
        <v>182</v>
      </c>
      <c r="AO126" s="22">
        <v>5</v>
      </c>
      <c r="AP126" s="22">
        <v>0</v>
      </c>
      <c r="AQ126" s="22">
        <v>10</v>
      </c>
      <c r="AR126" s="22">
        <v>0</v>
      </c>
      <c r="AS126" s="22">
        <v>7</v>
      </c>
      <c r="AT126" s="22">
        <v>10</v>
      </c>
      <c r="AU126" s="316">
        <f t="shared" si="12"/>
        <v>214</v>
      </c>
      <c r="AV126" s="22">
        <v>190</v>
      </c>
      <c r="AW126" s="22">
        <v>5</v>
      </c>
      <c r="AX126" s="22">
        <v>0</v>
      </c>
      <c r="AY126" s="22">
        <v>10</v>
      </c>
      <c r="AZ126" s="22">
        <v>0</v>
      </c>
      <c r="BA126" s="22">
        <v>7</v>
      </c>
      <c r="BB126" s="22">
        <v>10</v>
      </c>
      <c r="BC126" s="316">
        <f t="shared" si="13"/>
        <v>222</v>
      </c>
      <c r="BD126" s="58">
        <f t="shared" si="14"/>
        <v>8</v>
      </c>
      <c r="BE126" s="58">
        <f t="shared" si="15"/>
        <v>0</v>
      </c>
      <c r="BF126" s="58">
        <f t="shared" si="16"/>
        <v>0</v>
      </c>
      <c r="BG126" s="58">
        <f t="shared" si="17"/>
        <v>0</v>
      </c>
      <c r="BH126" s="58">
        <f t="shared" si="18"/>
        <v>0</v>
      </c>
      <c r="BI126" s="58">
        <f t="shared" si="19"/>
        <v>0</v>
      </c>
      <c r="BJ126" s="58">
        <f t="shared" si="20"/>
        <v>0</v>
      </c>
      <c r="BK126" s="58">
        <f t="shared" si="21"/>
        <v>8</v>
      </c>
    </row>
    <row r="127" spans="1:63" ht="27" customHeight="1">
      <c r="A127" s="13">
        <f t="shared" si="22"/>
        <v>125</v>
      </c>
      <c r="B127" s="14" t="s">
        <v>1121</v>
      </c>
      <c r="C127" s="10">
        <v>1130</v>
      </c>
      <c r="D127" s="76" t="s">
        <v>1122</v>
      </c>
      <c r="E127" s="77">
        <v>100687759</v>
      </c>
      <c r="F127" s="106" t="s">
        <v>1123</v>
      </c>
      <c r="G127" s="107" t="s">
        <v>1124</v>
      </c>
      <c r="H127" s="26" t="s">
        <v>1125</v>
      </c>
      <c r="I127" s="27" t="s">
        <v>1126</v>
      </c>
      <c r="J127" s="98" t="s">
        <v>178</v>
      </c>
      <c r="K127" s="28">
        <v>29835</v>
      </c>
      <c r="L127" s="82" t="s">
        <v>179</v>
      </c>
      <c r="M127" s="25">
        <v>42262</v>
      </c>
      <c r="N127" s="25"/>
      <c r="O127" s="17" t="s">
        <v>34</v>
      </c>
      <c r="P127" s="18" t="s">
        <v>1085</v>
      </c>
      <c r="Q127" s="18" t="s">
        <v>181</v>
      </c>
      <c r="R127" s="17" t="s">
        <v>182</v>
      </c>
      <c r="S127" s="19" t="s">
        <v>211</v>
      </c>
      <c r="T127" s="175"/>
      <c r="U127" s="175"/>
      <c r="V127" s="21" t="s">
        <v>200</v>
      </c>
      <c r="W127" s="21" t="s">
        <v>184</v>
      </c>
      <c r="X127" s="1">
        <v>8</v>
      </c>
      <c r="Y127" s="176" t="s">
        <v>1127</v>
      </c>
      <c r="Z127" s="86" t="s">
        <v>186</v>
      </c>
      <c r="AA127" s="86"/>
      <c r="AB127" s="1"/>
      <c r="AC127" s="177"/>
      <c r="AD127" s="115"/>
      <c r="AE127" s="115"/>
      <c r="AF127" s="124"/>
      <c r="AG127" s="122"/>
      <c r="AH127" s="178"/>
      <c r="AI127" s="178"/>
      <c r="AJ127" s="21" t="s">
        <v>203</v>
      </c>
      <c r="AK127" s="21" t="s">
        <v>190</v>
      </c>
      <c r="AL127" s="21" t="s">
        <v>203</v>
      </c>
      <c r="AM127" s="174" t="s">
        <v>1128</v>
      </c>
      <c r="AN127" s="22">
        <v>182</v>
      </c>
      <c r="AO127" s="22">
        <v>5</v>
      </c>
      <c r="AP127" s="22">
        <v>0</v>
      </c>
      <c r="AQ127" s="22">
        <v>0</v>
      </c>
      <c r="AR127" s="22">
        <v>0</v>
      </c>
      <c r="AS127" s="22">
        <v>7</v>
      </c>
      <c r="AT127" s="22">
        <v>10</v>
      </c>
      <c r="AU127" s="316">
        <f t="shared" si="12"/>
        <v>204</v>
      </c>
      <c r="AV127" s="22">
        <v>190</v>
      </c>
      <c r="AW127" s="22">
        <v>5</v>
      </c>
      <c r="AX127" s="22">
        <v>0</v>
      </c>
      <c r="AY127" s="22">
        <v>0</v>
      </c>
      <c r="AZ127" s="22">
        <v>0</v>
      </c>
      <c r="BA127" s="22">
        <v>7</v>
      </c>
      <c r="BB127" s="22">
        <v>10</v>
      </c>
      <c r="BC127" s="316">
        <f t="shared" si="13"/>
        <v>212</v>
      </c>
      <c r="BD127" s="58">
        <f t="shared" si="14"/>
        <v>8</v>
      </c>
      <c r="BE127" s="58">
        <f t="shared" si="15"/>
        <v>0</v>
      </c>
      <c r="BF127" s="58">
        <f t="shared" si="16"/>
        <v>0</v>
      </c>
      <c r="BG127" s="58">
        <f t="shared" si="17"/>
        <v>0</v>
      </c>
      <c r="BH127" s="58">
        <f t="shared" si="18"/>
        <v>0</v>
      </c>
      <c r="BI127" s="58">
        <f t="shared" si="19"/>
        <v>0</v>
      </c>
      <c r="BJ127" s="58">
        <f t="shared" si="20"/>
        <v>0</v>
      </c>
      <c r="BK127" s="58">
        <f t="shared" si="21"/>
        <v>8</v>
      </c>
    </row>
    <row r="128" spans="1:63" ht="27" customHeight="1">
      <c r="A128" s="13">
        <f t="shared" si="22"/>
        <v>126</v>
      </c>
      <c r="B128" s="14" t="s">
        <v>1129</v>
      </c>
      <c r="C128" s="10">
        <v>1152</v>
      </c>
      <c r="D128" s="76" t="s">
        <v>1130</v>
      </c>
      <c r="E128" s="77">
        <v>130013922</v>
      </c>
      <c r="F128" s="78" t="s">
        <v>1131</v>
      </c>
      <c r="G128" s="79" t="s">
        <v>1132</v>
      </c>
      <c r="H128" s="15" t="s">
        <v>1133</v>
      </c>
      <c r="I128" s="16" t="s">
        <v>1134</v>
      </c>
      <c r="J128" s="80" t="s">
        <v>178</v>
      </c>
      <c r="K128" s="24">
        <v>29978</v>
      </c>
      <c r="L128" s="93" t="s">
        <v>179</v>
      </c>
      <c r="M128" s="170">
        <v>42272</v>
      </c>
      <c r="N128" s="170"/>
      <c r="O128" s="19" t="s">
        <v>34</v>
      </c>
      <c r="P128" s="18" t="s">
        <v>1085</v>
      </c>
      <c r="Q128" s="18" t="s">
        <v>181</v>
      </c>
      <c r="R128" s="17" t="s">
        <v>182</v>
      </c>
      <c r="S128" s="19" t="s">
        <v>256</v>
      </c>
      <c r="T128" s="175"/>
      <c r="U128" s="175"/>
      <c r="V128" s="21" t="s">
        <v>200</v>
      </c>
      <c r="W128" s="21" t="s">
        <v>184</v>
      </c>
      <c r="X128" s="1">
        <v>5</v>
      </c>
      <c r="Y128" s="176" t="s">
        <v>1135</v>
      </c>
      <c r="Z128" s="86"/>
      <c r="AA128" s="86" t="s">
        <v>186</v>
      </c>
      <c r="AB128" s="1"/>
      <c r="AC128" s="177" t="s">
        <v>425</v>
      </c>
      <c r="AD128" s="115"/>
      <c r="AE128" s="115"/>
      <c r="AF128" s="124"/>
      <c r="AG128" s="122"/>
      <c r="AH128" s="178"/>
      <c r="AI128" s="178"/>
      <c r="AJ128" s="21" t="s">
        <v>203</v>
      </c>
      <c r="AK128" s="21" t="s">
        <v>190</v>
      </c>
      <c r="AL128" s="21" t="s">
        <v>190</v>
      </c>
      <c r="AM128" s="174" t="s">
        <v>1136</v>
      </c>
      <c r="AN128" s="22">
        <v>182</v>
      </c>
      <c r="AO128" s="22">
        <v>5</v>
      </c>
      <c r="AP128" s="22">
        <v>0</v>
      </c>
      <c r="AQ128" s="22">
        <v>0</v>
      </c>
      <c r="AR128" s="22">
        <v>0</v>
      </c>
      <c r="AS128" s="22">
        <v>7</v>
      </c>
      <c r="AT128" s="22">
        <v>10</v>
      </c>
      <c r="AU128" s="316">
        <f t="shared" si="12"/>
        <v>204</v>
      </c>
      <c r="AV128" s="22">
        <v>190</v>
      </c>
      <c r="AW128" s="22">
        <v>5</v>
      </c>
      <c r="AX128" s="22">
        <v>0</v>
      </c>
      <c r="AY128" s="22">
        <v>0</v>
      </c>
      <c r="AZ128" s="22">
        <v>0</v>
      </c>
      <c r="BA128" s="22">
        <v>7</v>
      </c>
      <c r="BB128" s="22">
        <v>10</v>
      </c>
      <c r="BC128" s="316">
        <f t="shared" si="13"/>
        <v>212</v>
      </c>
      <c r="BD128" s="58">
        <f t="shared" si="14"/>
        <v>8</v>
      </c>
      <c r="BE128" s="58">
        <f t="shared" si="15"/>
        <v>0</v>
      </c>
      <c r="BF128" s="58">
        <f t="shared" si="16"/>
        <v>0</v>
      </c>
      <c r="BG128" s="58">
        <f t="shared" si="17"/>
        <v>0</v>
      </c>
      <c r="BH128" s="58">
        <f t="shared" si="18"/>
        <v>0</v>
      </c>
      <c r="BI128" s="58">
        <f t="shared" si="19"/>
        <v>0</v>
      </c>
      <c r="BJ128" s="58">
        <f t="shared" si="20"/>
        <v>0</v>
      </c>
      <c r="BK128" s="58">
        <f t="shared" si="21"/>
        <v>8</v>
      </c>
    </row>
    <row r="129" spans="1:63" ht="27" customHeight="1">
      <c r="A129" s="13">
        <f t="shared" si="22"/>
        <v>127</v>
      </c>
      <c r="B129" s="14" t="s">
        <v>1137</v>
      </c>
      <c r="C129" s="10">
        <v>1153</v>
      </c>
      <c r="D129" s="76" t="s">
        <v>1138</v>
      </c>
      <c r="E129" s="77">
        <v>130169750</v>
      </c>
      <c r="F129" s="78" t="s">
        <v>1139</v>
      </c>
      <c r="G129" s="79" t="s">
        <v>1140</v>
      </c>
      <c r="H129" s="15" t="s">
        <v>1141</v>
      </c>
      <c r="I129" s="16" t="s">
        <v>1142</v>
      </c>
      <c r="J129" s="80" t="s">
        <v>178</v>
      </c>
      <c r="K129" s="24">
        <v>30029</v>
      </c>
      <c r="L129" s="93" t="s">
        <v>179</v>
      </c>
      <c r="M129" s="170">
        <v>42271</v>
      </c>
      <c r="N129" s="170"/>
      <c r="O129" s="19" t="s">
        <v>34</v>
      </c>
      <c r="P129" s="18" t="s">
        <v>1085</v>
      </c>
      <c r="Q129" s="18" t="s">
        <v>181</v>
      </c>
      <c r="R129" s="19" t="s">
        <v>182</v>
      </c>
      <c r="S129" s="19" t="s">
        <v>183</v>
      </c>
      <c r="T129" s="20"/>
      <c r="U129" s="20"/>
      <c r="V129" s="84" t="s">
        <v>200</v>
      </c>
      <c r="W129" s="84" t="s">
        <v>184</v>
      </c>
      <c r="X129" s="84">
        <v>7</v>
      </c>
      <c r="Y129" s="85" t="s">
        <v>1143</v>
      </c>
      <c r="Z129" s="86"/>
      <c r="AA129" s="86" t="s">
        <v>186</v>
      </c>
      <c r="AB129" s="1"/>
      <c r="AC129" s="177" t="s">
        <v>364</v>
      </c>
      <c r="AD129" s="115"/>
      <c r="AE129" s="115"/>
      <c r="AF129" s="124"/>
      <c r="AG129" s="122"/>
      <c r="AH129" s="178"/>
      <c r="AI129" s="178"/>
      <c r="AJ129" s="21" t="s">
        <v>203</v>
      </c>
      <c r="AK129" s="21" t="s">
        <v>190</v>
      </c>
      <c r="AL129" s="21" t="s">
        <v>190</v>
      </c>
      <c r="AM129" s="174" t="s">
        <v>1136</v>
      </c>
      <c r="AN129" s="22">
        <v>182</v>
      </c>
      <c r="AO129" s="22">
        <v>0</v>
      </c>
      <c r="AP129" s="22">
        <v>0</v>
      </c>
      <c r="AQ129" s="22">
        <v>10</v>
      </c>
      <c r="AR129" s="22">
        <v>0</v>
      </c>
      <c r="AS129" s="22">
        <v>7</v>
      </c>
      <c r="AT129" s="22">
        <v>10</v>
      </c>
      <c r="AU129" s="316">
        <f t="shared" si="12"/>
        <v>209</v>
      </c>
      <c r="AV129" s="22">
        <v>190</v>
      </c>
      <c r="AW129" s="22">
        <v>0</v>
      </c>
      <c r="AX129" s="22">
        <v>0</v>
      </c>
      <c r="AY129" s="22">
        <v>10</v>
      </c>
      <c r="AZ129" s="22">
        <v>0</v>
      </c>
      <c r="BA129" s="22">
        <v>7</v>
      </c>
      <c r="BB129" s="22">
        <v>10</v>
      </c>
      <c r="BC129" s="316">
        <f t="shared" si="13"/>
        <v>217</v>
      </c>
      <c r="BD129" s="58">
        <f t="shared" si="14"/>
        <v>8</v>
      </c>
      <c r="BE129" s="58">
        <f t="shared" si="15"/>
        <v>0</v>
      </c>
      <c r="BF129" s="58">
        <f t="shared" si="16"/>
        <v>0</v>
      </c>
      <c r="BG129" s="58">
        <f t="shared" si="17"/>
        <v>0</v>
      </c>
      <c r="BH129" s="58">
        <f t="shared" si="18"/>
        <v>0</v>
      </c>
      <c r="BI129" s="58">
        <f t="shared" si="19"/>
        <v>0</v>
      </c>
      <c r="BJ129" s="58">
        <f t="shared" si="20"/>
        <v>0</v>
      </c>
      <c r="BK129" s="58">
        <f t="shared" si="21"/>
        <v>8</v>
      </c>
    </row>
    <row r="130" spans="1:63" ht="27" customHeight="1">
      <c r="A130" s="13">
        <f t="shared" si="22"/>
        <v>128</v>
      </c>
      <c r="B130" s="14" t="s">
        <v>1144</v>
      </c>
      <c r="C130" s="10">
        <v>1166</v>
      </c>
      <c r="D130" s="76" t="s">
        <v>1145</v>
      </c>
      <c r="E130" s="77">
        <v>110546953</v>
      </c>
      <c r="F130" s="78" t="s">
        <v>1146</v>
      </c>
      <c r="G130" s="79" t="s">
        <v>1147</v>
      </c>
      <c r="H130" s="15" t="s">
        <v>1148</v>
      </c>
      <c r="I130" s="16" t="s">
        <v>1149</v>
      </c>
      <c r="J130" s="80" t="s">
        <v>178</v>
      </c>
      <c r="K130" s="24">
        <v>29830</v>
      </c>
      <c r="L130" s="93" t="s">
        <v>179</v>
      </c>
      <c r="M130" s="170">
        <v>42280</v>
      </c>
      <c r="N130" s="170"/>
      <c r="O130" s="19" t="s">
        <v>34</v>
      </c>
      <c r="P130" s="18" t="s">
        <v>265</v>
      </c>
      <c r="Q130" s="18" t="s">
        <v>181</v>
      </c>
      <c r="R130" s="19" t="s">
        <v>182</v>
      </c>
      <c r="S130" s="19" t="s">
        <v>228</v>
      </c>
      <c r="T130" s="20"/>
      <c r="U130" s="20"/>
      <c r="V130" s="84" t="s">
        <v>200</v>
      </c>
      <c r="W130" s="84" t="s">
        <v>184</v>
      </c>
      <c r="X130" s="84">
        <v>5</v>
      </c>
      <c r="Y130" s="85" t="s">
        <v>1150</v>
      </c>
      <c r="Z130" s="86"/>
      <c r="AA130" s="86"/>
      <c r="AB130" s="86" t="s">
        <v>186</v>
      </c>
      <c r="AC130" s="177"/>
      <c r="AD130" s="115"/>
      <c r="AE130" s="115"/>
      <c r="AF130" s="124"/>
      <c r="AG130" s="122"/>
      <c r="AH130" s="178"/>
      <c r="AI130" s="178"/>
      <c r="AJ130" s="21" t="s">
        <v>203</v>
      </c>
      <c r="AK130" s="21" t="s">
        <v>190</v>
      </c>
      <c r="AL130" s="21" t="s">
        <v>203</v>
      </c>
      <c r="AM130" s="174" t="s">
        <v>1151</v>
      </c>
      <c r="AN130" s="22">
        <v>182</v>
      </c>
      <c r="AO130" s="22">
        <v>5</v>
      </c>
      <c r="AP130" s="22">
        <v>0</v>
      </c>
      <c r="AQ130" s="22">
        <v>32</v>
      </c>
      <c r="AR130" s="22">
        <v>0</v>
      </c>
      <c r="AS130" s="22">
        <v>7</v>
      </c>
      <c r="AT130" s="22">
        <v>10</v>
      </c>
      <c r="AU130" s="316">
        <f t="shared" si="12"/>
        <v>236</v>
      </c>
      <c r="AV130" s="22">
        <v>190</v>
      </c>
      <c r="AW130" s="22">
        <v>5</v>
      </c>
      <c r="AX130" s="22">
        <v>0</v>
      </c>
      <c r="AY130" s="22">
        <v>32</v>
      </c>
      <c r="AZ130" s="22">
        <v>0</v>
      </c>
      <c r="BA130" s="22">
        <v>7</v>
      </c>
      <c r="BB130" s="22">
        <v>10</v>
      </c>
      <c r="BC130" s="316">
        <f t="shared" si="13"/>
        <v>244</v>
      </c>
      <c r="BD130" s="58">
        <f t="shared" si="14"/>
        <v>8</v>
      </c>
      <c r="BE130" s="58">
        <f t="shared" si="15"/>
        <v>0</v>
      </c>
      <c r="BF130" s="58">
        <f t="shared" si="16"/>
        <v>0</v>
      </c>
      <c r="BG130" s="58">
        <f t="shared" si="17"/>
        <v>0</v>
      </c>
      <c r="BH130" s="58">
        <f t="shared" si="18"/>
        <v>0</v>
      </c>
      <c r="BI130" s="58">
        <f t="shared" si="19"/>
        <v>0</v>
      </c>
      <c r="BJ130" s="58">
        <f t="shared" si="20"/>
        <v>0</v>
      </c>
      <c r="BK130" s="58">
        <f t="shared" si="21"/>
        <v>8</v>
      </c>
    </row>
    <row r="131" spans="1:63" ht="27" customHeight="1">
      <c r="A131" s="13">
        <f t="shared" si="22"/>
        <v>129</v>
      </c>
      <c r="B131" s="14" t="s">
        <v>1152</v>
      </c>
      <c r="C131" s="10">
        <v>1174</v>
      </c>
      <c r="D131" s="76" t="s">
        <v>1153</v>
      </c>
      <c r="E131" s="77">
        <v>130083078</v>
      </c>
      <c r="F131" s="78" t="s">
        <v>1154</v>
      </c>
      <c r="G131" s="79" t="s">
        <v>1155</v>
      </c>
      <c r="H131" s="15" t="s">
        <v>1156</v>
      </c>
      <c r="I131" s="16" t="s">
        <v>1157</v>
      </c>
      <c r="J131" s="80" t="s">
        <v>178</v>
      </c>
      <c r="K131" s="24">
        <v>32614</v>
      </c>
      <c r="L131" s="93" t="s">
        <v>179</v>
      </c>
      <c r="M131" s="170">
        <v>42296</v>
      </c>
      <c r="N131" s="170"/>
      <c r="O131" s="19" t="s">
        <v>34</v>
      </c>
      <c r="P131" s="18" t="s">
        <v>348</v>
      </c>
      <c r="Q131" s="18" t="s">
        <v>181</v>
      </c>
      <c r="R131" s="19" t="s">
        <v>182</v>
      </c>
      <c r="S131" s="19" t="s">
        <v>256</v>
      </c>
      <c r="T131" s="20"/>
      <c r="U131" s="20"/>
      <c r="V131" s="84" t="s">
        <v>200</v>
      </c>
      <c r="W131" s="84">
        <v>13061</v>
      </c>
      <c r="X131" s="84">
        <v>6</v>
      </c>
      <c r="Y131" s="85" t="s">
        <v>1158</v>
      </c>
      <c r="Z131" s="86"/>
      <c r="AA131" s="86" t="s">
        <v>186</v>
      </c>
      <c r="AB131" s="1"/>
      <c r="AC131" s="177" t="s">
        <v>364</v>
      </c>
      <c r="AD131" s="115" t="s">
        <v>189</v>
      </c>
      <c r="AE131" s="115"/>
      <c r="AF131" s="124"/>
      <c r="AG131" s="122"/>
      <c r="AH131" s="178"/>
      <c r="AI131" s="178"/>
      <c r="AJ131" s="21" t="s">
        <v>203</v>
      </c>
      <c r="AK131" s="21" t="s">
        <v>190</v>
      </c>
      <c r="AL131" s="21" t="s">
        <v>203</v>
      </c>
      <c r="AM131" s="123" t="s">
        <v>1159</v>
      </c>
      <c r="AN131" s="22">
        <v>182</v>
      </c>
      <c r="AO131" s="22">
        <v>5</v>
      </c>
      <c r="AP131" s="22">
        <v>0</v>
      </c>
      <c r="AQ131" s="22">
        <v>0</v>
      </c>
      <c r="AR131" s="22">
        <v>0</v>
      </c>
      <c r="AS131" s="22">
        <v>7</v>
      </c>
      <c r="AT131" s="22">
        <v>10</v>
      </c>
      <c r="AU131" s="316">
        <f t="shared" si="12"/>
        <v>204</v>
      </c>
      <c r="AV131" s="22">
        <v>190</v>
      </c>
      <c r="AW131" s="22">
        <v>5</v>
      </c>
      <c r="AX131" s="22">
        <v>0</v>
      </c>
      <c r="AY131" s="22">
        <v>0</v>
      </c>
      <c r="AZ131" s="22">
        <v>0</v>
      </c>
      <c r="BA131" s="22">
        <v>7</v>
      </c>
      <c r="BB131" s="22">
        <v>10</v>
      </c>
      <c r="BC131" s="316">
        <f t="shared" si="13"/>
        <v>212</v>
      </c>
      <c r="BD131" s="58">
        <f t="shared" si="14"/>
        <v>8</v>
      </c>
      <c r="BE131" s="58">
        <f t="shared" si="15"/>
        <v>0</v>
      </c>
      <c r="BF131" s="58">
        <f t="shared" si="16"/>
        <v>0</v>
      </c>
      <c r="BG131" s="58">
        <f t="shared" si="17"/>
        <v>0</v>
      </c>
      <c r="BH131" s="58">
        <f t="shared" si="18"/>
        <v>0</v>
      </c>
      <c r="BI131" s="58">
        <f t="shared" si="19"/>
        <v>0</v>
      </c>
      <c r="BJ131" s="58">
        <f t="shared" si="20"/>
        <v>0</v>
      </c>
      <c r="BK131" s="58">
        <f t="shared" si="21"/>
        <v>8</v>
      </c>
    </row>
    <row r="132" spans="1:63" ht="27" customHeight="1">
      <c r="A132" s="13">
        <f t="shared" si="22"/>
        <v>130</v>
      </c>
      <c r="B132" s="14" t="s">
        <v>1160</v>
      </c>
      <c r="C132" s="10">
        <v>1182</v>
      </c>
      <c r="D132" s="76" t="s">
        <v>1161</v>
      </c>
      <c r="E132" s="77">
        <v>130017637</v>
      </c>
      <c r="F132" s="106" t="s">
        <v>1162</v>
      </c>
      <c r="G132" s="107" t="s">
        <v>1163</v>
      </c>
      <c r="H132" s="26" t="s">
        <v>1164</v>
      </c>
      <c r="I132" s="27" t="s">
        <v>1165</v>
      </c>
      <c r="J132" s="98" t="s">
        <v>178</v>
      </c>
      <c r="K132" s="28">
        <v>29620</v>
      </c>
      <c r="L132" s="82" t="s">
        <v>179</v>
      </c>
      <c r="M132" s="25">
        <v>42294</v>
      </c>
      <c r="N132" s="25"/>
      <c r="O132" s="17" t="s">
        <v>34</v>
      </c>
      <c r="P132" s="18" t="s">
        <v>1085</v>
      </c>
      <c r="Q132" s="18" t="s">
        <v>181</v>
      </c>
      <c r="R132" s="17" t="s">
        <v>182</v>
      </c>
      <c r="S132" s="19" t="s">
        <v>256</v>
      </c>
      <c r="T132" s="175"/>
      <c r="U132" s="175"/>
      <c r="V132" s="21" t="s">
        <v>200</v>
      </c>
      <c r="W132" s="21" t="s">
        <v>184</v>
      </c>
      <c r="X132" s="1">
        <v>9</v>
      </c>
      <c r="Y132" s="176" t="s">
        <v>1166</v>
      </c>
      <c r="Z132" s="86"/>
      <c r="AA132" s="86"/>
      <c r="AB132" s="1"/>
      <c r="AC132" s="177"/>
      <c r="AD132" s="115"/>
      <c r="AE132" s="115"/>
      <c r="AF132" s="124"/>
      <c r="AG132" s="122"/>
      <c r="AH132" s="178"/>
      <c r="AI132" s="178"/>
      <c r="AJ132" s="21" t="s">
        <v>203</v>
      </c>
      <c r="AK132" s="21" t="s">
        <v>190</v>
      </c>
      <c r="AL132" s="21" t="s">
        <v>190</v>
      </c>
      <c r="AM132" s="174" t="s">
        <v>1167</v>
      </c>
      <c r="AN132" s="22">
        <v>182</v>
      </c>
      <c r="AO132" s="22">
        <v>5</v>
      </c>
      <c r="AP132" s="22">
        <v>0</v>
      </c>
      <c r="AQ132" s="22">
        <v>0</v>
      </c>
      <c r="AR132" s="22">
        <v>0</v>
      </c>
      <c r="AS132" s="22">
        <v>7</v>
      </c>
      <c r="AT132" s="22">
        <v>10</v>
      </c>
      <c r="AU132" s="316">
        <f t="shared" ref="AU132:AU195" si="23">SUM(AN132:AT132)</f>
        <v>204</v>
      </c>
      <c r="AV132" s="22">
        <v>190</v>
      </c>
      <c r="AW132" s="22">
        <v>5</v>
      </c>
      <c r="AX132" s="22">
        <v>0</v>
      </c>
      <c r="AY132" s="22">
        <v>0</v>
      </c>
      <c r="AZ132" s="22">
        <v>0</v>
      </c>
      <c r="BA132" s="22">
        <v>7</v>
      </c>
      <c r="BB132" s="22">
        <v>10</v>
      </c>
      <c r="BC132" s="316">
        <f t="shared" ref="BC132:BC195" si="24">SUM(AV132:BB132)</f>
        <v>212</v>
      </c>
      <c r="BD132" s="58">
        <f t="shared" ref="BD132:BD195" si="25">AV132-AN132</f>
        <v>8</v>
      </c>
      <c r="BE132" s="58">
        <f t="shared" ref="BE132:BE195" si="26">AW132-AO132</f>
        <v>0</v>
      </c>
      <c r="BF132" s="58">
        <f t="shared" ref="BF132:BF195" si="27">AX132-AP132</f>
        <v>0</v>
      </c>
      <c r="BG132" s="58">
        <f t="shared" ref="BG132:BG195" si="28">AY132-AQ132</f>
        <v>0</v>
      </c>
      <c r="BH132" s="58">
        <f t="shared" ref="BH132:BH195" si="29">AZ132-AR132</f>
        <v>0</v>
      </c>
      <c r="BI132" s="58">
        <f t="shared" ref="BI132:BI195" si="30">BA132-AS132</f>
        <v>0</v>
      </c>
      <c r="BJ132" s="58">
        <f t="shared" ref="BJ132:BJ195" si="31">BB132-AT132</f>
        <v>0</v>
      </c>
      <c r="BK132" s="58">
        <f t="shared" ref="BK132:BK195" si="32">BC132-AU132</f>
        <v>8</v>
      </c>
    </row>
    <row r="133" spans="1:63" ht="27" customHeight="1">
      <c r="A133" s="13">
        <f t="shared" ref="A133:A196" si="33">1+A132</f>
        <v>131</v>
      </c>
      <c r="B133" s="14" t="s">
        <v>1168</v>
      </c>
      <c r="C133" s="10">
        <v>1187</v>
      </c>
      <c r="D133" s="76" t="s">
        <v>1169</v>
      </c>
      <c r="E133" s="77">
        <v>50104990</v>
      </c>
      <c r="F133" s="106" t="s">
        <v>1170</v>
      </c>
      <c r="G133" s="107" t="s">
        <v>1171</v>
      </c>
      <c r="H133" s="26" t="s">
        <v>1172</v>
      </c>
      <c r="I133" s="27" t="s">
        <v>1173</v>
      </c>
      <c r="J133" s="98" t="s">
        <v>178</v>
      </c>
      <c r="K133" s="28">
        <v>30408</v>
      </c>
      <c r="L133" s="82" t="s">
        <v>179</v>
      </c>
      <c r="M133" s="25">
        <v>42297</v>
      </c>
      <c r="N133" s="25"/>
      <c r="O133" s="17" t="s">
        <v>34</v>
      </c>
      <c r="P133" s="18" t="s">
        <v>1085</v>
      </c>
      <c r="Q133" s="18" t="s">
        <v>181</v>
      </c>
      <c r="R133" s="17" t="s">
        <v>182</v>
      </c>
      <c r="S133" s="13" t="s">
        <v>219</v>
      </c>
      <c r="T133" s="175"/>
      <c r="U133" s="175"/>
      <c r="V133" s="21" t="s">
        <v>200</v>
      </c>
      <c r="W133" s="21" t="s">
        <v>184</v>
      </c>
      <c r="X133" s="1">
        <v>5</v>
      </c>
      <c r="Y133" s="77" t="s">
        <v>184</v>
      </c>
      <c r="Z133" s="86"/>
      <c r="AA133" s="86" t="s">
        <v>186</v>
      </c>
      <c r="AB133" s="1"/>
      <c r="AC133" s="177" t="s">
        <v>1174</v>
      </c>
      <c r="AD133" s="115"/>
      <c r="AE133" s="115"/>
      <c r="AF133" s="124"/>
      <c r="AG133" s="122"/>
      <c r="AH133" s="178"/>
      <c r="AI133" s="178"/>
      <c r="AJ133" s="21" t="s">
        <v>203</v>
      </c>
      <c r="AK133" s="21" t="s">
        <v>190</v>
      </c>
      <c r="AL133" s="21" t="s">
        <v>190</v>
      </c>
      <c r="AM133" s="174" t="s">
        <v>1175</v>
      </c>
      <c r="AN133" s="22">
        <v>182</v>
      </c>
      <c r="AO133" s="22">
        <v>5</v>
      </c>
      <c r="AP133" s="22">
        <v>0</v>
      </c>
      <c r="AQ133" s="22">
        <v>0</v>
      </c>
      <c r="AR133" s="22">
        <v>0</v>
      </c>
      <c r="AS133" s="22">
        <v>7</v>
      </c>
      <c r="AT133" s="22">
        <v>10</v>
      </c>
      <c r="AU133" s="316">
        <f t="shared" si="23"/>
        <v>204</v>
      </c>
      <c r="AV133" s="22">
        <v>190</v>
      </c>
      <c r="AW133" s="22">
        <v>5</v>
      </c>
      <c r="AX133" s="22">
        <v>0</v>
      </c>
      <c r="AY133" s="22">
        <v>0</v>
      </c>
      <c r="AZ133" s="22">
        <v>0</v>
      </c>
      <c r="BA133" s="22">
        <v>7</v>
      </c>
      <c r="BB133" s="22">
        <v>10</v>
      </c>
      <c r="BC133" s="316">
        <f t="shared" si="24"/>
        <v>212</v>
      </c>
      <c r="BD133" s="58">
        <f t="shared" si="25"/>
        <v>8</v>
      </c>
      <c r="BE133" s="58">
        <f t="shared" si="26"/>
        <v>0</v>
      </c>
      <c r="BF133" s="58">
        <f t="shared" si="27"/>
        <v>0</v>
      </c>
      <c r="BG133" s="58">
        <f t="shared" si="28"/>
        <v>0</v>
      </c>
      <c r="BH133" s="58">
        <f t="shared" si="29"/>
        <v>0</v>
      </c>
      <c r="BI133" s="58">
        <f t="shared" si="30"/>
        <v>0</v>
      </c>
      <c r="BJ133" s="58">
        <f t="shared" si="31"/>
        <v>0</v>
      </c>
      <c r="BK133" s="58">
        <f t="shared" si="32"/>
        <v>8</v>
      </c>
    </row>
    <row r="134" spans="1:63" ht="27" customHeight="1">
      <c r="A134" s="13">
        <f t="shared" si="33"/>
        <v>132</v>
      </c>
      <c r="B134" s="14" t="s">
        <v>1176</v>
      </c>
      <c r="C134" s="10">
        <v>1218</v>
      </c>
      <c r="D134" s="76" t="s">
        <v>1177</v>
      </c>
      <c r="E134" s="77">
        <v>130013259</v>
      </c>
      <c r="F134" s="78" t="s">
        <v>1178</v>
      </c>
      <c r="G134" s="79" t="s">
        <v>1179</v>
      </c>
      <c r="H134" s="15" t="s">
        <v>1180</v>
      </c>
      <c r="I134" s="16" t="s">
        <v>1181</v>
      </c>
      <c r="J134" s="80" t="s">
        <v>178</v>
      </c>
      <c r="K134" s="24">
        <v>27427</v>
      </c>
      <c r="L134" s="82" t="s">
        <v>179</v>
      </c>
      <c r="M134" s="25">
        <v>42298</v>
      </c>
      <c r="N134" s="25"/>
      <c r="O134" s="17" t="s">
        <v>34</v>
      </c>
      <c r="P134" s="18" t="s">
        <v>1085</v>
      </c>
      <c r="Q134" s="18" t="s">
        <v>181</v>
      </c>
      <c r="R134" s="17" t="s">
        <v>182</v>
      </c>
      <c r="S134" s="19" t="s">
        <v>256</v>
      </c>
      <c r="T134" s="175"/>
      <c r="U134" s="175"/>
      <c r="V134" s="21" t="s">
        <v>200</v>
      </c>
      <c r="W134" s="21" t="s">
        <v>184</v>
      </c>
      <c r="X134" s="1">
        <v>7</v>
      </c>
      <c r="Y134" s="176" t="s">
        <v>1182</v>
      </c>
      <c r="Z134" s="86"/>
      <c r="AA134" s="86"/>
      <c r="AB134" s="1"/>
      <c r="AC134" s="177" t="s">
        <v>1183</v>
      </c>
      <c r="AD134" s="115" t="s">
        <v>188</v>
      </c>
      <c r="AE134" s="115" t="s">
        <v>188</v>
      </c>
      <c r="AF134" s="124"/>
      <c r="AG134" s="122"/>
      <c r="AH134" s="178"/>
      <c r="AI134" s="178"/>
      <c r="AJ134" s="21" t="s">
        <v>203</v>
      </c>
      <c r="AK134" s="21" t="s">
        <v>190</v>
      </c>
      <c r="AL134" s="21" t="s">
        <v>203</v>
      </c>
      <c r="AM134" s="123" t="s">
        <v>1184</v>
      </c>
      <c r="AN134" s="22">
        <v>182</v>
      </c>
      <c r="AO134" s="22">
        <v>5</v>
      </c>
      <c r="AP134" s="22">
        <v>0</v>
      </c>
      <c r="AQ134" s="22">
        <v>0</v>
      </c>
      <c r="AR134" s="22">
        <v>0</v>
      </c>
      <c r="AS134" s="22">
        <v>7</v>
      </c>
      <c r="AT134" s="22">
        <v>10</v>
      </c>
      <c r="AU134" s="316">
        <f t="shared" si="23"/>
        <v>204</v>
      </c>
      <c r="AV134" s="22">
        <v>190</v>
      </c>
      <c r="AW134" s="22">
        <v>5</v>
      </c>
      <c r="AX134" s="22">
        <v>0</v>
      </c>
      <c r="AY134" s="22">
        <v>0</v>
      </c>
      <c r="AZ134" s="22">
        <v>0</v>
      </c>
      <c r="BA134" s="22">
        <v>7</v>
      </c>
      <c r="BB134" s="22">
        <v>10</v>
      </c>
      <c r="BC134" s="316">
        <f t="shared" si="24"/>
        <v>212</v>
      </c>
      <c r="BD134" s="58">
        <f t="shared" si="25"/>
        <v>8</v>
      </c>
      <c r="BE134" s="58">
        <f t="shared" si="26"/>
        <v>0</v>
      </c>
      <c r="BF134" s="58">
        <f t="shared" si="27"/>
        <v>0</v>
      </c>
      <c r="BG134" s="58">
        <f t="shared" si="28"/>
        <v>0</v>
      </c>
      <c r="BH134" s="58">
        <f t="shared" si="29"/>
        <v>0</v>
      </c>
      <c r="BI134" s="58">
        <f t="shared" si="30"/>
        <v>0</v>
      </c>
      <c r="BJ134" s="58">
        <f t="shared" si="31"/>
        <v>0</v>
      </c>
      <c r="BK134" s="58">
        <f t="shared" si="32"/>
        <v>8</v>
      </c>
    </row>
    <row r="135" spans="1:63" ht="27" customHeight="1">
      <c r="A135" s="13">
        <f t="shared" si="33"/>
        <v>133</v>
      </c>
      <c r="B135" s="14" t="s">
        <v>1185</v>
      </c>
      <c r="C135" s="10">
        <v>1238</v>
      </c>
      <c r="D135" s="76" t="s">
        <v>1186</v>
      </c>
      <c r="E135" s="85">
        <v>130166782</v>
      </c>
      <c r="F135" s="78" t="s">
        <v>436</v>
      </c>
      <c r="G135" s="79" t="s">
        <v>1187</v>
      </c>
      <c r="H135" s="15" t="s">
        <v>1188</v>
      </c>
      <c r="I135" s="16" t="s">
        <v>1189</v>
      </c>
      <c r="J135" s="80" t="s">
        <v>178</v>
      </c>
      <c r="K135" s="24">
        <v>30334</v>
      </c>
      <c r="L135" s="82" t="s">
        <v>179</v>
      </c>
      <c r="M135" s="25">
        <v>42299</v>
      </c>
      <c r="N135" s="25"/>
      <c r="O135" s="17" t="s">
        <v>34</v>
      </c>
      <c r="P135" s="18" t="s">
        <v>339</v>
      </c>
      <c r="Q135" s="18" t="s">
        <v>181</v>
      </c>
      <c r="R135" s="17" t="s">
        <v>182</v>
      </c>
      <c r="S135" s="19" t="s">
        <v>256</v>
      </c>
      <c r="T135" s="175"/>
      <c r="U135" s="175"/>
      <c r="V135" s="21" t="s">
        <v>200</v>
      </c>
      <c r="W135" s="21" t="s">
        <v>184</v>
      </c>
      <c r="X135" s="1">
        <v>9</v>
      </c>
      <c r="Y135" s="176" t="s">
        <v>1190</v>
      </c>
      <c r="Z135" s="86"/>
      <c r="AA135" s="86" t="s">
        <v>186</v>
      </c>
      <c r="AB135" s="1"/>
      <c r="AC135" s="177" t="s">
        <v>1191</v>
      </c>
      <c r="AD135" s="115" t="s">
        <v>188</v>
      </c>
      <c r="AE135" s="115" t="s">
        <v>188</v>
      </c>
      <c r="AF135" s="115" t="s">
        <v>188</v>
      </c>
      <c r="AG135" s="115" t="s">
        <v>188</v>
      </c>
      <c r="AH135" s="178"/>
      <c r="AI135" s="178"/>
      <c r="AJ135" s="21" t="s">
        <v>203</v>
      </c>
      <c r="AK135" s="21" t="s">
        <v>190</v>
      </c>
      <c r="AL135" s="21" t="s">
        <v>203</v>
      </c>
      <c r="AM135" s="123" t="s">
        <v>1192</v>
      </c>
      <c r="AN135" s="22">
        <v>182</v>
      </c>
      <c r="AO135" s="22">
        <v>5</v>
      </c>
      <c r="AP135" s="22">
        <v>0</v>
      </c>
      <c r="AQ135" s="22">
        <v>0</v>
      </c>
      <c r="AR135" s="22">
        <v>0</v>
      </c>
      <c r="AS135" s="22">
        <v>7</v>
      </c>
      <c r="AT135" s="22">
        <v>10</v>
      </c>
      <c r="AU135" s="316">
        <f t="shared" si="23"/>
        <v>204</v>
      </c>
      <c r="AV135" s="22">
        <v>190</v>
      </c>
      <c r="AW135" s="22">
        <v>5</v>
      </c>
      <c r="AX135" s="22">
        <v>0</v>
      </c>
      <c r="AY135" s="22">
        <v>0</v>
      </c>
      <c r="AZ135" s="22">
        <v>0</v>
      </c>
      <c r="BA135" s="22">
        <v>7</v>
      </c>
      <c r="BB135" s="22">
        <v>10</v>
      </c>
      <c r="BC135" s="316">
        <f t="shared" si="24"/>
        <v>212</v>
      </c>
      <c r="BD135" s="58">
        <f t="shared" si="25"/>
        <v>8</v>
      </c>
      <c r="BE135" s="58">
        <f t="shared" si="26"/>
        <v>0</v>
      </c>
      <c r="BF135" s="58">
        <f t="shared" si="27"/>
        <v>0</v>
      </c>
      <c r="BG135" s="58">
        <f t="shared" si="28"/>
        <v>0</v>
      </c>
      <c r="BH135" s="58">
        <f t="shared" si="29"/>
        <v>0</v>
      </c>
      <c r="BI135" s="58">
        <f t="shared" si="30"/>
        <v>0</v>
      </c>
      <c r="BJ135" s="58">
        <f t="shared" si="31"/>
        <v>0</v>
      </c>
      <c r="BK135" s="58">
        <f t="shared" si="32"/>
        <v>8</v>
      </c>
    </row>
    <row r="136" spans="1:63" ht="27" customHeight="1">
      <c r="A136" s="13">
        <f t="shared" si="33"/>
        <v>134</v>
      </c>
      <c r="B136" s="14" t="s">
        <v>1193</v>
      </c>
      <c r="C136" s="10">
        <v>1239</v>
      </c>
      <c r="D136" s="76" t="s">
        <v>1194</v>
      </c>
      <c r="E136" s="85">
        <v>60737765</v>
      </c>
      <c r="F136" s="78" t="s">
        <v>1195</v>
      </c>
      <c r="G136" s="79" t="s">
        <v>1196</v>
      </c>
      <c r="H136" s="15" t="s">
        <v>1197</v>
      </c>
      <c r="I136" s="16" t="s">
        <v>1198</v>
      </c>
      <c r="J136" s="80" t="s">
        <v>178</v>
      </c>
      <c r="K136" s="24">
        <v>30688</v>
      </c>
      <c r="L136" s="82" t="s">
        <v>179</v>
      </c>
      <c r="M136" s="25">
        <v>42299</v>
      </c>
      <c r="N136" s="25"/>
      <c r="O136" s="17" t="s">
        <v>34</v>
      </c>
      <c r="P136" s="18" t="s">
        <v>265</v>
      </c>
      <c r="Q136" s="18" t="s">
        <v>181</v>
      </c>
      <c r="R136" s="19" t="s">
        <v>182</v>
      </c>
      <c r="S136" s="19" t="s">
        <v>183</v>
      </c>
      <c r="T136" s="20"/>
      <c r="U136" s="20"/>
      <c r="V136" s="84" t="s">
        <v>200</v>
      </c>
      <c r="W136" s="84" t="s">
        <v>184</v>
      </c>
      <c r="X136" s="84">
        <v>6</v>
      </c>
      <c r="Y136" s="85" t="s">
        <v>184</v>
      </c>
      <c r="Z136" s="86"/>
      <c r="AA136" s="86" t="s">
        <v>186</v>
      </c>
      <c r="AB136" s="1"/>
      <c r="AC136" s="177" t="s">
        <v>202</v>
      </c>
      <c r="AD136" s="115" t="s">
        <v>189</v>
      </c>
      <c r="AE136" s="115" t="s">
        <v>189</v>
      </c>
      <c r="AF136" s="124"/>
      <c r="AG136" s="122"/>
      <c r="AH136" s="178"/>
      <c r="AI136" s="178"/>
      <c r="AJ136" s="21" t="s">
        <v>203</v>
      </c>
      <c r="AK136" s="21" t="s">
        <v>190</v>
      </c>
      <c r="AL136" s="21" t="s">
        <v>203</v>
      </c>
      <c r="AM136" s="123" t="s">
        <v>1199</v>
      </c>
      <c r="AN136" s="22">
        <v>182</v>
      </c>
      <c r="AO136" s="22">
        <v>5</v>
      </c>
      <c r="AP136" s="22">
        <v>0</v>
      </c>
      <c r="AQ136" s="22">
        <v>0</v>
      </c>
      <c r="AR136" s="22">
        <v>0</v>
      </c>
      <c r="AS136" s="22">
        <v>7</v>
      </c>
      <c r="AT136" s="22">
        <v>10</v>
      </c>
      <c r="AU136" s="316">
        <f t="shared" si="23"/>
        <v>204</v>
      </c>
      <c r="AV136" s="22">
        <v>190</v>
      </c>
      <c r="AW136" s="22">
        <v>5</v>
      </c>
      <c r="AX136" s="22">
        <v>0</v>
      </c>
      <c r="AY136" s="22">
        <v>0</v>
      </c>
      <c r="AZ136" s="22">
        <v>0</v>
      </c>
      <c r="BA136" s="22">
        <v>7</v>
      </c>
      <c r="BB136" s="22">
        <v>10</v>
      </c>
      <c r="BC136" s="316">
        <f t="shared" si="24"/>
        <v>212</v>
      </c>
      <c r="BD136" s="58">
        <f t="shared" si="25"/>
        <v>8</v>
      </c>
      <c r="BE136" s="58">
        <f t="shared" si="26"/>
        <v>0</v>
      </c>
      <c r="BF136" s="58">
        <f t="shared" si="27"/>
        <v>0</v>
      </c>
      <c r="BG136" s="58">
        <f t="shared" si="28"/>
        <v>0</v>
      </c>
      <c r="BH136" s="58">
        <f t="shared" si="29"/>
        <v>0</v>
      </c>
      <c r="BI136" s="58">
        <f t="shared" si="30"/>
        <v>0</v>
      </c>
      <c r="BJ136" s="58">
        <f t="shared" si="31"/>
        <v>0</v>
      </c>
      <c r="BK136" s="58">
        <f t="shared" si="32"/>
        <v>8</v>
      </c>
    </row>
    <row r="137" spans="1:63" ht="27" customHeight="1">
      <c r="A137" s="13">
        <f t="shared" si="33"/>
        <v>135</v>
      </c>
      <c r="B137" s="14" t="s">
        <v>1200</v>
      </c>
      <c r="C137" s="10">
        <v>1240</v>
      </c>
      <c r="D137" s="76" t="s">
        <v>1201</v>
      </c>
      <c r="E137" s="85" t="s">
        <v>190</v>
      </c>
      <c r="F137" s="78" t="s">
        <v>1202</v>
      </c>
      <c r="G137" s="79" t="s">
        <v>1203</v>
      </c>
      <c r="H137" s="15" t="s">
        <v>1204</v>
      </c>
      <c r="I137" s="16" t="s">
        <v>1205</v>
      </c>
      <c r="J137" s="80" t="s">
        <v>178</v>
      </c>
      <c r="K137" s="24">
        <v>33423</v>
      </c>
      <c r="L137" s="82" t="s">
        <v>179</v>
      </c>
      <c r="M137" s="25">
        <v>42299</v>
      </c>
      <c r="N137" s="25"/>
      <c r="O137" s="17" t="s">
        <v>34</v>
      </c>
      <c r="P137" s="18" t="s">
        <v>292</v>
      </c>
      <c r="Q137" s="18" t="s">
        <v>181</v>
      </c>
      <c r="R137" s="19" t="s">
        <v>182</v>
      </c>
      <c r="S137" s="18" t="s">
        <v>1206</v>
      </c>
      <c r="T137" s="20"/>
      <c r="U137" s="20"/>
      <c r="V137" s="84" t="s">
        <v>200</v>
      </c>
      <c r="W137" s="84" t="s">
        <v>200</v>
      </c>
      <c r="X137" s="84">
        <v>5</v>
      </c>
      <c r="Y137" s="85" t="s">
        <v>1207</v>
      </c>
      <c r="Z137" s="86"/>
      <c r="AA137" s="86" t="s">
        <v>186</v>
      </c>
      <c r="AB137" s="1"/>
      <c r="AC137" s="177" t="s">
        <v>1208</v>
      </c>
      <c r="AD137" s="115"/>
      <c r="AE137" s="115"/>
      <c r="AF137" s="124"/>
      <c r="AG137" s="122"/>
      <c r="AH137" s="178"/>
      <c r="AI137" s="178"/>
      <c r="AJ137" s="21" t="s">
        <v>203</v>
      </c>
      <c r="AK137" s="21" t="s">
        <v>190</v>
      </c>
      <c r="AL137" s="21" t="s">
        <v>203</v>
      </c>
      <c r="AM137" s="123" t="s">
        <v>1209</v>
      </c>
      <c r="AN137" s="22">
        <v>182</v>
      </c>
      <c r="AO137" s="22">
        <v>5</v>
      </c>
      <c r="AP137" s="22">
        <v>20</v>
      </c>
      <c r="AQ137" s="22">
        <v>40</v>
      </c>
      <c r="AR137" s="22">
        <v>0</v>
      </c>
      <c r="AS137" s="22">
        <v>7</v>
      </c>
      <c r="AT137" s="22">
        <v>10</v>
      </c>
      <c r="AU137" s="316">
        <f t="shared" si="23"/>
        <v>264</v>
      </c>
      <c r="AV137" s="22">
        <v>190</v>
      </c>
      <c r="AW137" s="22">
        <v>5</v>
      </c>
      <c r="AX137" s="22">
        <v>20</v>
      </c>
      <c r="AY137" s="22">
        <v>40</v>
      </c>
      <c r="AZ137" s="22">
        <v>0</v>
      </c>
      <c r="BA137" s="22">
        <v>7</v>
      </c>
      <c r="BB137" s="22">
        <v>10</v>
      </c>
      <c r="BC137" s="316">
        <f t="shared" si="24"/>
        <v>272</v>
      </c>
      <c r="BD137" s="58">
        <f t="shared" si="25"/>
        <v>8</v>
      </c>
      <c r="BE137" s="58">
        <f t="shared" si="26"/>
        <v>0</v>
      </c>
      <c r="BF137" s="58">
        <f t="shared" si="27"/>
        <v>0</v>
      </c>
      <c r="BG137" s="58">
        <f t="shared" si="28"/>
        <v>0</v>
      </c>
      <c r="BH137" s="58">
        <f t="shared" si="29"/>
        <v>0</v>
      </c>
      <c r="BI137" s="58">
        <f t="shared" si="30"/>
        <v>0</v>
      </c>
      <c r="BJ137" s="58">
        <f t="shared" si="31"/>
        <v>0</v>
      </c>
      <c r="BK137" s="58">
        <f t="shared" si="32"/>
        <v>8</v>
      </c>
    </row>
    <row r="138" spans="1:63" ht="27" customHeight="1">
      <c r="A138" s="13">
        <f t="shared" si="33"/>
        <v>136</v>
      </c>
      <c r="B138" s="14" t="s">
        <v>1210</v>
      </c>
      <c r="C138" s="10">
        <v>1251</v>
      </c>
      <c r="D138" s="76" t="s">
        <v>1211</v>
      </c>
      <c r="E138" s="85">
        <v>130100257</v>
      </c>
      <c r="F138" s="78" t="s">
        <v>1212</v>
      </c>
      <c r="G138" s="79" t="s">
        <v>1213</v>
      </c>
      <c r="H138" s="15" t="s">
        <v>1214</v>
      </c>
      <c r="I138" s="16" t="s">
        <v>1215</v>
      </c>
      <c r="J138" s="80" t="s">
        <v>178</v>
      </c>
      <c r="K138" s="24">
        <v>34552</v>
      </c>
      <c r="L138" s="82" t="s">
        <v>179</v>
      </c>
      <c r="M138" s="25">
        <v>42301</v>
      </c>
      <c r="N138" s="25"/>
      <c r="O138" s="17" t="s">
        <v>34</v>
      </c>
      <c r="P138" s="18" t="s">
        <v>386</v>
      </c>
      <c r="Q138" s="18" t="s">
        <v>181</v>
      </c>
      <c r="R138" s="17" t="s">
        <v>182</v>
      </c>
      <c r="S138" s="19" t="s">
        <v>256</v>
      </c>
      <c r="T138" s="175"/>
      <c r="U138" s="175"/>
      <c r="V138" s="21" t="s">
        <v>200</v>
      </c>
      <c r="W138" s="21" t="s">
        <v>184</v>
      </c>
      <c r="X138" s="1">
        <v>3</v>
      </c>
      <c r="Y138" s="176" t="s">
        <v>1216</v>
      </c>
      <c r="Z138" s="86" t="s">
        <v>186</v>
      </c>
      <c r="AA138" s="86"/>
      <c r="AB138" s="1"/>
      <c r="AC138" s="177"/>
      <c r="AD138" s="115"/>
      <c r="AE138" s="115"/>
      <c r="AF138" s="124"/>
      <c r="AG138" s="122"/>
      <c r="AH138" s="178"/>
      <c r="AI138" s="178"/>
      <c r="AJ138" s="21" t="s">
        <v>203</v>
      </c>
      <c r="AK138" s="21" t="s">
        <v>190</v>
      </c>
      <c r="AL138" s="21" t="s">
        <v>203</v>
      </c>
      <c r="AM138" s="123" t="s">
        <v>1217</v>
      </c>
      <c r="AN138" s="22">
        <v>182</v>
      </c>
      <c r="AO138" s="22">
        <v>5</v>
      </c>
      <c r="AP138" s="22">
        <v>0</v>
      </c>
      <c r="AQ138" s="22">
        <v>0</v>
      </c>
      <c r="AR138" s="22">
        <v>0</v>
      </c>
      <c r="AS138" s="22">
        <v>7</v>
      </c>
      <c r="AT138" s="22">
        <v>10</v>
      </c>
      <c r="AU138" s="316">
        <f t="shared" si="23"/>
        <v>204</v>
      </c>
      <c r="AV138" s="22">
        <v>190</v>
      </c>
      <c r="AW138" s="22">
        <v>5</v>
      </c>
      <c r="AX138" s="22">
        <v>0</v>
      </c>
      <c r="AY138" s="22">
        <v>0</v>
      </c>
      <c r="AZ138" s="22">
        <v>0</v>
      </c>
      <c r="BA138" s="22">
        <v>7</v>
      </c>
      <c r="BB138" s="22">
        <v>10</v>
      </c>
      <c r="BC138" s="316">
        <f t="shared" si="24"/>
        <v>212</v>
      </c>
      <c r="BD138" s="58">
        <f t="shared" si="25"/>
        <v>8</v>
      </c>
      <c r="BE138" s="58">
        <f t="shared" si="26"/>
        <v>0</v>
      </c>
      <c r="BF138" s="58">
        <f t="shared" si="27"/>
        <v>0</v>
      </c>
      <c r="BG138" s="58">
        <f t="shared" si="28"/>
        <v>0</v>
      </c>
      <c r="BH138" s="58">
        <f t="shared" si="29"/>
        <v>0</v>
      </c>
      <c r="BI138" s="58">
        <f t="shared" si="30"/>
        <v>0</v>
      </c>
      <c r="BJ138" s="58">
        <f t="shared" si="31"/>
        <v>0</v>
      </c>
      <c r="BK138" s="58">
        <f t="shared" si="32"/>
        <v>8</v>
      </c>
    </row>
    <row r="139" spans="1:63" ht="27" customHeight="1">
      <c r="A139" s="13">
        <f t="shared" si="33"/>
        <v>137</v>
      </c>
      <c r="B139" s="14" t="s">
        <v>1218</v>
      </c>
      <c r="C139" s="10">
        <v>1255</v>
      </c>
      <c r="D139" s="76" t="s">
        <v>1219</v>
      </c>
      <c r="E139" s="85">
        <v>110260345</v>
      </c>
      <c r="F139" s="78" t="s">
        <v>742</v>
      </c>
      <c r="G139" s="79" t="s">
        <v>335</v>
      </c>
      <c r="H139" s="15" t="s">
        <v>24</v>
      </c>
      <c r="I139" s="16" t="s">
        <v>1220</v>
      </c>
      <c r="J139" s="80" t="s">
        <v>178</v>
      </c>
      <c r="K139" s="24">
        <v>31086</v>
      </c>
      <c r="L139" s="82" t="s">
        <v>179</v>
      </c>
      <c r="M139" s="25">
        <v>42303</v>
      </c>
      <c r="N139" s="25"/>
      <c r="O139" s="17" t="s">
        <v>34</v>
      </c>
      <c r="P139" s="18" t="s">
        <v>265</v>
      </c>
      <c r="Q139" s="18" t="s">
        <v>181</v>
      </c>
      <c r="R139" s="17" t="s">
        <v>182</v>
      </c>
      <c r="S139" s="13" t="s">
        <v>228</v>
      </c>
      <c r="T139" s="22"/>
      <c r="U139" s="22"/>
      <c r="V139" s="21" t="s">
        <v>200</v>
      </c>
      <c r="W139" s="21">
        <v>1900</v>
      </c>
      <c r="X139" s="21">
        <v>6</v>
      </c>
      <c r="Y139" s="77" t="s">
        <v>184</v>
      </c>
      <c r="Z139" s="86"/>
      <c r="AA139" s="86" t="s">
        <v>186</v>
      </c>
      <c r="AB139" s="21"/>
      <c r="AC139" s="177" t="s">
        <v>138</v>
      </c>
      <c r="AD139" s="115"/>
      <c r="AE139" s="115"/>
      <c r="AF139" s="124"/>
      <c r="AG139" s="122"/>
      <c r="AH139" s="59"/>
      <c r="AI139" s="59"/>
      <c r="AJ139" s="21" t="s">
        <v>203</v>
      </c>
      <c r="AK139" s="21" t="s">
        <v>190</v>
      </c>
      <c r="AL139" s="21" t="s">
        <v>203</v>
      </c>
      <c r="AM139" s="123" t="s">
        <v>1199</v>
      </c>
      <c r="AN139" s="22">
        <v>182</v>
      </c>
      <c r="AO139" s="22">
        <v>5</v>
      </c>
      <c r="AP139" s="22">
        <v>0</v>
      </c>
      <c r="AQ139" s="22">
        <v>0</v>
      </c>
      <c r="AR139" s="22">
        <v>0</v>
      </c>
      <c r="AS139" s="22">
        <v>7</v>
      </c>
      <c r="AT139" s="22">
        <v>10</v>
      </c>
      <c r="AU139" s="316">
        <f t="shared" si="23"/>
        <v>204</v>
      </c>
      <c r="AV139" s="22">
        <v>190</v>
      </c>
      <c r="AW139" s="22">
        <v>5</v>
      </c>
      <c r="AX139" s="22">
        <v>0</v>
      </c>
      <c r="AY139" s="22">
        <v>0</v>
      </c>
      <c r="AZ139" s="22">
        <v>0</v>
      </c>
      <c r="BA139" s="22">
        <v>7</v>
      </c>
      <c r="BB139" s="22">
        <v>10</v>
      </c>
      <c r="BC139" s="316">
        <f t="shared" si="24"/>
        <v>212</v>
      </c>
      <c r="BD139" s="58">
        <f t="shared" si="25"/>
        <v>8</v>
      </c>
      <c r="BE139" s="58">
        <f t="shared" si="26"/>
        <v>0</v>
      </c>
      <c r="BF139" s="58">
        <f t="shared" si="27"/>
        <v>0</v>
      </c>
      <c r="BG139" s="58">
        <f t="shared" si="28"/>
        <v>0</v>
      </c>
      <c r="BH139" s="58">
        <f t="shared" si="29"/>
        <v>0</v>
      </c>
      <c r="BI139" s="58">
        <f t="shared" si="30"/>
        <v>0</v>
      </c>
      <c r="BJ139" s="58">
        <f t="shared" si="31"/>
        <v>0</v>
      </c>
      <c r="BK139" s="58">
        <f t="shared" si="32"/>
        <v>8</v>
      </c>
    </row>
    <row r="140" spans="1:63" ht="27" customHeight="1">
      <c r="A140" s="13">
        <f t="shared" si="33"/>
        <v>138</v>
      </c>
      <c r="B140" s="10" t="s">
        <v>1221</v>
      </c>
      <c r="C140" s="10">
        <v>1266</v>
      </c>
      <c r="D140" s="91" t="s">
        <v>1222</v>
      </c>
      <c r="E140" s="85">
        <v>130099649</v>
      </c>
      <c r="F140" s="78" t="s">
        <v>1223</v>
      </c>
      <c r="G140" s="79" t="s">
        <v>1224</v>
      </c>
      <c r="H140" s="15" t="s">
        <v>1225</v>
      </c>
      <c r="I140" s="16" t="s">
        <v>1226</v>
      </c>
      <c r="J140" s="80" t="s">
        <v>178</v>
      </c>
      <c r="K140" s="24">
        <v>32614</v>
      </c>
      <c r="L140" s="93" t="s">
        <v>179</v>
      </c>
      <c r="M140" s="170">
        <v>42300</v>
      </c>
      <c r="N140" s="170"/>
      <c r="O140" s="19" t="s">
        <v>34</v>
      </c>
      <c r="P140" s="18" t="s">
        <v>604</v>
      </c>
      <c r="Q140" s="18" t="s">
        <v>181</v>
      </c>
      <c r="R140" s="19" t="s">
        <v>182</v>
      </c>
      <c r="S140" s="19" t="s">
        <v>256</v>
      </c>
      <c r="T140" s="20"/>
      <c r="U140" s="20"/>
      <c r="V140" s="84" t="s">
        <v>200</v>
      </c>
      <c r="W140" s="84" t="s">
        <v>200</v>
      </c>
      <c r="X140" s="84">
        <v>5</v>
      </c>
      <c r="Y140" s="85" t="s">
        <v>184</v>
      </c>
      <c r="Z140" s="94"/>
      <c r="AA140" s="94" t="s">
        <v>186</v>
      </c>
      <c r="AB140" s="84"/>
      <c r="AC140" s="179" t="s">
        <v>202</v>
      </c>
      <c r="AD140" s="180"/>
      <c r="AE140" s="180"/>
      <c r="AF140" s="181"/>
      <c r="AG140" s="182"/>
      <c r="AH140" s="95"/>
      <c r="AI140" s="95"/>
      <c r="AJ140" s="84" t="s">
        <v>203</v>
      </c>
      <c r="AK140" s="84" t="s">
        <v>190</v>
      </c>
      <c r="AL140" s="84" t="s">
        <v>203</v>
      </c>
      <c r="AM140" s="185" t="s">
        <v>1227</v>
      </c>
      <c r="AN140" s="22">
        <v>182</v>
      </c>
      <c r="AO140" s="22">
        <v>5</v>
      </c>
      <c r="AP140" s="22">
        <v>0</v>
      </c>
      <c r="AQ140" s="22">
        <v>0</v>
      </c>
      <c r="AR140" s="22">
        <v>0</v>
      </c>
      <c r="AS140" s="22">
        <v>7</v>
      </c>
      <c r="AT140" s="22">
        <v>10</v>
      </c>
      <c r="AU140" s="316">
        <f t="shared" si="23"/>
        <v>204</v>
      </c>
      <c r="AV140" s="22">
        <v>190</v>
      </c>
      <c r="AW140" s="22">
        <v>5</v>
      </c>
      <c r="AX140" s="22">
        <v>0</v>
      </c>
      <c r="AY140" s="22">
        <v>0</v>
      </c>
      <c r="AZ140" s="22">
        <v>0</v>
      </c>
      <c r="BA140" s="22">
        <v>7</v>
      </c>
      <c r="BB140" s="22">
        <v>10</v>
      </c>
      <c r="BC140" s="316">
        <f t="shared" si="24"/>
        <v>212</v>
      </c>
      <c r="BD140" s="58">
        <f t="shared" si="25"/>
        <v>8</v>
      </c>
      <c r="BE140" s="58">
        <f t="shared" si="26"/>
        <v>0</v>
      </c>
      <c r="BF140" s="58">
        <f t="shared" si="27"/>
        <v>0</v>
      </c>
      <c r="BG140" s="58">
        <f t="shared" si="28"/>
        <v>0</v>
      </c>
      <c r="BH140" s="58">
        <f t="shared" si="29"/>
        <v>0</v>
      </c>
      <c r="BI140" s="58">
        <f t="shared" si="30"/>
        <v>0</v>
      </c>
      <c r="BJ140" s="58">
        <f t="shared" si="31"/>
        <v>0</v>
      </c>
      <c r="BK140" s="58">
        <f t="shared" si="32"/>
        <v>8</v>
      </c>
    </row>
    <row r="141" spans="1:63" ht="27" customHeight="1">
      <c r="A141" s="13">
        <f t="shared" si="33"/>
        <v>139</v>
      </c>
      <c r="B141" s="125" t="s">
        <v>1228</v>
      </c>
      <c r="C141" s="125">
        <v>1268</v>
      </c>
      <c r="D141" s="126" t="s">
        <v>1229</v>
      </c>
      <c r="E141" s="127">
        <v>110462602</v>
      </c>
      <c r="F141" s="128" t="s">
        <v>1230</v>
      </c>
      <c r="G141" s="129" t="s">
        <v>1231</v>
      </c>
      <c r="H141" s="130" t="s">
        <v>542</v>
      </c>
      <c r="I141" s="131" t="s">
        <v>1232</v>
      </c>
      <c r="J141" s="132" t="s">
        <v>178</v>
      </c>
      <c r="K141" s="133">
        <v>33728</v>
      </c>
      <c r="L141" s="134" t="s">
        <v>179</v>
      </c>
      <c r="M141" s="135">
        <v>42304</v>
      </c>
      <c r="N141" s="135"/>
      <c r="O141" s="136" t="s">
        <v>26</v>
      </c>
      <c r="P141" s="18" t="s">
        <v>27</v>
      </c>
      <c r="Q141" s="18" t="s">
        <v>181</v>
      </c>
      <c r="R141" s="136" t="s">
        <v>182</v>
      </c>
      <c r="S141" s="137" t="s">
        <v>228</v>
      </c>
      <c r="T141" s="138"/>
      <c r="U141" s="138"/>
      <c r="V141" s="139" t="s">
        <v>200</v>
      </c>
      <c r="W141" s="139">
        <v>864</v>
      </c>
      <c r="X141" s="139">
        <v>8</v>
      </c>
      <c r="Y141" s="127" t="s">
        <v>1233</v>
      </c>
      <c r="Z141" s="141"/>
      <c r="AA141" s="141" t="s">
        <v>186</v>
      </c>
      <c r="AB141" s="139"/>
      <c r="AC141" s="186" t="s">
        <v>425</v>
      </c>
      <c r="AD141" s="167"/>
      <c r="AE141" s="167"/>
      <c r="AF141" s="169"/>
      <c r="AG141" s="168"/>
      <c r="AH141" s="144"/>
      <c r="AI141" s="144"/>
      <c r="AJ141" s="139" t="s">
        <v>203</v>
      </c>
      <c r="AK141" s="139" t="s">
        <v>190</v>
      </c>
      <c r="AL141" s="139" t="s">
        <v>203</v>
      </c>
      <c r="AM141" s="145" t="s">
        <v>1234</v>
      </c>
      <c r="AN141" s="22">
        <v>182</v>
      </c>
      <c r="AO141" s="22">
        <v>5</v>
      </c>
      <c r="AP141" s="22">
        <v>0</v>
      </c>
      <c r="AQ141" s="22">
        <v>0</v>
      </c>
      <c r="AR141" s="22">
        <v>0</v>
      </c>
      <c r="AS141" s="22">
        <v>7</v>
      </c>
      <c r="AT141" s="22">
        <v>10</v>
      </c>
      <c r="AU141" s="316">
        <f t="shared" si="23"/>
        <v>204</v>
      </c>
      <c r="AV141" s="22">
        <v>190</v>
      </c>
      <c r="AW141" s="22">
        <v>5</v>
      </c>
      <c r="AX141" s="22">
        <v>0</v>
      </c>
      <c r="AY141" s="22">
        <v>0</v>
      </c>
      <c r="AZ141" s="22">
        <v>0</v>
      </c>
      <c r="BA141" s="22">
        <v>7</v>
      </c>
      <c r="BB141" s="22">
        <v>10</v>
      </c>
      <c r="BC141" s="316">
        <f t="shared" si="24"/>
        <v>212</v>
      </c>
      <c r="BD141" s="58">
        <f t="shared" si="25"/>
        <v>8</v>
      </c>
      <c r="BE141" s="58">
        <f t="shared" si="26"/>
        <v>0</v>
      </c>
      <c r="BF141" s="58">
        <f t="shared" si="27"/>
        <v>0</v>
      </c>
      <c r="BG141" s="58">
        <f t="shared" si="28"/>
        <v>0</v>
      </c>
      <c r="BH141" s="58">
        <f t="shared" si="29"/>
        <v>0</v>
      </c>
      <c r="BI141" s="58">
        <f t="shared" si="30"/>
        <v>0</v>
      </c>
      <c r="BJ141" s="58">
        <f t="shared" si="31"/>
        <v>0</v>
      </c>
      <c r="BK141" s="58">
        <f t="shared" si="32"/>
        <v>8</v>
      </c>
    </row>
    <row r="142" spans="1:63" ht="27" customHeight="1">
      <c r="A142" s="13">
        <f t="shared" si="33"/>
        <v>140</v>
      </c>
      <c r="B142" s="14" t="s">
        <v>1235</v>
      </c>
      <c r="C142" s="10">
        <v>1279</v>
      </c>
      <c r="D142" s="76" t="s">
        <v>1236</v>
      </c>
      <c r="E142" s="85">
        <v>110522001</v>
      </c>
      <c r="F142" s="78" t="s">
        <v>1237</v>
      </c>
      <c r="G142" s="79" t="s">
        <v>1238</v>
      </c>
      <c r="H142" s="15" t="s">
        <v>1239</v>
      </c>
      <c r="I142" s="16" t="s">
        <v>1240</v>
      </c>
      <c r="J142" s="80" t="s">
        <v>178</v>
      </c>
      <c r="K142" s="24">
        <v>34366</v>
      </c>
      <c r="L142" s="82" t="s">
        <v>179</v>
      </c>
      <c r="M142" s="25">
        <v>42304</v>
      </c>
      <c r="N142" s="25"/>
      <c r="O142" s="17" t="s">
        <v>34</v>
      </c>
      <c r="P142" s="18" t="s">
        <v>265</v>
      </c>
      <c r="Q142" s="18" t="s">
        <v>181</v>
      </c>
      <c r="R142" s="17" t="s">
        <v>182</v>
      </c>
      <c r="S142" s="13" t="s">
        <v>228</v>
      </c>
      <c r="T142" s="175"/>
      <c r="U142" s="175"/>
      <c r="V142" s="21" t="s">
        <v>184</v>
      </c>
      <c r="W142" s="21">
        <v>2341</v>
      </c>
      <c r="X142" s="1">
        <v>10</v>
      </c>
      <c r="Y142" s="176" t="s">
        <v>1241</v>
      </c>
      <c r="Z142" s="86" t="s">
        <v>186</v>
      </c>
      <c r="AA142" s="86"/>
      <c r="AB142" s="1"/>
      <c r="AC142" s="177"/>
      <c r="AD142" s="115"/>
      <c r="AE142" s="115"/>
      <c r="AF142" s="124"/>
      <c r="AG142" s="122"/>
      <c r="AH142" s="178"/>
      <c r="AI142" s="178"/>
      <c r="AJ142" s="21" t="s">
        <v>203</v>
      </c>
      <c r="AK142" s="21" t="s">
        <v>190</v>
      </c>
      <c r="AL142" s="21" t="s">
        <v>203</v>
      </c>
      <c r="AM142" s="123" t="s">
        <v>1242</v>
      </c>
      <c r="AN142" s="22">
        <v>182</v>
      </c>
      <c r="AO142" s="22">
        <v>5</v>
      </c>
      <c r="AP142" s="22">
        <v>0</v>
      </c>
      <c r="AQ142" s="22">
        <v>0</v>
      </c>
      <c r="AR142" s="22">
        <v>0</v>
      </c>
      <c r="AS142" s="22">
        <v>7</v>
      </c>
      <c r="AT142" s="22">
        <v>10</v>
      </c>
      <c r="AU142" s="316">
        <f t="shared" si="23"/>
        <v>204</v>
      </c>
      <c r="AV142" s="22">
        <v>190</v>
      </c>
      <c r="AW142" s="22">
        <v>5</v>
      </c>
      <c r="AX142" s="22">
        <v>0</v>
      </c>
      <c r="AY142" s="22">
        <v>0</v>
      </c>
      <c r="AZ142" s="22">
        <v>0</v>
      </c>
      <c r="BA142" s="22">
        <v>7</v>
      </c>
      <c r="BB142" s="22">
        <v>10</v>
      </c>
      <c r="BC142" s="316">
        <f t="shared" si="24"/>
        <v>212</v>
      </c>
      <c r="BD142" s="58">
        <f t="shared" si="25"/>
        <v>8</v>
      </c>
      <c r="BE142" s="58">
        <f t="shared" si="26"/>
        <v>0</v>
      </c>
      <c r="BF142" s="58">
        <f t="shared" si="27"/>
        <v>0</v>
      </c>
      <c r="BG142" s="58">
        <f t="shared" si="28"/>
        <v>0</v>
      </c>
      <c r="BH142" s="58">
        <f t="shared" si="29"/>
        <v>0</v>
      </c>
      <c r="BI142" s="58">
        <f t="shared" si="30"/>
        <v>0</v>
      </c>
      <c r="BJ142" s="58">
        <f t="shared" si="31"/>
        <v>0</v>
      </c>
      <c r="BK142" s="58">
        <f t="shared" si="32"/>
        <v>8</v>
      </c>
    </row>
    <row r="143" spans="1:63" ht="27" customHeight="1">
      <c r="A143" s="13">
        <f t="shared" si="33"/>
        <v>141</v>
      </c>
      <c r="B143" s="14" t="s">
        <v>1243</v>
      </c>
      <c r="C143" s="10">
        <v>1300</v>
      </c>
      <c r="D143" s="76" t="s">
        <v>1244</v>
      </c>
      <c r="E143" s="85">
        <v>51205211</v>
      </c>
      <c r="F143" s="78" t="s">
        <v>1245</v>
      </c>
      <c r="G143" s="79" t="s">
        <v>1246</v>
      </c>
      <c r="H143" s="15" t="s">
        <v>1247</v>
      </c>
      <c r="I143" s="16" t="s">
        <v>1248</v>
      </c>
      <c r="J143" s="80" t="s">
        <v>178</v>
      </c>
      <c r="K143" s="24">
        <v>30043</v>
      </c>
      <c r="L143" s="82" t="s">
        <v>179</v>
      </c>
      <c r="M143" s="25">
        <v>42310</v>
      </c>
      <c r="N143" s="25"/>
      <c r="O143" s="17" t="s">
        <v>34</v>
      </c>
      <c r="P143" s="18" t="s">
        <v>292</v>
      </c>
      <c r="Q143" s="18" t="s">
        <v>181</v>
      </c>
      <c r="R143" s="17" t="s">
        <v>182</v>
      </c>
      <c r="S143" s="13" t="s">
        <v>219</v>
      </c>
      <c r="T143" s="175"/>
      <c r="U143" s="175"/>
      <c r="V143" s="21" t="s">
        <v>184</v>
      </c>
      <c r="W143" s="21" t="s">
        <v>184</v>
      </c>
      <c r="X143" s="1">
        <v>5</v>
      </c>
      <c r="Y143" s="176" t="s">
        <v>1249</v>
      </c>
      <c r="Z143" s="86"/>
      <c r="AA143" s="86" t="s">
        <v>186</v>
      </c>
      <c r="AB143" s="1"/>
      <c r="AC143" s="177" t="s">
        <v>202</v>
      </c>
      <c r="AD143" s="115"/>
      <c r="AE143" s="115"/>
      <c r="AF143" s="124"/>
      <c r="AG143" s="122"/>
      <c r="AH143" s="178"/>
      <c r="AI143" s="178"/>
      <c r="AJ143" s="21" t="s">
        <v>203</v>
      </c>
      <c r="AK143" s="21" t="s">
        <v>190</v>
      </c>
      <c r="AL143" s="21" t="s">
        <v>190</v>
      </c>
      <c r="AM143" s="123" t="s">
        <v>1250</v>
      </c>
      <c r="AN143" s="22">
        <v>182</v>
      </c>
      <c r="AO143" s="22">
        <v>5</v>
      </c>
      <c r="AP143" s="22">
        <v>20</v>
      </c>
      <c r="AQ143" s="22">
        <v>0</v>
      </c>
      <c r="AR143" s="22">
        <v>0</v>
      </c>
      <c r="AS143" s="22">
        <v>7</v>
      </c>
      <c r="AT143" s="22">
        <v>10</v>
      </c>
      <c r="AU143" s="316">
        <f t="shared" si="23"/>
        <v>224</v>
      </c>
      <c r="AV143" s="22">
        <v>190</v>
      </c>
      <c r="AW143" s="22">
        <v>5</v>
      </c>
      <c r="AX143" s="22">
        <v>20</v>
      </c>
      <c r="AY143" s="22">
        <v>0</v>
      </c>
      <c r="AZ143" s="22">
        <v>0</v>
      </c>
      <c r="BA143" s="22">
        <v>7</v>
      </c>
      <c r="BB143" s="22">
        <v>10</v>
      </c>
      <c r="BC143" s="316">
        <f t="shared" si="24"/>
        <v>232</v>
      </c>
      <c r="BD143" s="58">
        <f t="shared" si="25"/>
        <v>8</v>
      </c>
      <c r="BE143" s="58">
        <f t="shared" si="26"/>
        <v>0</v>
      </c>
      <c r="BF143" s="58">
        <f t="shared" si="27"/>
        <v>0</v>
      </c>
      <c r="BG143" s="58">
        <f t="shared" si="28"/>
        <v>0</v>
      </c>
      <c r="BH143" s="58">
        <f t="shared" si="29"/>
        <v>0</v>
      </c>
      <c r="BI143" s="58">
        <f t="shared" si="30"/>
        <v>0</v>
      </c>
      <c r="BJ143" s="58">
        <f t="shared" si="31"/>
        <v>0</v>
      </c>
      <c r="BK143" s="58">
        <f t="shared" si="32"/>
        <v>8</v>
      </c>
    </row>
    <row r="144" spans="1:63" ht="27" customHeight="1">
      <c r="A144" s="13">
        <f t="shared" si="33"/>
        <v>142</v>
      </c>
      <c r="B144" s="14" t="s">
        <v>1251</v>
      </c>
      <c r="C144" s="10">
        <v>1302</v>
      </c>
      <c r="D144" s="76" t="s">
        <v>1252</v>
      </c>
      <c r="E144" s="85">
        <v>30664869</v>
      </c>
      <c r="F144" s="78" t="s">
        <v>1253</v>
      </c>
      <c r="G144" s="79" t="s">
        <v>1254</v>
      </c>
      <c r="H144" s="15" t="s">
        <v>1255</v>
      </c>
      <c r="I144" s="16" t="s">
        <v>1256</v>
      </c>
      <c r="J144" s="80" t="s">
        <v>178</v>
      </c>
      <c r="K144" s="24">
        <v>30195</v>
      </c>
      <c r="L144" s="82" t="s">
        <v>179</v>
      </c>
      <c r="M144" s="25">
        <v>42311</v>
      </c>
      <c r="N144" s="25"/>
      <c r="O144" s="17" t="s">
        <v>34</v>
      </c>
      <c r="P144" s="18" t="s">
        <v>265</v>
      </c>
      <c r="Q144" s="18" t="s">
        <v>181</v>
      </c>
      <c r="R144" s="17" t="s">
        <v>182</v>
      </c>
      <c r="S144" s="13" t="s">
        <v>310</v>
      </c>
      <c r="T144" s="175"/>
      <c r="U144" s="175"/>
      <c r="V144" s="21" t="s">
        <v>184</v>
      </c>
      <c r="W144" s="21" t="s">
        <v>184</v>
      </c>
      <c r="X144" s="1">
        <v>5</v>
      </c>
      <c r="Y144" s="176" t="s">
        <v>1257</v>
      </c>
      <c r="Z144" s="86"/>
      <c r="AA144" s="86" t="s">
        <v>186</v>
      </c>
      <c r="AB144" s="1"/>
      <c r="AC144" s="177" t="s">
        <v>1258</v>
      </c>
      <c r="AD144" s="115"/>
      <c r="AE144" s="115"/>
      <c r="AF144" s="124"/>
      <c r="AG144" s="122"/>
      <c r="AH144" s="178"/>
      <c r="AI144" s="178"/>
      <c r="AJ144" s="21" t="s">
        <v>203</v>
      </c>
      <c r="AK144" s="21" t="s">
        <v>190</v>
      </c>
      <c r="AL144" s="21" t="s">
        <v>190</v>
      </c>
      <c r="AM144" s="123" t="s">
        <v>1259</v>
      </c>
      <c r="AN144" s="22">
        <v>182</v>
      </c>
      <c r="AO144" s="22">
        <v>5</v>
      </c>
      <c r="AP144" s="22">
        <v>0</v>
      </c>
      <c r="AQ144" s="22">
        <v>0</v>
      </c>
      <c r="AR144" s="22">
        <v>0</v>
      </c>
      <c r="AS144" s="22">
        <v>7</v>
      </c>
      <c r="AT144" s="22">
        <v>10</v>
      </c>
      <c r="AU144" s="316">
        <f t="shared" si="23"/>
        <v>204</v>
      </c>
      <c r="AV144" s="22">
        <v>190</v>
      </c>
      <c r="AW144" s="22">
        <v>5</v>
      </c>
      <c r="AX144" s="22">
        <v>0</v>
      </c>
      <c r="AY144" s="22">
        <v>0</v>
      </c>
      <c r="AZ144" s="22">
        <v>0</v>
      </c>
      <c r="BA144" s="22">
        <v>7</v>
      </c>
      <c r="BB144" s="22">
        <v>10</v>
      </c>
      <c r="BC144" s="316">
        <f t="shared" si="24"/>
        <v>212</v>
      </c>
      <c r="BD144" s="58">
        <f t="shared" si="25"/>
        <v>8</v>
      </c>
      <c r="BE144" s="58">
        <f t="shared" si="26"/>
        <v>0</v>
      </c>
      <c r="BF144" s="58">
        <f t="shared" si="27"/>
        <v>0</v>
      </c>
      <c r="BG144" s="58">
        <f t="shared" si="28"/>
        <v>0</v>
      </c>
      <c r="BH144" s="58">
        <f t="shared" si="29"/>
        <v>0</v>
      </c>
      <c r="BI144" s="58">
        <f t="shared" si="30"/>
        <v>0</v>
      </c>
      <c r="BJ144" s="58">
        <f t="shared" si="31"/>
        <v>0</v>
      </c>
      <c r="BK144" s="58">
        <f t="shared" si="32"/>
        <v>8</v>
      </c>
    </row>
    <row r="145" spans="1:63" ht="27" customHeight="1">
      <c r="A145" s="13">
        <f t="shared" si="33"/>
        <v>143</v>
      </c>
      <c r="B145" s="14" t="s">
        <v>1260</v>
      </c>
      <c r="C145" s="10">
        <v>1320</v>
      </c>
      <c r="D145" s="76" t="s">
        <v>1261</v>
      </c>
      <c r="E145" s="85">
        <v>110364357</v>
      </c>
      <c r="F145" s="78" t="s">
        <v>1262</v>
      </c>
      <c r="G145" s="79" t="s">
        <v>1263</v>
      </c>
      <c r="H145" s="15" t="s">
        <v>1264</v>
      </c>
      <c r="I145" s="16" t="s">
        <v>1265</v>
      </c>
      <c r="J145" s="80" t="s">
        <v>178</v>
      </c>
      <c r="K145" s="24">
        <v>30420</v>
      </c>
      <c r="L145" s="82" t="s">
        <v>179</v>
      </c>
      <c r="M145" s="25">
        <v>42312</v>
      </c>
      <c r="N145" s="25"/>
      <c r="O145" s="17" t="s">
        <v>34</v>
      </c>
      <c r="P145" s="18" t="s">
        <v>292</v>
      </c>
      <c r="Q145" s="18" t="s">
        <v>181</v>
      </c>
      <c r="R145" s="17" t="s">
        <v>182</v>
      </c>
      <c r="S145" s="13" t="s">
        <v>228</v>
      </c>
      <c r="T145" s="175"/>
      <c r="U145" s="175"/>
      <c r="V145" s="21" t="s">
        <v>184</v>
      </c>
      <c r="W145" s="21" t="s">
        <v>184</v>
      </c>
      <c r="X145" s="1">
        <v>6</v>
      </c>
      <c r="Y145" s="176">
        <v>714305911</v>
      </c>
      <c r="Z145" s="86"/>
      <c r="AA145" s="86" t="s">
        <v>186</v>
      </c>
      <c r="AB145" s="1"/>
      <c r="AC145" s="177" t="s">
        <v>1266</v>
      </c>
      <c r="AD145" s="115" t="s">
        <v>188</v>
      </c>
      <c r="AE145" s="115"/>
      <c r="AF145" s="124"/>
      <c r="AG145" s="122"/>
      <c r="AH145" s="178"/>
      <c r="AI145" s="178"/>
      <c r="AJ145" s="21" t="s">
        <v>203</v>
      </c>
      <c r="AK145" s="21" t="s">
        <v>190</v>
      </c>
      <c r="AL145" s="21" t="s">
        <v>203</v>
      </c>
      <c r="AM145" s="123" t="s">
        <v>1199</v>
      </c>
      <c r="AN145" s="22">
        <v>182</v>
      </c>
      <c r="AO145" s="22">
        <v>5</v>
      </c>
      <c r="AP145" s="22">
        <v>20</v>
      </c>
      <c r="AQ145" s="22">
        <v>0</v>
      </c>
      <c r="AR145" s="22">
        <v>0</v>
      </c>
      <c r="AS145" s="22">
        <v>7</v>
      </c>
      <c r="AT145" s="22">
        <v>10</v>
      </c>
      <c r="AU145" s="316">
        <f t="shared" si="23"/>
        <v>224</v>
      </c>
      <c r="AV145" s="22">
        <v>190</v>
      </c>
      <c r="AW145" s="22">
        <v>5</v>
      </c>
      <c r="AX145" s="22">
        <v>20</v>
      </c>
      <c r="AY145" s="22">
        <v>0</v>
      </c>
      <c r="AZ145" s="22">
        <v>0</v>
      </c>
      <c r="BA145" s="22">
        <v>7</v>
      </c>
      <c r="BB145" s="22">
        <v>10</v>
      </c>
      <c r="BC145" s="316">
        <f t="shared" si="24"/>
        <v>232</v>
      </c>
      <c r="BD145" s="58">
        <f t="shared" si="25"/>
        <v>8</v>
      </c>
      <c r="BE145" s="58">
        <f t="shared" si="26"/>
        <v>0</v>
      </c>
      <c r="BF145" s="58">
        <f t="shared" si="27"/>
        <v>0</v>
      </c>
      <c r="BG145" s="58">
        <f t="shared" si="28"/>
        <v>0</v>
      </c>
      <c r="BH145" s="58">
        <f t="shared" si="29"/>
        <v>0</v>
      </c>
      <c r="BI145" s="58">
        <f t="shared" si="30"/>
        <v>0</v>
      </c>
      <c r="BJ145" s="58">
        <f t="shared" si="31"/>
        <v>0</v>
      </c>
      <c r="BK145" s="58">
        <f t="shared" si="32"/>
        <v>8</v>
      </c>
    </row>
    <row r="146" spans="1:63" ht="27" customHeight="1">
      <c r="A146" s="13">
        <f t="shared" si="33"/>
        <v>144</v>
      </c>
      <c r="B146" s="10" t="s">
        <v>1267</v>
      </c>
      <c r="C146" s="10">
        <v>1338</v>
      </c>
      <c r="D146" s="91" t="s">
        <v>1268</v>
      </c>
      <c r="E146" s="85">
        <v>100941226</v>
      </c>
      <c r="F146" s="78" t="s">
        <v>1090</v>
      </c>
      <c r="G146" s="79" t="s">
        <v>1269</v>
      </c>
      <c r="H146" s="15" t="s">
        <v>1092</v>
      </c>
      <c r="I146" s="16" t="s">
        <v>1270</v>
      </c>
      <c r="J146" s="80" t="s">
        <v>178</v>
      </c>
      <c r="K146" s="24">
        <v>30778</v>
      </c>
      <c r="L146" s="93" t="s">
        <v>179</v>
      </c>
      <c r="M146" s="170">
        <v>42314</v>
      </c>
      <c r="N146" s="170"/>
      <c r="O146" s="19" t="s">
        <v>34</v>
      </c>
      <c r="P146" s="18" t="s">
        <v>265</v>
      </c>
      <c r="Q146" s="18" t="s">
        <v>181</v>
      </c>
      <c r="R146" s="19" t="s">
        <v>182</v>
      </c>
      <c r="S146" s="19" t="s">
        <v>211</v>
      </c>
      <c r="T146" s="20"/>
      <c r="U146" s="20"/>
      <c r="V146" s="84" t="s">
        <v>184</v>
      </c>
      <c r="W146" s="84" t="s">
        <v>184</v>
      </c>
      <c r="X146" s="84">
        <v>7</v>
      </c>
      <c r="Y146" s="85" t="s">
        <v>184</v>
      </c>
      <c r="Z146" s="94" t="s">
        <v>186</v>
      </c>
      <c r="AA146" s="94"/>
      <c r="AB146" s="84"/>
      <c r="AC146" s="179"/>
      <c r="AD146" s="180"/>
      <c r="AE146" s="180"/>
      <c r="AF146" s="181"/>
      <c r="AG146" s="182"/>
      <c r="AH146" s="95"/>
      <c r="AI146" s="95"/>
      <c r="AJ146" s="84" t="s">
        <v>203</v>
      </c>
      <c r="AK146" s="84" t="s">
        <v>190</v>
      </c>
      <c r="AL146" s="84" t="s">
        <v>203</v>
      </c>
      <c r="AM146" s="185" t="s">
        <v>1271</v>
      </c>
      <c r="AN146" s="22">
        <v>182</v>
      </c>
      <c r="AO146" s="22">
        <v>5</v>
      </c>
      <c r="AP146" s="22">
        <v>0</v>
      </c>
      <c r="AQ146" s="22">
        <v>0</v>
      </c>
      <c r="AR146" s="22">
        <v>0</v>
      </c>
      <c r="AS146" s="22">
        <v>7</v>
      </c>
      <c r="AT146" s="22">
        <v>10</v>
      </c>
      <c r="AU146" s="316">
        <f t="shared" si="23"/>
        <v>204</v>
      </c>
      <c r="AV146" s="22">
        <v>190</v>
      </c>
      <c r="AW146" s="22">
        <v>5</v>
      </c>
      <c r="AX146" s="22">
        <v>0</v>
      </c>
      <c r="AY146" s="22">
        <v>0</v>
      </c>
      <c r="AZ146" s="22">
        <v>0</v>
      </c>
      <c r="BA146" s="22">
        <v>7</v>
      </c>
      <c r="BB146" s="22">
        <v>10</v>
      </c>
      <c r="BC146" s="316">
        <f t="shared" si="24"/>
        <v>212</v>
      </c>
      <c r="BD146" s="58">
        <f t="shared" si="25"/>
        <v>8</v>
      </c>
      <c r="BE146" s="58">
        <f t="shared" si="26"/>
        <v>0</v>
      </c>
      <c r="BF146" s="58">
        <f t="shared" si="27"/>
        <v>0</v>
      </c>
      <c r="BG146" s="58">
        <f t="shared" si="28"/>
        <v>0</v>
      </c>
      <c r="BH146" s="58">
        <f t="shared" si="29"/>
        <v>0</v>
      </c>
      <c r="BI146" s="58">
        <f t="shared" si="30"/>
        <v>0</v>
      </c>
      <c r="BJ146" s="58">
        <f t="shared" si="31"/>
        <v>0</v>
      </c>
      <c r="BK146" s="58">
        <f t="shared" si="32"/>
        <v>8</v>
      </c>
    </row>
    <row r="147" spans="1:63" ht="27" customHeight="1">
      <c r="A147" s="13">
        <f t="shared" si="33"/>
        <v>145</v>
      </c>
      <c r="B147" s="14" t="s">
        <v>1272</v>
      </c>
      <c r="C147" s="10">
        <v>1349</v>
      </c>
      <c r="D147" s="76" t="s">
        <v>1273</v>
      </c>
      <c r="E147" s="85">
        <v>90679632</v>
      </c>
      <c r="F147" s="78" t="s">
        <v>791</v>
      </c>
      <c r="G147" s="79" t="s">
        <v>705</v>
      </c>
      <c r="H147" s="15" t="s">
        <v>793</v>
      </c>
      <c r="I147" s="16" t="s">
        <v>17</v>
      </c>
      <c r="J147" s="80" t="s">
        <v>178</v>
      </c>
      <c r="K147" s="24">
        <v>33258</v>
      </c>
      <c r="L147" s="82" t="s">
        <v>179</v>
      </c>
      <c r="M147" s="25">
        <v>42320</v>
      </c>
      <c r="N147" s="25"/>
      <c r="O147" s="17" t="s">
        <v>34</v>
      </c>
      <c r="P147" s="18" t="s">
        <v>348</v>
      </c>
      <c r="Q147" s="18" t="s">
        <v>181</v>
      </c>
      <c r="R147" s="17" t="s">
        <v>182</v>
      </c>
      <c r="S147" s="17" t="s">
        <v>727</v>
      </c>
      <c r="T147" s="175"/>
      <c r="U147" s="175"/>
      <c r="V147" s="21" t="s">
        <v>184</v>
      </c>
      <c r="W147" s="21" t="s">
        <v>184</v>
      </c>
      <c r="X147" s="1">
        <v>6</v>
      </c>
      <c r="Y147" s="176" t="s">
        <v>1274</v>
      </c>
      <c r="Z147" s="86" t="s">
        <v>186</v>
      </c>
      <c r="AA147" s="86"/>
      <c r="AB147" s="1"/>
      <c r="AC147" s="177"/>
      <c r="AD147" s="115"/>
      <c r="AE147" s="115"/>
      <c r="AF147" s="124"/>
      <c r="AG147" s="122"/>
      <c r="AH147" s="178"/>
      <c r="AI147" s="178"/>
      <c r="AJ147" s="21" t="s">
        <v>203</v>
      </c>
      <c r="AK147" s="21" t="s">
        <v>190</v>
      </c>
      <c r="AL147" s="21" t="s">
        <v>203</v>
      </c>
      <c r="AM147" s="123" t="s">
        <v>1199</v>
      </c>
      <c r="AN147" s="22">
        <v>182</v>
      </c>
      <c r="AO147" s="22">
        <v>5</v>
      </c>
      <c r="AP147" s="22">
        <v>0</v>
      </c>
      <c r="AQ147" s="22">
        <v>0</v>
      </c>
      <c r="AR147" s="22">
        <v>0</v>
      </c>
      <c r="AS147" s="22">
        <v>7</v>
      </c>
      <c r="AT147" s="22">
        <v>10</v>
      </c>
      <c r="AU147" s="316">
        <f t="shared" si="23"/>
        <v>204</v>
      </c>
      <c r="AV147" s="22">
        <v>190</v>
      </c>
      <c r="AW147" s="22">
        <v>5</v>
      </c>
      <c r="AX147" s="22">
        <v>0</v>
      </c>
      <c r="AY147" s="22">
        <v>0</v>
      </c>
      <c r="AZ147" s="22">
        <v>0</v>
      </c>
      <c r="BA147" s="22">
        <v>7</v>
      </c>
      <c r="BB147" s="22">
        <v>10</v>
      </c>
      <c r="BC147" s="316">
        <f t="shared" si="24"/>
        <v>212</v>
      </c>
      <c r="BD147" s="58">
        <f t="shared" si="25"/>
        <v>8</v>
      </c>
      <c r="BE147" s="58">
        <f t="shared" si="26"/>
        <v>0</v>
      </c>
      <c r="BF147" s="58">
        <f t="shared" si="27"/>
        <v>0</v>
      </c>
      <c r="BG147" s="58">
        <f t="shared" si="28"/>
        <v>0</v>
      </c>
      <c r="BH147" s="58">
        <f t="shared" si="29"/>
        <v>0</v>
      </c>
      <c r="BI147" s="58">
        <f t="shared" si="30"/>
        <v>0</v>
      </c>
      <c r="BJ147" s="58">
        <f t="shared" si="31"/>
        <v>0</v>
      </c>
      <c r="BK147" s="58">
        <f t="shared" si="32"/>
        <v>8</v>
      </c>
    </row>
    <row r="148" spans="1:63" ht="27" customHeight="1">
      <c r="A148" s="13">
        <f t="shared" si="33"/>
        <v>146</v>
      </c>
      <c r="B148" s="14" t="s">
        <v>1275</v>
      </c>
      <c r="C148" s="10">
        <v>1350</v>
      </c>
      <c r="D148" s="76" t="s">
        <v>1276</v>
      </c>
      <c r="E148" s="85">
        <v>110186635</v>
      </c>
      <c r="F148" s="78" t="s">
        <v>1277</v>
      </c>
      <c r="G148" s="79" t="s">
        <v>1278</v>
      </c>
      <c r="H148" s="15" t="s">
        <v>1279</v>
      </c>
      <c r="I148" s="16" t="s">
        <v>1280</v>
      </c>
      <c r="J148" s="80" t="s">
        <v>178</v>
      </c>
      <c r="K148" s="24">
        <v>27851</v>
      </c>
      <c r="L148" s="82" t="s">
        <v>179</v>
      </c>
      <c r="M148" s="25">
        <v>42321</v>
      </c>
      <c r="N148" s="25"/>
      <c r="O148" s="17" t="s">
        <v>34</v>
      </c>
      <c r="P148" s="18" t="s">
        <v>1281</v>
      </c>
      <c r="Q148" s="18" t="s">
        <v>181</v>
      </c>
      <c r="R148" s="17" t="s">
        <v>182</v>
      </c>
      <c r="S148" s="13" t="s">
        <v>228</v>
      </c>
      <c r="T148" s="175"/>
      <c r="U148" s="175"/>
      <c r="V148" s="21" t="s">
        <v>184</v>
      </c>
      <c r="W148" s="21" t="s">
        <v>184</v>
      </c>
      <c r="X148" s="17" t="s">
        <v>1282</v>
      </c>
      <c r="Y148" s="176">
        <v>887793421</v>
      </c>
      <c r="Z148" s="86" t="s">
        <v>186</v>
      </c>
      <c r="AA148" s="86"/>
      <c r="AB148" s="1"/>
      <c r="AC148" s="177"/>
      <c r="AD148" s="115"/>
      <c r="AE148" s="115"/>
      <c r="AF148" s="124"/>
      <c r="AG148" s="122"/>
      <c r="AH148" s="178"/>
      <c r="AI148" s="178"/>
      <c r="AJ148" s="21" t="s">
        <v>203</v>
      </c>
      <c r="AK148" s="21" t="s">
        <v>190</v>
      </c>
      <c r="AL148" s="21" t="s">
        <v>203</v>
      </c>
      <c r="AM148" s="123" t="s">
        <v>1199</v>
      </c>
      <c r="AN148" s="22">
        <v>182</v>
      </c>
      <c r="AO148" s="22">
        <v>5</v>
      </c>
      <c r="AP148" s="22">
        <v>20</v>
      </c>
      <c r="AQ148" s="22">
        <v>0</v>
      </c>
      <c r="AR148" s="22">
        <v>0</v>
      </c>
      <c r="AS148" s="22">
        <v>7</v>
      </c>
      <c r="AT148" s="22">
        <v>10</v>
      </c>
      <c r="AU148" s="316">
        <f t="shared" si="23"/>
        <v>224</v>
      </c>
      <c r="AV148" s="22">
        <v>190</v>
      </c>
      <c r="AW148" s="22">
        <v>5</v>
      </c>
      <c r="AX148" s="22">
        <v>20</v>
      </c>
      <c r="AY148" s="22">
        <v>0</v>
      </c>
      <c r="AZ148" s="22">
        <v>0</v>
      </c>
      <c r="BA148" s="22">
        <v>7</v>
      </c>
      <c r="BB148" s="22">
        <v>10</v>
      </c>
      <c r="BC148" s="316">
        <f t="shared" si="24"/>
        <v>232</v>
      </c>
      <c r="BD148" s="58">
        <f t="shared" si="25"/>
        <v>8</v>
      </c>
      <c r="BE148" s="58">
        <f t="shared" si="26"/>
        <v>0</v>
      </c>
      <c r="BF148" s="58">
        <f t="shared" si="27"/>
        <v>0</v>
      </c>
      <c r="BG148" s="58">
        <f t="shared" si="28"/>
        <v>0</v>
      </c>
      <c r="BH148" s="58">
        <f t="shared" si="29"/>
        <v>0</v>
      </c>
      <c r="BI148" s="58">
        <f t="shared" si="30"/>
        <v>0</v>
      </c>
      <c r="BJ148" s="58">
        <f t="shared" si="31"/>
        <v>0</v>
      </c>
      <c r="BK148" s="58">
        <f t="shared" si="32"/>
        <v>8</v>
      </c>
    </row>
    <row r="149" spans="1:63" ht="27" customHeight="1">
      <c r="A149" s="13">
        <f t="shared" si="33"/>
        <v>147</v>
      </c>
      <c r="B149" s="14" t="s">
        <v>1283</v>
      </c>
      <c r="C149" s="10">
        <v>1353</v>
      </c>
      <c r="D149" s="76" t="s">
        <v>1284</v>
      </c>
      <c r="E149" s="85">
        <v>110338600</v>
      </c>
      <c r="F149" s="78" t="s">
        <v>1285</v>
      </c>
      <c r="G149" s="79" t="s">
        <v>1286</v>
      </c>
      <c r="H149" s="15" t="s">
        <v>1287</v>
      </c>
      <c r="I149" s="16" t="s">
        <v>1288</v>
      </c>
      <c r="J149" s="80" t="s">
        <v>209</v>
      </c>
      <c r="K149" s="24">
        <v>32515</v>
      </c>
      <c r="L149" s="82" t="s">
        <v>179</v>
      </c>
      <c r="M149" s="25">
        <v>42321</v>
      </c>
      <c r="N149" s="25"/>
      <c r="O149" s="17" t="s">
        <v>14</v>
      </c>
      <c r="P149" s="18" t="s">
        <v>15</v>
      </c>
      <c r="Q149" s="18" t="s">
        <v>181</v>
      </c>
      <c r="R149" s="19" t="s">
        <v>182</v>
      </c>
      <c r="S149" s="18" t="s">
        <v>228</v>
      </c>
      <c r="T149" s="20"/>
      <c r="U149" s="20"/>
      <c r="V149" s="84" t="s">
        <v>184</v>
      </c>
      <c r="W149" s="84" t="s">
        <v>184</v>
      </c>
      <c r="X149" s="84">
        <v>5</v>
      </c>
      <c r="Y149" s="85" t="s">
        <v>1289</v>
      </c>
      <c r="Z149" s="86"/>
      <c r="AA149" s="86" t="s">
        <v>186</v>
      </c>
      <c r="AB149" s="1"/>
      <c r="AC149" s="177" t="s">
        <v>138</v>
      </c>
      <c r="AD149" s="115"/>
      <c r="AE149" s="115"/>
      <c r="AF149" s="124"/>
      <c r="AG149" s="122"/>
      <c r="AH149" s="178"/>
      <c r="AI149" s="178"/>
      <c r="AJ149" s="21" t="s">
        <v>203</v>
      </c>
      <c r="AK149" s="21" t="s">
        <v>190</v>
      </c>
      <c r="AL149" s="21" t="s">
        <v>190</v>
      </c>
      <c r="AM149" s="123" t="s">
        <v>1290</v>
      </c>
      <c r="AN149" s="22">
        <v>182</v>
      </c>
      <c r="AO149" s="22">
        <v>5</v>
      </c>
      <c r="AP149" s="22">
        <v>0</v>
      </c>
      <c r="AQ149" s="22">
        <v>123</v>
      </c>
      <c r="AR149" s="22">
        <v>20</v>
      </c>
      <c r="AS149" s="22">
        <v>7</v>
      </c>
      <c r="AT149" s="22">
        <v>10</v>
      </c>
      <c r="AU149" s="316">
        <f t="shared" si="23"/>
        <v>347</v>
      </c>
      <c r="AV149" s="22">
        <v>190</v>
      </c>
      <c r="AW149" s="22">
        <v>5</v>
      </c>
      <c r="AX149" s="22">
        <v>0</v>
      </c>
      <c r="AY149" s="22">
        <v>123</v>
      </c>
      <c r="AZ149" s="22">
        <v>20</v>
      </c>
      <c r="BA149" s="22">
        <v>7</v>
      </c>
      <c r="BB149" s="22">
        <v>10</v>
      </c>
      <c r="BC149" s="316">
        <f t="shared" si="24"/>
        <v>355</v>
      </c>
      <c r="BD149" s="58">
        <f t="shared" si="25"/>
        <v>8</v>
      </c>
      <c r="BE149" s="58">
        <f t="shared" si="26"/>
        <v>0</v>
      </c>
      <c r="BF149" s="58">
        <f t="shared" si="27"/>
        <v>0</v>
      </c>
      <c r="BG149" s="58">
        <f t="shared" si="28"/>
        <v>0</v>
      </c>
      <c r="BH149" s="58">
        <f t="shared" si="29"/>
        <v>0</v>
      </c>
      <c r="BI149" s="58">
        <f t="shared" si="30"/>
        <v>0</v>
      </c>
      <c r="BJ149" s="58">
        <f t="shared" si="31"/>
        <v>0</v>
      </c>
      <c r="BK149" s="58">
        <f t="shared" si="32"/>
        <v>8</v>
      </c>
    </row>
    <row r="150" spans="1:63" ht="27" customHeight="1">
      <c r="A150" s="13">
        <f t="shared" si="33"/>
        <v>148</v>
      </c>
      <c r="B150" s="14" t="s">
        <v>1291</v>
      </c>
      <c r="C150" s="10">
        <v>1362</v>
      </c>
      <c r="D150" s="76" t="s">
        <v>1292</v>
      </c>
      <c r="E150" s="85">
        <v>100694493</v>
      </c>
      <c r="F150" s="78" t="s">
        <v>1293</v>
      </c>
      <c r="G150" s="79" t="s">
        <v>1155</v>
      </c>
      <c r="H150" s="15" t="s">
        <v>1294</v>
      </c>
      <c r="I150" s="16" t="s">
        <v>1157</v>
      </c>
      <c r="J150" s="80" t="s">
        <v>178</v>
      </c>
      <c r="K150" s="24">
        <v>32740</v>
      </c>
      <c r="L150" s="82" t="s">
        <v>179</v>
      </c>
      <c r="M150" s="25">
        <v>42325</v>
      </c>
      <c r="N150" s="25"/>
      <c r="O150" s="17" t="s">
        <v>34</v>
      </c>
      <c r="P150" s="18" t="s">
        <v>1281</v>
      </c>
      <c r="Q150" s="18" t="s">
        <v>181</v>
      </c>
      <c r="R150" s="17" t="s">
        <v>182</v>
      </c>
      <c r="S150" s="19" t="s">
        <v>211</v>
      </c>
      <c r="T150" s="175"/>
      <c r="U150" s="175"/>
      <c r="V150" s="21" t="s">
        <v>184</v>
      </c>
      <c r="W150" s="21" t="s">
        <v>184</v>
      </c>
      <c r="X150" s="1">
        <v>9</v>
      </c>
      <c r="Y150" s="176">
        <v>98536367</v>
      </c>
      <c r="Z150" s="86" t="s">
        <v>186</v>
      </c>
      <c r="AA150" s="86"/>
      <c r="AB150" s="1"/>
      <c r="AC150" s="177"/>
      <c r="AD150" s="115"/>
      <c r="AE150" s="115"/>
      <c r="AF150" s="124"/>
      <c r="AG150" s="122"/>
      <c r="AH150" s="178"/>
      <c r="AI150" s="178"/>
      <c r="AJ150" s="21" t="s">
        <v>203</v>
      </c>
      <c r="AK150" s="21" t="s">
        <v>190</v>
      </c>
      <c r="AL150" s="21" t="s">
        <v>203</v>
      </c>
      <c r="AM150" s="123" t="s">
        <v>1199</v>
      </c>
      <c r="AN150" s="22">
        <v>182</v>
      </c>
      <c r="AO150" s="22">
        <v>5</v>
      </c>
      <c r="AP150" s="22">
        <v>20</v>
      </c>
      <c r="AQ150" s="22">
        <v>0</v>
      </c>
      <c r="AR150" s="22">
        <v>0</v>
      </c>
      <c r="AS150" s="22">
        <v>7</v>
      </c>
      <c r="AT150" s="22">
        <v>10</v>
      </c>
      <c r="AU150" s="316">
        <f t="shared" si="23"/>
        <v>224</v>
      </c>
      <c r="AV150" s="22">
        <v>190</v>
      </c>
      <c r="AW150" s="22">
        <v>5</v>
      </c>
      <c r="AX150" s="22">
        <v>20</v>
      </c>
      <c r="AY150" s="22">
        <v>0</v>
      </c>
      <c r="AZ150" s="22">
        <v>0</v>
      </c>
      <c r="BA150" s="22">
        <v>7</v>
      </c>
      <c r="BB150" s="22">
        <v>10</v>
      </c>
      <c r="BC150" s="316">
        <f t="shared" si="24"/>
        <v>232</v>
      </c>
      <c r="BD150" s="58">
        <f t="shared" si="25"/>
        <v>8</v>
      </c>
      <c r="BE150" s="58">
        <f t="shared" si="26"/>
        <v>0</v>
      </c>
      <c r="BF150" s="58">
        <f t="shared" si="27"/>
        <v>0</v>
      </c>
      <c r="BG150" s="58">
        <f t="shared" si="28"/>
        <v>0</v>
      </c>
      <c r="BH150" s="58">
        <f t="shared" si="29"/>
        <v>0</v>
      </c>
      <c r="BI150" s="58">
        <f t="shared" si="30"/>
        <v>0</v>
      </c>
      <c r="BJ150" s="58">
        <f t="shared" si="31"/>
        <v>0</v>
      </c>
      <c r="BK150" s="58">
        <f t="shared" si="32"/>
        <v>8</v>
      </c>
    </row>
    <row r="151" spans="1:63" ht="27" customHeight="1">
      <c r="A151" s="13">
        <f t="shared" si="33"/>
        <v>149</v>
      </c>
      <c r="B151" s="125" t="s">
        <v>1295</v>
      </c>
      <c r="C151" s="125">
        <v>1377</v>
      </c>
      <c r="D151" s="126" t="s">
        <v>1296</v>
      </c>
      <c r="E151" s="127">
        <v>100938237</v>
      </c>
      <c r="F151" s="128" t="s">
        <v>1297</v>
      </c>
      <c r="G151" s="129" t="s">
        <v>1298</v>
      </c>
      <c r="H151" s="130" t="s">
        <v>1299</v>
      </c>
      <c r="I151" s="131" t="s">
        <v>1300</v>
      </c>
      <c r="J151" s="132" t="s">
        <v>178</v>
      </c>
      <c r="K151" s="133">
        <v>35827</v>
      </c>
      <c r="L151" s="134" t="s">
        <v>179</v>
      </c>
      <c r="M151" s="135">
        <v>42327</v>
      </c>
      <c r="N151" s="135"/>
      <c r="O151" s="136" t="s">
        <v>26</v>
      </c>
      <c r="P151" s="18" t="s">
        <v>27</v>
      </c>
      <c r="Q151" s="18" t="s">
        <v>181</v>
      </c>
      <c r="R151" s="136" t="s">
        <v>182</v>
      </c>
      <c r="S151" s="136" t="s">
        <v>211</v>
      </c>
      <c r="T151" s="138"/>
      <c r="U151" s="138"/>
      <c r="V151" s="139" t="s">
        <v>200</v>
      </c>
      <c r="W151" s="139" t="s">
        <v>200</v>
      </c>
      <c r="X151" s="139">
        <v>5</v>
      </c>
      <c r="Y151" s="127">
        <v>966616341</v>
      </c>
      <c r="Z151" s="141" t="s">
        <v>186</v>
      </c>
      <c r="AA151" s="141"/>
      <c r="AB151" s="139"/>
      <c r="AC151" s="186"/>
      <c r="AD151" s="167"/>
      <c r="AE151" s="167"/>
      <c r="AF151" s="169"/>
      <c r="AG151" s="168"/>
      <c r="AH151" s="144"/>
      <c r="AI151" s="144"/>
      <c r="AJ151" s="139" t="s">
        <v>203</v>
      </c>
      <c r="AK151" s="139" t="s">
        <v>190</v>
      </c>
      <c r="AL151" s="139" t="s">
        <v>203</v>
      </c>
      <c r="AM151" s="145" t="s">
        <v>1301</v>
      </c>
      <c r="AN151" s="22">
        <v>182</v>
      </c>
      <c r="AO151" s="22">
        <v>5</v>
      </c>
      <c r="AP151" s="22">
        <v>0</v>
      </c>
      <c r="AQ151" s="22">
        <v>0</v>
      </c>
      <c r="AR151" s="22">
        <v>0</v>
      </c>
      <c r="AS151" s="22">
        <v>7</v>
      </c>
      <c r="AT151" s="22">
        <v>10</v>
      </c>
      <c r="AU151" s="316">
        <f t="shared" si="23"/>
        <v>204</v>
      </c>
      <c r="AV151" s="22">
        <v>190</v>
      </c>
      <c r="AW151" s="22">
        <v>5</v>
      </c>
      <c r="AX151" s="22">
        <v>0</v>
      </c>
      <c r="AY151" s="22">
        <v>0</v>
      </c>
      <c r="AZ151" s="22">
        <v>0</v>
      </c>
      <c r="BA151" s="22">
        <v>7</v>
      </c>
      <c r="BB151" s="22">
        <v>10</v>
      </c>
      <c r="BC151" s="316">
        <f t="shared" si="24"/>
        <v>212</v>
      </c>
      <c r="BD151" s="58">
        <f t="shared" si="25"/>
        <v>8</v>
      </c>
      <c r="BE151" s="58">
        <f t="shared" si="26"/>
        <v>0</v>
      </c>
      <c r="BF151" s="58">
        <f t="shared" si="27"/>
        <v>0</v>
      </c>
      <c r="BG151" s="58">
        <f t="shared" si="28"/>
        <v>0</v>
      </c>
      <c r="BH151" s="58">
        <f t="shared" si="29"/>
        <v>0</v>
      </c>
      <c r="BI151" s="58">
        <f t="shared" si="30"/>
        <v>0</v>
      </c>
      <c r="BJ151" s="58">
        <f t="shared" si="31"/>
        <v>0</v>
      </c>
      <c r="BK151" s="58">
        <f t="shared" si="32"/>
        <v>8</v>
      </c>
    </row>
    <row r="152" spans="1:63" ht="27" customHeight="1">
      <c r="A152" s="13">
        <f t="shared" si="33"/>
        <v>150</v>
      </c>
      <c r="B152" s="14" t="s">
        <v>1302</v>
      </c>
      <c r="C152" s="10">
        <v>1384</v>
      </c>
      <c r="D152" s="90" t="s">
        <v>1303</v>
      </c>
      <c r="E152" s="85">
        <v>110239955</v>
      </c>
      <c r="F152" s="78" t="s">
        <v>681</v>
      </c>
      <c r="G152" s="79" t="s">
        <v>1304</v>
      </c>
      <c r="H152" s="15" t="s">
        <v>1305</v>
      </c>
      <c r="I152" s="16" t="s">
        <v>913</v>
      </c>
      <c r="J152" s="80" t="s">
        <v>178</v>
      </c>
      <c r="K152" s="24">
        <v>30878</v>
      </c>
      <c r="L152" s="82" t="s">
        <v>179</v>
      </c>
      <c r="M152" s="25">
        <v>42332</v>
      </c>
      <c r="N152" s="25"/>
      <c r="O152" s="17" t="s">
        <v>34</v>
      </c>
      <c r="P152" s="18" t="s">
        <v>309</v>
      </c>
      <c r="Q152" s="18" t="s">
        <v>181</v>
      </c>
      <c r="R152" s="17" t="s">
        <v>182</v>
      </c>
      <c r="S152" s="13" t="s">
        <v>228</v>
      </c>
      <c r="T152" s="175"/>
      <c r="U152" s="175"/>
      <c r="V152" s="21" t="s">
        <v>184</v>
      </c>
      <c r="W152" s="21" t="s">
        <v>184</v>
      </c>
      <c r="X152" s="1">
        <v>6</v>
      </c>
      <c r="Y152" s="176">
        <v>884416646</v>
      </c>
      <c r="Z152" s="86" t="s">
        <v>186</v>
      </c>
      <c r="AA152" s="86"/>
      <c r="AB152" s="1"/>
      <c r="AC152" s="177"/>
      <c r="AD152" s="115"/>
      <c r="AE152" s="115"/>
      <c r="AF152" s="124"/>
      <c r="AG152" s="122"/>
      <c r="AH152" s="178"/>
      <c r="AI152" s="178"/>
      <c r="AJ152" s="21" t="s">
        <v>203</v>
      </c>
      <c r="AK152" s="21" t="s">
        <v>190</v>
      </c>
      <c r="AL152" s="21" t="s">
        <v>190</v>
      </c>
      <c r="AM152" s="123" t="s">
        <v>1192</v>
      </c>
      <c r="AN152" s="22">
        <v>182</v>
      </c>
      <c r="AO152" s="22">
        <v>5</v>
      </c>
      <c r="AP152" s="22">
        <v>0</v>
      </c>
      <c r="AQ152" s="22">
        <v>0</v>
      </c>
      <c r="AR152" s="22">
        <v>0</v>
      </c>
      <c r="AS152" s="22">
        <v>7</v>
      </c>
      <c r="AT152" s="22">
        <v>10</v>
      </c>
      <c r="AU152" s="316">
        <f t="shared" si="23"/>
        <v>204</v>
      </c>
      <c r="AV152" s="22">
        <v>190</v>
      </c>
      <c r="AW152" s="22">
        <v>5</v>
      </c>
      <c r="AX152" s="22">
        <v>0</v>
      </c>
      <c r="AY152" s="22">
        <v>0</v>
      </c>
      <c r="AZ152" s="22">
        <v>0</v>
      </c>
      <c r="BA152" s="22">
        <v>7</v>
      </c>
      <c r="BB152" s="22">
        <v>10</v>
      </c>
      <c r="BC152" s="316">
        <f t="shared" si="24"/>
        <v>212</v>
      </c>
      <c r="BD152" s="58">
        <f t="shared" si="25"/>
        <v>8</v>
      </c>
      <c r="BE152" s="58">
        <f t="shared" si="26"/>
        <v>0</v>
      </c>
      <c r="BF152" s="58">
        <f t="shared" si="27"/>
        <v>0</v>
      </c>
      <c r="BG152" s="58">
        <f t="shared" si="28"/>
        <v>0</v>
      </c>
      <c r="BH152" s="58">
        <f t="shared" si="29"/>
        <v>0</v>
      </c>
      <c r="BI152" s="58">
        <f t="shared" si="30"/>
        <v>0</v>
      </c>
      <c r="BJ152" s="58">
        <f t="shared" si="31"/>
        <v>0</v>
      </c>
      <c r="BK152" s="58">
        <f t="shared" si="32"/>
        <v>8</v>
      </c>
    </row>
    <row r="153" spans="1:63" ht="27" customHeight="1">
      <c r="A153" s="13">
        <f t="shared" si="33"/>
        <v>151</v>
      </c>
      <c r="B153" s="14" t="s">
        <v>1306</v>
      </c>
      <c r="C153" s="10">
        <v>1385</v>
      </c>
      <c r="D153" s="76" t="s">
        <v>1307</v>
      </c>
      <c r="E153" s="85">
        <v>130115592</v>
      </c>
      <c r="F153" s="78" t="s">
        <v>963</v>
      </c>
      <c r="G153" s="79" t="s">
        <v>1308</v>
      </c>
      <c r="H153" s="15" t="s">
        <v>964</v>
      </c>
      <c r="I153" s="16" t="s">
        <v>1309</v>
      </c>
      <c r="J153" s="80" t="s">
        <v>209</v>
      </c>
      <c r="K153" s="24">
        <v>34705</v>
      </c>
      <c r="L153" s="82" t="s">
        <v>179</v>
      </c>
      <c r="M153" s="25">
        <v>42332</v>
      </c>
      <c r="N153" s="25"/>
      <c r="O153" s="17" t="s">
        <v>531</v>
      </c>
      <c r="P153" s="18" t="s">
        <v>532</v>
      </c>
      <c r="Q153" s="18" t="s">
        <v>181</v>
      </c>
      <c r="R153" s="17" t="s">
        <v>182</v>
      </c>
      <c r="S153" s="19" t="s">
        <v>256</v>
      </c>
      <c r="T153" s="175"/>
      <c r="U153" s="175"/>
      <c r="V153" s="21" t="s">
        <v>200</v>
      </c>
      <c r="W153" s="21" t="s">
        <v>200</v>
      </c>
      <c r="X153" s="1">
        <v>7</v>
      </c>
      <c r="Y153" s="176">
        <v>70768907</v>
      </c>
      <c r="Z153" s="86" t="s">
        <v>186</v>
      </c>
      <c r="AA153" s="86"/>
      <c r="AB153" s="1"/>
      <c r="AC153" s="177"/>
      <c r="AD153" s="115"/>
      <c r="AE153" s="115"/>
      <c r="AF153" s="124"/>
      <c r="AG153" s="122"/>
      <c r="AH153" s="178"/>
      <c r="AI153" s="178"/>
      <c r="AJ153" s="21" t="s">
        <v>203</v>
      </c>
      <c r="AK153" s="21" t="s">
        <v>190</v>
      </c>
      <c r="AL153" s="21" t="s">
        <v>190</v>
      </c>
      <c r="AM153" s="123" t="s">
        <v>1192</v>
      </c>
      <c r="AN153" s="22">
        <v>182</v>
      </c>
      <c r="AO153" s="22">
        <v>5</v>
      </c>
      <c r="AP153" s="22">
        <v>0</v>
      </c>
      <c r="AQ153" s="22">
        <v>40</v>
      </c>
      <c r="AR153" s="22">
        <v>24</v>
      </c>
      <c r="AS153" s="22">
        <v>7</v>
      </c>
      <c r="AT153" s="22">
        <v>10</v>
      </c>
      <c r="AU153" s="316">
        <f t="shared" si="23"/>
        <v>268</v>
      </c>
      <c r="AV153" s="22">
        <v>190</v>
      </c>
      <c r="AW153" s="22">
        <v>5</v>
      </c>
      <c r="AX153" s="22">
        <v>0</v>
      </c>
      <c r="AY153" s="22">
        <v>40</v>
      </c>
      <c r="AZ153" s="22">
        <v>24</v>
      </c>
      <c r="BA153" s="22">
        <v>7</v>
      </c>
      <c r="BB153" s="22">
        <v>10</v>
      </c>
      <c r="BC153" s="316">
        <f t="shared" si="24"/>
        <v>276</v>
      </c>
      <c r="BD153" s="58">
        <f t="shared" si="25"/>
        <v>8</v>
      </c>
      <c r="BE153" s="58">
        <f t="shared" si="26"/>
        <v>0</v>
      </c>
      <c r="BF153" s="58">
        <f t="shared" si="27"/>
        <v>0</v>
      </c>
      <c r="BG153" s="58">
        <f t="shared" si="28"/>
        <v>0</v>
      </c>
      <c r="BH153" s="58">
        <f t="shared" si="29"/>
        <v>0</v>
      </c>
      <c r="BI153" s="58">
        <f t="shared" si="30"/>
        <v>0</v>
      </c>
      <c r="BJ153" s="58">
        <f t="shared" si="31"/>
        <v>0</v>
      </c>
      <c r="BK153" s="58">
        <f t="shared" si="32"/>
        <v>8</v>
      </c>
    </row>
    <row r="154" spans="1:63" ht="27" customHeight="1">
      <c r="A154" s="13">
        <f t="shared" si="33"/>
        <v>152</v>
      </c>
      <c r="B154" s="14" t="s">
        <v>1310</v>
      </c>
      <c r="C154" s="10">
        <v>1396</v>
      </c>
      <c r="D154" s="76" t="s">
        <v>1311</v>
      </c>
      <c r="E154" s="85">
        <v>50438647</v>
      </c>
      <c r="F154" s="78" t="s">
        <v>1312</v>
      </c>
      <c r="G154" s="79" t="s">
        <v>1313</v>
      </c>
      <c r="H154" s="15" t="s">
        <v>1314</v>
      </c>
      <c r="I154" s="16" t="s">
        <v>1315</v>
      </c>
      <c r="J154" s="80" t="s">
        <v>178</v>
      </c>
      <c r="K154" s="24">
        <v>31757</v>
      </c>
      <c r="L154" s="82" t="s">
        <v>179</v>
      </c>
      <c r="M154" s="25">
        <v>42340</v>
      </c>
      <c r="N154" s="25"/>
      <c r="O154" s="17" t="s">
        <v>34</v>
      </c>
      <c r="P154" s="18" t="s">
        <v>1281</v>
      </c>
      <c r="Q154" s="18" t="s">
        <v>181</v>
      </c>
      <c r="R154" s="17" t="s">
        <v>182</v>
      </c>
      <c r="S154" s="13" t="s">
        <v>219</v>
      </c>
      <c r="T154" s="175"/>
      <c r="U154" s="175"/>
      <c r="V154" s="21" t="s">
        <v>184</v>
      </c>
      <c r="W154" s="21" t="s">
        <v>184</v>
      </c>
      <c r="X154" s="1">
        <v>9</v>
      </c>
      <c r="Y154" s="176" t="s">
        <v>1316</v>
      </c>
      <c r="Z154" s="86"/>
      <c r="AA154" s="86" t="s">
        <v>186</v>
      </c>
      <c r="AB154" s="1"/>
      <c r="AC154" s="177" t="s">
        <v>202</v>
      </c>
      <c r="AD154" s="115"/>
      <c r="AE154" s="115"/>
      <c r="AF154" s="124"/>
      <c r="AG154" s="122"/>
      <c r="AH154" s="178"/>
      <c r="AI154" s="178"/>
      <c r="AJ154" s="21" t="s">
        <v>203</v>
      </c>
      <c r="AK154" s="21" t="s">
        <v>190</v>
      </c>
      <c r="AL154" s="21" t="s">
        <v>203</v>
      </c>
      <c r="AM154" s="123" t="s">
        <v>1159</v>
      </c>
      <c r="AN154" s="22">
        <v>182</v>
      </c>
      <c r="AO154" s="22">
        <v>5</v>
      </c>
      <c r="AP154" s="22">
        <v>20</v>
      </c>
      <c r="AQ154" s="22">
        <v>0</v>
      </c>
      <c r="AR154" s="22">
        <v>0</v>
      </c>
      <c r="AS154" s="22">
        <v>7</v>
      </c>
      <c r="AT154" s="22">
        <v>10</v>
      </c>
      <c r="AU154" s="316">
        <f t="shared" si="23"/>
        <v>224</v>
      </c>
      <c r="AV154" s="22">
        <v>190</v>
      </c>
      <c r="AW154" s="22">
        <v>5</v>
      </c>
      <c r="AX154" s="22">
        <v>20</v>
      </c>
      <c r="AY154" s="22">
        <v>0</v>
      </c>
      <c r="AZ154" s="22">
        <v>0</v>
      </c>
      <c r="BA154" s="22">
        <v>7</v>
      </c>
      <c r="BB154" s="22">
        <v>10</v>
      </c>
      <c r="BC154" s="316">
        <f t="shared" si="24"/>
        <v>232</v>
      </c>
      <c r="BD154" s="58">
        <f t="shared" si="25"/>
        <v>8</v>
      </c>
      <c r="BE154" s="58">
        <f t="shared" si="26"/>
        <v>0</v>
      </c>
      <c r="BF154" s="58">
        <f t="shared" si="27"/>
        <v>0</v>
      </c>
      <c r="BG154" s="58">
        <f t="shared" si="28"/>
        <v>0</v>
      </c>
      <c r="BH154" s="58">
        <f t="shared" si="29"/>
        <v>0</v>
      </c>
      <c r="BI154" s="58">
        <f t="shared" si="30"/>
        <v>0</v>
      </c>
      <c r="BJ154" s="58">
        <f t="shared" si="31"/>
        <v>0</v>
      </c>
      <c r="BK154" s="58">
        <f t="shared" si="32"/>
        <v>8</v>
      </c>
    </row>
    <row r="155" spans="1:63" ht="27" customHeight="1">
      <c r="A155" s="13">
        <f t="shared" si="33"/>
        <v>153</v>
      </c>
      <c r="B155" s="14" t="s">
        <v>1317</v>
      </c>
      <c r="C155" s="10">
        <v>1398</v>
      </c>
      <c r="D155" s="76" t="s">
        <v>1318</v>
      </c>
      <c r="E155" s="85" t="s">
        <v>1319</v>
      </c>
      <c r="F155" s="78" t="s">
        <v>806</v>
      </c>
      <c r="G155" s="79" t="s">
        <v>1320</v>
      </c>
      <c r="H155" s="15" t="s">
        <v>808</v>
      </c>
      <c r="I155" s="16" t="s">
        <v>1321</v>
      </c>
      <c r="J155" s="80" t="s">
        <v>178</v>
      </c>
      <c r="K155" s="24">
        <v>36622</v>
      </c>
      <c r="L155" s="82" t="s">
        <v>179</v>
      </c>
      <c r="M155" s="25">
        <v>42340</v>
      </c>
      <c r="N155" s="25"/>
      <c r="O155" s="17" t="s">
        <v>34</v>
      </c>
      <c r="P155" s="18" t="s">
        <v>292</v>
      </c>
      <c r="Q155" s="18" t="s">
        <v>181</v>
      </c>
      <c r="R155" s="17" t="s">
        <v>182</v>
      </c>
      <c r="S155" s="13" t="s">
        <v>228</v>
      </c>
      <c r="T155" s="175"/>
      <c r="U155" s="175"/>
      <c r="V155" s="21" t="s">
        <v>200</v>
      </c>
      <c r="W155" s="21" t="s">
        <v>200</v>
      </c>
      <c r="X155" s="1">
        <v>7</v>
      </c>
      <c r="Y155" s="176" t="s">
        <v>1322</v>
      </c>
      <c r="Z155" s="86" t="s">
        <v>186</v>
      </c>
      <c r="AA155" s="86"/>
      <c r="AB155" s="1"/>
      <c r="AC155" s="177"/>
      <c r="AD155" s="115"/>
      <c r="AE155" s="115"/>
      <c r="AF155" s="124"/>
      <c r="AG155" s="122"/>
      <c r="AH155" s="178"/>
      <c r="AI155" s="178"/>
      <c r="AJ155" s="21" t="s">
        <v>203</v>
      </c>
      <c r="AK155" s="21" t="s">
        <v>190</v>
      </c>
      <c r="AL155" s="21" t="s">
        <v>203</v>
      </c>
      <c r="AM155" s="123" t="s">
        <v>1199</v>
      </c>
      <c r="AN155" s="22">
        <v>182</v>
      </c>
      <c r="AO155" s="22">
        <v>0</v>
      </c>
      <c r="AP155" s="22">
        <v>0</v>
      </c>
      <c r="AQ155" s="22">
        <v>0</v>
      </c>
      <c r="AR155" s="22">
        <v>0</v>
      </c>
      <c r="AS155" s="22">
        <v>7</v>
      </c>
      <c r="AT155" s="22">
        <v>10</v>
      </c>
      <c r="AU155" s="316">
        <f t="shared" si="23"/>
        <v>199</v>
      </c>
      <c r="AV155" s="22">
        <v>190</v>
      </c>
      <c r="AW155" s="22">
        <v>0</v>
      </c>
      <c r="AX155" s="22">
        <v>0</v>
      </c>
      <c r="AY155" s="22">
        <v>0</v>
      </c>
      <c r="AZ155" s="22">
        <v>0</v>
      </c>
      <c r="BA155" s="22">
        <v>7</v>
      </c>
      <c r="BB155" s="22">
        <v>10</v>
      </c>
      <c r="BC155" s="316">
        <f t="shared" si="24"/>
        <v>207</v>
      </c>
      <c r="BD155" s="58">
        <f t="shared" si="25"/>
        <v>8</v>
      </c>
      <c r="BE155" s="58">
        <f t="shared" si="26"/>
        <v>0</v>
      </c>
      <c r="BF155" s="58">
        <f t="shared" si="27"/>
        <v>0</v>
      </c>
      <c r="BG155" s="58">
        <f t="shared" si="28"/>
        <v>0</v>
      </c>
      <c r="BH155" s="58">
        <f t="shared" si="29"/>
        <v>0</v>
      </c>
      <c r="BI155" s="58">
        <f t="shared" si="30"/>
        <v>0</v>
      </c>
      <c r="BJ155" s="58">
        <f t="shared" si="31"/>
        <v>0</v>
      </c>
      <c r="BK155" s="58">
        <f t="shared" si="32"/>
        <v>8</v>
      </c>
    </row>
    <row r="156" spans="1:63" ht="27" customHeight="1">
      <c r="A156" s="13">
        <f t="shared" si="33"/>
        <v>154</v>
      </c>
      <c r="B156" s="14" t="s">
        <v>1323</v>
      </c>
      <c r="C156" s="10">
        <v>1408</v>
      </c>
      <c r="D156" s="76" t="s">
        <v>1324</v>
      </c>
      <c r="E156" s="85">
        <v>130181016</v>
      </c>
      <c r="F156" s="78" t="s">
        <v>1325</v>
      </c>
      <c r="G156" s="79" t="s">
        <v>1326</v>
      </c>
      <c r="H156" s="15" t="s">
        <v>1327</v>
      </c>
      <c r="I156" s="16" t="s">
        <v>1328</v>
      </c>
      <c r="J156" s="80" t="s">
        <v>178</v>
      </c>
      <c r="K156" s="24">
        <v>35621</v>
      </c>
      <c r="L156" s="82" t="s">
        <v>179</v>
      </c>
      <c r="M156" s="25">
        <v>42342</v>
      </c>
      <c r="N156" s="25"/>
      <c r="O156" s="17" t="s">
        <v>26</v>
      </c>
      <c r="P156" s="18" t="s">
        <v>27</v>
      </c>
      <c r="Q156" s="18" t="s">
        <v>181</v>
      </c>
      <c r="R156" s="17" t="s">
        <v>182</v>
      </c>
      <c r="S156" s="19" t="s">
        <v>256</v>
      </c>
      <c r="T156" s="175"/>
      <c r="U156" s="175"/>
      <c r="V156" s="21" t="s">
        <v>184</v>
      </c>
      <c r="W156" s="21" t="s">
        <v>184</v>
      </c>
      <c r="X156" s="1">
        <v>7</v>
      </c>
      <c r="Y156" s="176" t="s">
        <v>1329</v>
      </c>
      <c r="Z156" s="86" t="s">
        <v>186</v>
      </c>
      <c r="AA156" s="86"/>
      <c r="AB156" s="1"/>
      <c r="AC156" s="177"/>
      <c r="AD156" s="115"/>
      <c r="AE156" s="115"/>
      <c r="AF156" s="124"/>
      <c r="AG156" s="122"/>
      <c r="AH156" s="178"/>
      <c r="AI156" s="178"/>
      <c r="AJ156" s="21" t="s">
        <v>203</v>
      </c>
      <c r="AK156" s="21" t="s">
        <v>190</v>
      </c>
      <c r="AL156" s="21" t="s">
        <v>203</v>
      </c>
      <c r="AM156" s="123" t="s">
        <v>1301</v>
      </c>
      <c r="AN156" s="22">
        <v>182</v>
      </c>
      <c r="AO156" s="22">
        <v>5</v>
      </c>
      <c r="AP156" s="22">
        <v>0</v>
      </c>
      <c r="AQ156" s="22">
        <v>0</v>
      </c>
      <c r="AR156" s="22">
        <v>0</v>
      </c>
      <c r="AS156" s="22">
        <v>7</v>
      </c>
      <c r="AT156" s="22">
        <v>10</v>
      </c>
      <c r="AU156" s="316">
        <f t="shared" si="23"/>
        <v>204</v>
      </c>
      <c r="AV156" s="22">
        <v>190</v>
      </c>
      <c r="AW156" s="22">
        <v>5</v>
      </c>
      <c r="AX156" s="22">
        <v>0</v>
      </c>
      <c r="AY156" s="22">
        <v>0</v>
      </c>
      <c r="AZ156" s="22">
        <v>0</v>
      </c>
      <c r="BA156" s="22">
        <v>7</v>
      </c>
      <c r="BB156" s="22">
        <v>10</v>
      </c>
      <c r="BC156" s="316">
        <f t="shared" si="24"/>
        <v>212</v>
      </c>
      <c r="BD156" s="58">
        <f t="shared" si="25"/>
        <v>8</v>
      </c>
      <c r="BE156" s="58">
        <f t="shared" si="26"/>
        <v>0</v>
      </c>
      <c r="BF156" s="58">
        <f t="shared" si="27"/>
        <v>0</v>
      </c>
      <c r="BG156" s="58">
        <f t="shared" si="28"/>
        <v>0</v>
      </c>
      <c r="BH156" s="58">
        <f t="shared" si="29"/>
        <v>0</v>
      </c>
      <c r="BI156" s="58">
        <f t="shared" si="30"/>
        <v>0</v>
      </c>
      <c r="BJ156" s="58">
        <f t="shared" si="31"/>
        <v>0</v>
      </c>
      <c r="BK156" s="58">
        <f t="shared" si="32"/>
        <v>8</v>
      </c>
    </row>
    <row r="157" spans="1:63" ht="27" customHeight="1">
      <c r="A157" s="13">
        <f t="shared" si="33"/>
        <v>155</v>
      </c>
      <c r="B157" s="14" t="s">
        <v>1330</v>
      </c>
      <c r="C157" s="10">
        <v>1411</v>
      </c>
      <c r="D157" s="76" t="s">
        <v>1331</v>
      </c>
      <c r="E157" s="85" t="s">
        <v>1319</v>
      </c>
      <c r="F157" s="78" t="s">
        <v>1332</v>
      </c>
      <c r="G157" s="79" t="s">
        <v>1333</v>
      </c>
      <c r="H157" s="15" t="s">
        <v>1334</v>
      </c>
      <c r="I157" s="16" t="s">
        <v>1335</v>
      </c>
      <c r="J157" s="80" t="s">
        <v>178</v>
      </c>
      <c r="K157" s="24">
        <v>35831</v>
      </c>
      <c r="L157" s="82" t="s">
        <v>179</v>
      </c>
      <c r="M157" s="25">
        <v>42343</v>
      </c>
      <c r="N157" s="25"/>
      <c r="O157" s="17" t="s">
        <v>26</v>
      </c>
      <c r="P157" s="18" t="s">
        <v>210</v>
      </c>
      <c r="Q157" s="18" t="s">
        <v>181</v>
      </c>
      <c r="R157" s="17" t="s">
        <v>182</v>
      </c>
      <c r="S157" s="17" t="s">
        <v>727</v>
      </c>
      <c r="T157" s="175"/>
      <c r="U157" s="175"/>
      <c r="V157" s="21" t="s">
        <v>200</v>
      </c>
      <c r="W157" s="21" t="s">
        <v>200</v>
      </c>
      <c r="X157" s="1">
        <v>7</v>
      </c>
      <c r="Y157" s="176">
        <v>90707738</v>
      </c>
      <c r="Z157" s="86" t="s">
        <v>186</v>
      </c>
      <c r="AA157" s="86"/>
      <c r="AB157" s="1"/>
      <c r="AC157" s="177"/>
      <c r="AD157" s="115"/>
      <c r="AE157" s="115"/>
      <c r="AF157" s="124"/>
      <c r="AG157" s="122"/>
      <c r="AH157" s="178"/>
      <c r="AI157" s="178"/>
      <c r="AJ157" s="21" t="s">
        <v>203</v>
      </c>
      <c r="AK157" s="21" t="s">
        <v>190</v>
      </c>
      <c r="AL157" s="21" t="s">
        <v>203</v>
      </c>
      <c r="AM157" s="123" t="s">
        <v>1336</v>
      </c>
      <c r="AN157" s="22">
        <v>182</v>
      </c>
      <c r="AO157" s="22">
        <v>5</v>
      </c>
      <c r="AP157" s="22">
        <v>0</v>
      </c>
      <c r="AQ157" s="22">
        <v>85</v>
      </c>
      <c r="AR157" s="22">
        <v>0</v>
      </c>
      <c r="AS157" s="22">
        <v>7</v>
      </c>
      <c r="AT157" s="22">
        <v>10</v>
      </c>
      <c r="AU157" s="316">
        <f t="shared" si="23"/>
        <v>289</v>
      </c>
      <c r="AV157" s="22">
        <v>190</v>
      </c>
      <c r="AW157" s="22">
        <v>5</v>
      </c>
      <c r="AX157" s="22">
        <v>0</v>
      </c>
      <c r="AY157" s="22">
        <v>85</v>
      </c>
      <c r="AZ157" s="22">
        <v>0</v>
      </c>
      <c r="BA157" s="22">
        <v>7</v>
      </c>
      <c r="BB157" s="22">
        <v>10</v>
      </c>
      <c r="BC157" s="316">
        <f t="shared" si="24"/>
        <v>297</v>
      </c>
      <c r="BD157" s="58">
        <f t="shared" si="25"/>
        <v>8</v>
      </c>
      <c r="BE157" s="58">
        <f t="shared" si="26"/>
        <v>0</v>
      </c>
      <c r="BF157" s="58">
        <f t="shared" si="27"/>
        <v>0</v>
      </c>
      <c r="BG157" s="58">
        <f t="shared" si="28"/>
        <v>0</v>
      </c>
      <c r="BH157" s="58">
        <f t="shared" si="29"/>
        <v>0</v>
      </c>
      <c r="BI157" s="58">
        <f t="shared" si="30"/>
        <v>0</v>
      </c>
      <c r="BJ157" s="58">
        <f t="shared" si="31"/>
        <v>0</v>
      </c>
      <c r="BK157" s="58">
        <f t="shared" si="32"/>
        <v>8</v>
      </c>
    </row>
    <row r="158" spans="1:63" ht="27" customHeight="1">
      <c r="A158" s="13">
        <f t="shared" si="33"/>
        <v>156</v>
      </c>
      <c r="B158" s="14" t="s">
        <v>1337</v>
      </c>
      <c r="C158" s="10">
        <v>1415</v>
      </c>
      <c r="D158" s="76" t="s">
        <v>1338</v>
      </c>
      <c r="E158" s="85">
        <v>130160139</v>
      </c>
      <c r="F158" s="78" t="s">
        <v>1339</v>
      </c>
      <c r="G158" s="79" t="s">
        <v>1340</v>
      </c>
      <c r="H158" s="15" t="s">
        <v>1341</v>
      </c>
      <c r="I158" s="16" t="s">
        <v>1342</v>
      </c>
      <c r="J158" s="80" t="s">
        <v>178</v>
      </c>
      <c r="K158" s="24">
        <v>27404</v>
      </c>
      <c r="L158" s="82" t="s">
        <v>179</v>
      </c>
      <c r="M158" s="25">
        <v>42346</v>
      </c>
      <c r="N158" s="25"/>
      <c r="O158" s="17" t="s">
        <v>34</v>
      </c>
      <c r="P158" s="18" t="s">
        <v>1343</v>
      </c>
      <c r="Q158" s="18" t="s">
        <v>181</v>
      </c>
      <c r="R158" s="17" t="s">
        <v>182</v>
      </c>
      <c r="S158" s="19" t="s">
        <v>183</v>
      </c>
      <c r="T158" s="175"/>
      <c r="U158" s="175"/>
      <c r="V158" s="21" t="s">
        <v>184</v>
      </c>
      <c r="W158" s="21" t="s">
        <v>184</v>
      </c>
      <c r="X158" s="1">
        <v>5</v>
      </c>
      <c r="Y158" s="77" t="s">
        <v>184</v>
      </c>
      <c r="Z158" s="86"/>
      <c r="AA158" s="86" t="s">
        <v>186</v>
      </c>
      <c r="AB158" s="1"/>
      <c r="AC158" s="177" t="s">
        <v>1344</v>
      </c>
      <c r="AD158" s="115" t="s">
        <v>188</v>
      </c>
      <c r="AE158" s="115" t="s">
        <v>188</v>
      </c>
      <c r="AF158" s="115" t="s">
        <v>188</v>
      </c>
      <c r="AG158" s="122"/>
      <c r="AH158" s="178"/>
      <c r="AI158" s="178"/>
      <c r="AJ158" s="21" t="s">
        <v>203</v>
      </c>
      <c r="AK158" s="21" t="s">
        <v>190</v>
      </c>
      <c r="AL158" s="21" t="s">
        <v>203</v>
      </c>
      <c r="AM158" s="123" t="s">
        <v>1184</v>
      </c>
      <c r="AN158" s="22">
        <v>182</v>
      </c>
      <c r="AO158" s="22">
        <v>5</v>
      </c>
      <c r="AP158" s="22">
        <v>0</v>
      </c>
      <c r="AQ158" s="22">
        <v>10</v>
      </c>
      <c r="AR158" s="22">
        <v>0</v>
      </c>
      <c r="AS158" s="22">
        <v>7</v>
      </c>
      <c r="AT158" s="22">
        <v>10</v>
      </c>
      <c r="AU158" s="316">
        <f t="shared" si="23"/>
        <v>214</v>
      </c>
      <c r="AV158" s="22">
        <v>190</v>
      </c>
      <c r="AW158" s="22">
        <v>5</v>
      </c>
      <c r="AX158" s="22">
        <v>0</v>
      </c>
      <c r="AY158" s="22">
        <v>10</v>
      </c>
      <c r="AZ158" s="22">
        <v>0</v>
      </c>
      <c r="BA158" s="22">
        <v>7</v>
      </c>
      <c r="BB158" s="22">
        <v>10</v>
      </c>
      <c r="BC158" s="316">
        <f t="shared" si="24"/>
        <v>222</v>
      </c>
      <c r="BD158" s="58">
        <f t="shared" si="25"/>
        <v>8</v>
      </c>
      <c r="BE158" s="58">
        <f t="shared" si="26"/>
        <v>0</v>
      </c>
      <c r="BF158" s="58">
        <f t="shared" si="27"/>
        <v>0</v>
      </c>
      <c r="BG158" s="58">
        <f t="shared" si="28"/>
        <v>0</v>
      </c>
      <c r="BH158" s="58">
        <f t="shared" si="29"/>
        <v>0</v>
      </c>
      <c r="BI158" s="58">
        <f t="shared" si="30"/>
        <v>0</v>
      </c>
      <c r="BJ158" s="58">
        <f t="shared" si="31"/>
        <v>0</v>
      </c>
      <c r="BK158" s="58">
        <f t="shared" si="32"/>
        <v>8</v>
      </c>
    </row>
    <row r="159" spans="1:63" ht="27" customHeight="1">
      <c r="A159" s="13">
        <f t="shared" si="33"/>
        <v>157</v>
      </c>
      <c r="B159" s="14" t="s">
        <v>1345</v>
      </c>
      <c r="C159" s="10">
        <v>1427</v>
      </c>
      <c r="D159" s="76" t="s">
        <v>1346</v>
      </c>
      <c r="E159" s="85">
        <v>100585438</v>
      </c>
      <c r="F159" s="78" t="s">
        <v>195</v>
      </c>
      <c r="G159" s="79" t="s">
        <v>925</v>
      </c>
      <c r="H159" s="15" t="s">
        <v>1347</v>
      </c>
      <c r="I159" s="16" t="s">
        <v>1348</v>
      </c>
      <c r="J159" s="80" t="s">
        <v>178</v>
      </c>
      <c r="K159" s="24">
        <v>32621</v>
      </c>
      <c r="L159" s="82" t="s">
        <v>179</v>
      </c>
      <c r="M159" s="25">
        <v>42353</v>
      </c>
      <c r="N159" s="25"/>
      <c r="O159" s="17" t="s">
        <v>34</v>
      </c>
      <c r="P159" s="18" t="s">
        <v>318</v>
      </c>
      <c r="Q159" s="18" t="s">
        <v>249</v>
      </c>
      <c r="R159" s="17" t="s">
        <v>182</v>
      </c>
      <c r="S159" s="19" t="s">
        <v>211</v>
      </c>
      <c r="T159" s="175"/>
      <c r="U159" s="175"/>
      <c r="V159" s="21" t="s">
        <v>184</v>
      </c>
      <c r="W159" s="21" t="s">
        <v>184</v>
      </c>
      <c r="X159" s="1">
        <v>7</v>
      </c>
      <c r="Y159" s="176" t="s">
        <v>1349</v>
      </c>
      <c r="Z159" s="86"/>
      <c r="AA159" s="86" t="s">
        <v>186</v>
      </c>
      <c r="AB159" s="1"/>
      <c r="AC159" s="177" t="s">
        <v>425</v>
      </c>
      <c r="AD159" s="115" t="s">
        <v>188</v>
      </c>
      <c r="AE159" s="115" t="s">
        <v>189</v>
      </c>
      <c r="AF159" s="124"/>
      <c r="AG159" s="122"/>
      <c r="AH159" s="178"/>
      <c r="AI159" s="178"/>
      <c r="AJ159" s="21" t="s">
        <v>203</v>
      </c>
      <c r="AK159" s="21" t="s">
        <v>190</v>
      </c>
      <c r="AL159" s="21" t="s">
        <v>203</v>
      </c>
      <c r="AM159" s="123" t="s">
        <v>1192</v>
      </c>
      <c r="AN159" s="22">
        <v>182</v>
      </c>
      <c r="AO159" s="22">
        <v>5</v>
      </c>
      <c r="AP159" s="22">
        <v>20</v>
      </c>
      <c r="AQ159" s="22">
        <v>20</v>
      </c>
      <c r="AR159" s="22">
        <v>0</v>
      </c>
      <c r="AS159" s="22">
        <v>7</v>
      </c>
      <c r="AT159" s="22">
        <v>10</v>
      </c>
      <c r="AU159" s="316">
        <f t="shared" si="23"/>
        <v>244</v>
      </c>
      <c r="AV159" s="22">
        <v>190</v>
      </c>
      <c r="AW159" s="22">
        <v>5</v>
      </c>
      <c r="AX159" s="22">
        <v>20</v>
      </c>
      <c r="AY159" s="22">
        <v>20</v>
      </c>
      <c r="AZ159" s="22">
        <v>0</v>
      </c>
      <c r="BA159" s="22">
        <v>7</v>
      </c>
      <c r="BB159" s="22">
        <v>10</v>
      </c>
      <c r="BC159" s="316">
        <f t="shared" si="24"/>
        <v>252</v>
      </c>
      <c r="BD159" s="58">
        <f t="shared" si="25"/>
        <v>8</v>
      </c>
      <c r="BE159" s="58">
        <f t="shared" si="26"/>
        <v>0</v>
      </c>
      <c r="BF159" s="58">
        <f t="shared" si="27"/>
        <v>0</v>
      </c>
      <c r="BG159" s="58">
        <f t="shared" si="28"/>
        <v>0</v>
      </c>
      <c r="BH159" s="58">
        <f t="shared" si="29"/>
        <v>0</v>
      </c>
      <c r="BI159" s="58">
        <f t="shared" si="30"/>
        <v>0</v>
      </c>
      <c r="BJ159" s="58">
        <f t="shared" si="31"/>
        <v>0</v>
      </c>
      <c r="BK159" s="58">
        <f t="shared" si="32"/>
        <v>8</v>
      </c>
    </row>
    <row r="160" spans="1:63" ht="27" customHeight="1">
      <c r="A160" s="13">
        <f t="shared" si="33"/>
        <v>158</v>
      </c>
      <c r="B160" s="14" t="s">
        <v>1350</v>
      </c>
      <c r="C160" s="10">
        <v>1433</v>
      </c>
      <c r="D160" s="76" t="s">
        <v>1351</v>
      </c>
      <c r="E160" s="85">
        <v>140039867</v>
      </c>
      <c r="F160" s="78" t="s">
        <v>391</v>
      </c>
      <c r="G160" s="79" t="s">
        <v>1352</v>
      </c>
      <c r="H160" s="15" t="s">
        <v>1353</v>
      </c>
      <c r="I160" s="16" t="s">
        <v>1354</v>
      </c>
      <c r="J160" s="80" t="s">
        <v>178</v>
      </c>
      <c r="K160" s="24">
        <v>29377</v>
      </c>
      <c r="L160" s="82" t="s">
        <v>179</v>
      </c>
      <c r="M160" s="25">
        <v>42353</v>
      </c>
      <c r="N160" s="25"/>
      <c r="O160" s="17" t="s">
        <v>34</v>
      </c>
      <c r="P160" s="18" t="s">
        <v>1085</v>
      </c>
      <c r="Q160" s="18" t="s">
        <v>181</v>
      </c>
      <c r="R160" s="17" t="s">
        <v>182</v>
      </c>
      <c r="S160" s="13" t="s">
        <v>228</v>
      </c>
      <c r="T160" s="175"/>
      <c r="U160" s="175"/>
      <c r="V160" s="21" t="s">
        <v>184</v>
      </c>
      <c r="W160" s="21" t="s">
        <v>184</v>
      </c>
      <c r="X160" s="1">
        <v>9</v>
      </c>
      <c r="Y160" s="77" t="s">
        <v>184</v>
      </c>
      <c r="Z160" s="86"/>
      <c r="AA160" s="86" t="s">
        <v>186</v>
      </c>
      <c r="AB160" s="1"/>
      <c r="AC160" s="177" t="s">
        <v>1355</v>
      </c>
      <c r="AD160" s="115"/>
      <c r="AE160" s="115"/>
      <c r="AF160" s="124"/>
      <c r="AG160" s="122"/>
      <c r="AH160" s="178"/>
      <c r="AI160" s="178"/>
      <c r="AJ160" s="21" t="s">
        <v>203</v>
      </c>
      <c r="AK160" s="21" t="s">
        <v>190</v>
      </c>
      <c r="AL160" s="21" t="s">
        <v>190</v>
      </c>
      <c r="AM160" s="123" t="s">
        <v>1199</v>
      </c>
      <c r="AN160" s="22">
        <v>182</v>
      </c>
      <c r="AO160" s="22">
        <v>5</v>
      </c>
      <c r="AP160" s="22">
        <v>0</v>
      </c>
      <c r="AQ160" s="22">
        <v>0</v>
      </c>
      <c r="AR160" s="22">
        <v>0</v>
      </c>
      <c r="AS160" s="22">
        <v>7</v>
      </c>
      <c r="AT160" s="22">
        <v>10</v>
      </c>
      <c r="AU160" s="316">
        <f t="shared" si="23"/>
        <v>204</v>
      </c>
      <c r="AV160" s="22">
        <v>190</v>
      </c>
      <c r="AW160" s="22">
        <v>5</v>
      </c>
      <c r="AX160" s="22">
        <v>0</v>
      </c>
      <c r="AY160" s="22">
        <v>0</v>
      </c>
      <c r="AZ160" s="22">
        <v>0</v>
      </c>
      <c r="BA160" s="22">
        <v>7</v>
      </c>
      <c r="BB160" s="22">
        <v>10</v>
      </c>
      <c r="BC160" s="316">
        <f t="shared" si="24"/>
        <v>212</v>
      </c>
      <c r="BD160" s="58">
        <f t="shared" si="25"/>
        <v>8</v>
      </c>
      <c r="BE160" s="58">
        <f t="shared" si="26"/>
        <v>0</v>
      </c>
      <c r="BF160" s="58">
        <f t="shared" si="27"/>
        <v>0</v>
      </c>
      <c r="BG160" s="58">
        <f t="shared" si="28"/>
        <v>0</v>
      </c>
      <c r="BH160" s="58">
        <f t="shared" si="29"/>
        <v>0</v>
      </c>
      <c r="BI160" s="58">
        <f t="shared" si="30"/>
        <v>0</v>
      </c>
      <c r="BJ160" s="58">
        <f t="shared" si="31"/>
        <v>0</v>
      </c>
      <c r="BK160" s="58">
        <f t="shared" si="32"/>
        <v>8</v>
      </c>
    </row>
    <row r="161" spans="1:63" ht="27" customHeight="1">
      <c r="A161" s="13">
        <f t="shared" si="33"/>
        <v>159</v>
      </c>
      <c r="B161" s="14" t="s">
        <v>1356</v>
      </c>
      <c r="C161" s="10">
        <v>1445</v>
      </c>
      <c r="D161" s="76" t="s">
        <v>1357</v>
      </c>
      <c r="E161" s="85">
        <v>130097230</v>
      </c>
      <c r="F161" s="78" t="s">
        <v>1358</v>
      </c>
      <c r="G161" s="79" t="s">
        <v>1359</v>
      </c>
      <c r="H161" s="15" t="s">
        <v>1360</v>
      </c>
      <c r="I161" s="16" t="s">
        <v>1361</v>
      </c>
      <c r="J161" s="80" t="s">
        <v>178</v>
      </c>
      <c r="K161" s="24">
        <v>29024</v>
      </c>
      <c r="L161" s="82" t="s">
        <v>179</v>
      </c>
      <c r="M161" s="25">
        <v>42360</v>
      </c>
      <c r="N161" s="25"/>
      <c r="O161" s="17" t="s">
        <v>34</v>
      </c>
      <c r="P161" s="18" t="s">
        <v>1085</v>
      </c>
      <c r="Q161" s="18" t="s">
        <v>181</v>
      </c>
      <c r="R161" s="17" t="s">
        <v>182</v>
      </c>
      <c r="S161" s="13" t="s">
        <v>331</v>
      </c>
      <c r="T161" s="175"/>
      <c r="U161" s="175"/>
      <c r="V161" s="21" t="s">
        <v>184</v>
      </c>
      <c r="W161" s="21" t="s">
        <v>184</v>
      </c>
      <c r="X161" s="1">
        <v>6</v>
      </c>
      <c r="Y161" s="176" t="s">
        <v>1362</v>
      </c>
      <c r="Z161" s="86"/>
      <c r="AA161" s="86" t="s">
        <v>186</v>
      </c>
      <c r="AB161" s="1"/>
      <c r="AC161" s="177" t="s">
        <v>1363</v>
      </c>
      <c r="AD161" s="115"/>
      <c r="AE161" s="115"/>
      <c r="AF161" s="124"/>
      <c r="AG161" s="122"/>
      <c r="AH161" s="178"/>
      <c r="AI161" s="178"/>
      <c r="AJ161" s="21" t="s">
        <v>203</v>
      </c>
      <c r="AK161" s="21" t="s">
        <v>190</v>
      </c>
      <c r="AL161" s="21" t="s">
        <v>190</v>
      </c>
      <c r="AM161" s="123" t="s">
        <v>1301</v>
      </c>
      <c r="AN161" s="22">
        <v>182</v>
      </c>
      <c r="AO161" s="22">
        <v>4</v>
      </c>
      <c r="AP161" s="22">
        <v>0</v>
      </c>
      <c r="AQ161" s="22">
        <v>0</v>
      </c>
      <c r="AR161" s="22">
        <v>0</v>
      </c>
      <c r="AS161" s="22">
        <v>7</v>
      </c>
      <c r="AT161" s="22">
        <v>10</v>
      </c>
      <c r="AU161" s="316">
        <f t="shared" si="23"/>
        <v>203</v>
      </c>
      <c r="AV161" s="22">
        <v>190</v>
      </c>
      <c r="AW161" s="22">
        <v>4</v>
      </c>
      <c r="AX161" s="22">
        <v>0</v>
      </c>
      <c r="AY161" s="22">
        <v>0</v>
      </c>
      <c r="AZ161" s="22">
        <v>0</v>
      </c>
      <c r="BA161" s="22">
        <v>7</v>
      </c>
      <c r="BB161" s="22">
        <v>10</v>
      </c>
      <c r="BC161" s="316">
        <f t="shared" si="24"/>
        <v>211</v>
      </c>
      <c r="BD161" s="58">
        <f t="shared" si="25"/>
        <v>8</v>
      </c>
      <c r="BE161" s="58">
        <f t="shared" si="26"/>
        <v>0</v>
      </c>
      <c r="BF161" s="58">
        <f t="shared" si="27"/>
        <v>0</v>
      </c>
      <c r="BG161" s="58">
        <f t="shared" si="28"/>
        <v>0</v>
      </c>
      <c r="BH161" s="58">
        <f t="shared" si="29"/>
        <v>0</v>
      </c>
      <c r="BI161" s="58">
        <f t="shared" si="30"/>
        <v>0</v>
      </c>
      <c r="BJ161" s="58">
        <f t="shared" si="31"/>
        <v>0</v>
      </c>
      <c r="BK161" s="58">
        <f t="shared" si="32"/>
        <v>8</v>
      </c>
    </row>
    <row r="162" spans="1:63" ht="27" customHeight="1">
      <c r="A162" s="13">
        <f t="shared" si="33"/>
        <v>160</v>
      </c>
      <c r="B162" s="14" t="s">
        <v>1364</v>
      </c>
      <c r="C162" s="10">
        <v>1466</v>
      </c>
      <c r="D162" s="76" t="s">
        <v>1365</v>
      </c>
      <c r="E162" s="85">
        <v>130142280</v>
      </c>
      <c r="F162" s="78" t="s">
        <v>963</v>
      </c>
      <c r="G162" s="79" t="s">
        <v>1366</v>
      </c>
      <c r="H162" s="15" t="s">
        <v>964</v>
      </c>
      <c r="I162" s="16" t="s">
        <v>1367</v>
      </c>
      <c r="J162" s="80" t="s">
        <v>178</v>
      </c>
      <c r="K162" s="24">
        <v>32525</v>
      </c>
      <c r="L162" s="82" t="s">
        <v>179</v>
      </c>
      <c r="M162" s="25">
        <v>42388</v>
      </c>
      <c r="N162" s="25"/>
      <c r="O162" s="17" t="s">
        <v>34</v>
      </c>
      <c r="P162" s="18" t="s">
        <v>265</v>
      </c>
      <c r="Q162" s="18" t="s">
        <v>181</v>
      </c>
      <c r="R162" s="17" t="s">
        <v>182</v>
      </c>
      <c r="S162" s="13" t="s">
        <v>433</v>
      </c>
      <c r="T162" s="175"/>
      <c r="U162" s="175"/>
      <c r="V162" s="21" t="s">
        <v>184</v>
      </c>
      <c r="W162" s="21" t="s">
        <v>184</v>
      </c>
      <c r="X162" s="1">
        <v>6</v>
      </c>
      <c r="Y162" s="176" t="s">
        <v>1368</v>
      </c>
      <c r="Z162" s="86"/>
      <c r="AA162" s="86" t="s">
        <v>186</v>
      </c>
      <c r="AB162" s="1"/>
      <c r="AC162" s="177" t="s">
        <v>1369</v>
      </c>
      <c r="AD162" s="115" t="s">
        <v>188</v>
      </c>
      <c r="AE162" s="115"/>
      <c r="AF162" s="124"/>
      <c r="AG162" s="122"/>
      <c r="AH162" s="178"/>
      <c r="AI162" s="178"/>
      <c r="AJ162" s="21" t="s">
        <v>203</v>
      </c>
      <c r="AK162" s="21" t="s">
        <v>190</v>
      </c>
      <c r="AL162" s="21" t="s">
        <v>190</v>
      </c>
      <c r="AM162" s="123" t="s">
        <v>1199</v>
      </c>
      <c r="AN162" s="22">
        <v>182</v>
      </c>
      <c r="AO162" s="22">
        <v>4</v>
      </c>
      <c r="AP162" s="22">
        <v>0</v>
      </c>
      <c r="AQ162" s="22">
        <v>0</v>
      </c>
      <c r="AR162" s="22">
        <v>0</v>
      </c>
      <c r="AS162" s="22">
        <v>7</v>
      </c>
      <c r="AT162" s="22">
        <v>10</v>
      </c>
      <c r="AU162" s="316">
        <f t="shared" si="23"/>
        <v>203</v>
      </c>
      <c r="AV162" s="22">
        <v>190</v>
      </c>
      <c r="AW162" s="22">
        <v>4</v>
      </c>
      <c r="AX162" s="22">
        <v>0</v>
      </c>
      <c r="AY162" s="22">
        <v>0</v>
      </c>
      <c r="AZ162" s="22">
        <v>0</v>
      </c>
      <c r="BA162" s="22">
        <v>7</v>
      </c>
      <c r="BB162" s="22">
        <v>10</v>
      </c>
      <c r="BC162" s="316">
        <f t="shared" si="24"/>
        <v>211</v>
      </c>
      <c r="BD162" s="58">
        <f t="shared" si="25"/>
        <v>8</v>
      </c>
      <c r="BE162" s="58">
        <f t="shared" si="26"/>
        <v>0</v>
      </c>
      <c r="BF162" s="58">
        <f t="shared" si="27"/>
        <v>0</v>
      </c>
      <c r="BG162" s="58">
        <f t="shared" si="28"/>
        <v>0</v>
      </c>
      <c r="BH162" s="58">
        <f t="shared" si="29"/>
        <v>0</v>
      </c>
      <c r="BI162" s="58">
        <f t="shared" si="30"/>
        <v>0</v>
      </c>
      <c r="BJ162" s="58">
        <f t="shared" si="31"/>
        <v>0</v>
      </c>
      <c r="BK162" s="58">
        <f t="shared" si="32"/>
        <v>8</v>
      </c>
    </row>
    <row r="163" spans="1:63" ht="27" customHeight="1">
      <c r="A163" s="13">
        <f t="shared" si="33"/>
        <v>161</v>
      </c>
      <c r="B163" s="14" t="s">
        <v>1370</v>
      </c>
      <c r="C163" s="10">
        <v>1481</v>
      </c>
      <c r="D163" s="76" t="s">
        <v>1371</v>
      </c>
      <c r="E163" s="85">
        <v>160152354</v>
      </c>
      <c r="F163" s="78" t="s">
        <v>407</v>
      </c>
      <c r="G163" s="79" t="s">
        <v>1372</v>
      </c>
      <c r="H163" s="15" t="s">
        <v>609</v>
      </c>
      <c r="I163" s="16" t="s">
        <v>1373</v>
      </c>
      <c r="J163" s="80" t="s">
        <v>178</v>
      </c>
      <c r="K163" s="24">
        <v>31249</v>
      </c>
      <c r="L163" s="82" t="s">
        <v>179</v>
      </c>
      <c r="M163" s="25">
        <v>42402</v>
      </c>
      <c r="N163" s="25"/>
      <c r="O163" s="17" t="s">
        <v>34</v>
      </c>
      <c r="P163" s="18" t="s">
        <v>1085</v>
      </c>
      <c r="Q163" s="18" t="s">
        <v>181</v>
      </c>
      <c r="R163" s="17" t="s">
        <v>182</v>
      </c>
      <c r="S163" s="13" t="s">
        <v>1374</v>
      </c>
      <c r="T163" s="175"/>
      <c r="U163" s="175"/>
      <c r="V163" s="21" t="s">
        <v>184</v>
      </c>
      <c r="W163" s="21" t="s">
        <v>184</v>
      </c>
      <c r="X163" s="1">
        <v>3</v>
      </c>
      <c r="Y163" s="176" t="s">
        <v>1375</v>
      </c>
      <c r="Z163" s="86"/>
      <c r="AA163" s="86" t="s">
        <v>186</v>
      </c>
      <c r="AB163" s="1"/>
      <c r="AC163" s="177" t="s">
        <v>425</v>
      </c>
      <c r="AD163" s="115"/>
      <c r="AE163" s="115"/>
      <c r="AF163" s="124"/>
      <c r="AG163" s="122"/>
      <c r="AH163" s="178"/>
      <c r="AI163" s="178"/>
      <c r="AJ163" s="21" t="s">
        <v>203</v>
      </c>
      <c r="AK163" s="21" t="s">
        <v>190</v>
      </c>
      <c r="AL163" s="21" t="s">
        <v>190</v>
      </c>
      <c r="AM163" s="123" t="s">
        <v>1376</v>
      </c>
      <c r="AN163" s="22">
        <v>182</v>
      </c>
      <c r="AO163" s="22">
        <v>4</v>
      </c>
      <c r="AP163" s="22">
        <v>0</v>
      </c>
      <c r="AQ163" s="22">
        <v>0</v>
      </c>
      <c r="AR163" s="22">
        <v>0</v>
      </c>
      <c r="AS163" s="22">
        <v>7</v>
      </c>
      <c r="AT163" s="22">
        <v>10</v>
      </c>
      <c r="AU163" s="316">
        <f t="shared" si="23"/>
        <v>203</v>
      </c>
      <c r="AV163" s="22">
        <v>190</v>
      </c>
      <c r="AW163" s="22">
        <v>4</v>
      </c>
      <c r="AX163" s="22">
        <v>0</v>
      </c>
      <c r="AY163" s="22">
        <v>0</v>
      </c>
      <c r="AZ163" s="22">
        <v>0</v>
      </c>
      <c r="BA163" s="22">
        <v>7</v>
      </c>
      <c r="BB163" s="22">
        <v>10</v>
      </c>
      <c r="BC163" s="316">
        <f t="shared" si="24"/>
        <v>211</v>
      </c>
      <c r="BD163" s="58">
        <f t="shared" si="25"/>
        <v>8</v>
      </c>
      <c r="BE163" s="58">
        <f t="shared" si="26"/>
        <v>0</v>
      </c>
      <c r="BF163" s="58">
        <f t="shared" si="27"/>
        <v>0</v>
      </c>
      <c r="BG163" s="58">
        <f t="shared" si="28"/>
        <v>0</v>
      </c>
      <c r="BH163" s="58">
        <f t="shared" si="29"/>
        <v>0</v>
      </c>
      <c r="BI163" s="58">
        <f t="shared" si="30"/>
        <v>0</v>
      </c>
      <c r="BJ163" s="58">
        <f t="shared" si="31"/>
        <v>0</v>
      </c>
      <c r="BK163" s="58">
        <f t="shared" si="32"/>
        <v>8</v>
      </c>
    </row>
    <row r="164" spans="1:63" ht="27" customHeight="1">
      <c r="A164" s="13">
        <f t="shared" si="33"/>
        <v>162</v>
      </c>
      <c r="B164" s="14" t="s">
        <v>1377</v>
      </c>
      <c r="C164" s="10">
        <v>1486</v>
      </c>
      <c r="D164" s="76" t="s">
        <v>1378</v>
      </c>
      <c r="E164" s="85">
        <v>30575472</v>
      </c>
      <c r="F164" s="78" t="s">
        <v>443</v>
      </c>
      <c r="G164" s="79" t="s">
        <v>1379</v>
      </c>
      <c r="H164" s="15" t="s">
        <v>964</v>
      </c>
      <c r="I164" s="16" t="s">
        <v>1380</v>
      </c>
      <c r="J164" s="80" t="s">
        <v>178</v>
      </c>
      <c r="K164" s="24">
        <v>33522</v>
      </c>
      <c r="L164" s="82" t="s">
        <v>179</v>
      </c>
      <c r="M164" s="25">
        <v>42409</v>
      </c>
      <c r="N164" s="25"/>
      <c r="O164" s="17" t="s">
        <v>34</v>
      </c>
      <c r="P164" s="18" t="s">
        <v>265</v>
      </c>
      <c r="Q164" s="18" t="s">
        <v>181</v>
      </c>
      <c r="R164" s="17" t="s">
        <v>182</v>
      </c>
      <c r="S164" s="13" t="s">
        <v>310</v>
      </c>
      <c r="T164" s="22"/>
      <c r="U164" s="22"/>
      <c r="V164" s="21" t="s">
        <v>184</v>
      </c>
      <c r="W164" s="21" t="s">
        <v>184</v>
      </c>
      <c r="X164" s="21">
        <v>5</v>
      </c>
      <c r="Y164" s="77" t="s">
        <v>184</v>
      </c>
      <c r="Z164" s="86"/>
      <c r="AA164" s="86" t="s">
        <v>186</v>
      </c>
      <c r="AB164" s="21"/>
      <c r="AC164" s="177" t="s">
        <v>202</v>
      </c>
      <c r="AD164" s="115"/>
      <c r="AE164" s="115"/>
      <c r="AF164" s="124"/>
      <c r="AG164" s="122"/>
      <c r="AH164" s="59"/>
      <c r="AI164" s="59"/>
      <c r="AJ164" s="21" t="s">
        <v>203</v>
      </c>
      <c r="AK164" s="21" t="s">
        <v>190</v>
      </c>
      <c r="AL164" s="21" t="s">
        <v>190</v>
      </c>
      <c r="AM164" s="123" t="s">
        <v>1199</v>
      </c>
      <c r="AN164" s="22">
        <v>182</v>
      </c>
      <c r="AO164" s="22">
        <v>4</v>
      </c>
      <c r="AP164" s="22">
        <v>0</v>
      </c>
      <c r="AQ164" s="22">
        <v>0</v>
      </c>
      <c r="AR164" s="22">
        <v>0</v>
      </c>
      <c r="AS164" s="22">
        <v>7</v>
      </c>
      <c r="AT164" s="22">
        <v>10</v>
      </c>
      <c r="AU164" s="316">
        <f t="shared" si="23"/>
        <v>203</v>
      </c>
      <c r="AV164" s="22">
        <v>190</v>
      </c>
      <c r="AW164" s="22">
        <v>4</v>
      </c>
      <c r="AX164" s="22">
        <v>0</v>
      </c>
      <c r="AY164" s="22">
        <v>0</v>
      </c>
      <c r="AZ164" s="22">
        <v>0</v>
      </c>
      <c r="BA164" s="22">
        <v>7</v>
      </c>
      <c r="BB164" s="22">
        <v>10</v>
      </c>
      <c r="BC164" s="316">
        <f t="shared" si="24"/>
        <v>211</v>
      </c>
      <c r="BD164" s="58">
        <f t="shared" si="25"/>
        <v>8</v>
      </c>
      <c r="BE164" s="58">
        <f t="shared" si="26"/>
        <v>0</v>
      </c>
      <c r="BF164" s="58">
        <f t="shared" si="27"/>
        <v>0</v>
      </c>
      <c r="BG164" s="58">
        <f t="shared" si="28"/>
        <v>0</v>
      </c>
      <c r="BH164" s="58">
        <f t="shared" si="29"/>
        <v>0</v>
      </c>
      <c r="BI164" s="58">
        <f t="shared" si="30"/>
        <v>0</v>
      </c>
      <c r="BJ164" s="58">
        <f t="shared" si="31"/>
        <v>0</v>
      </c>
      <c r="BK164" s="58">
        <f t="shared" si="32"/>
        <v>8</v>
      </c>
    </row>
    <row r="165" spans="1:63" ht="27" customHeight="1">
      <c r="A165" s="13">
        <f t="shared" si="33"/>
        <v>163</v>
      </c>
      <c r="B165" s="14" t="s">
        <v>1381</v>
      </c>
      <c r="C165" s="10">
        <v>1497</v>
      </c>
      <c r="D165" s="76" t="s">
        <v>1382</v>
      </c>
      <c r="E165" s="85">
        <v>130175308</v>
      </c>
      <c r="F165" s="78" t="s">
        <v>557</v>
      </c>
      <c r="G165" s="79" t="s">
        <v>1383</v>
      </c>
      <c r="H165" s="15" t="s">
        <v>559</v>
      </c>
      <c r="I165" s="16" t="s">
        <v>1384</v>
      </c>
      <c r="J165" s="80" t="s">
        <v>178</v>
      </c>
      <c r="K165" s="24">
        <v>34920</v>
      </c>
      <c r="L165" s="82" t="s">
        <v>179</v>
      </c>
      <c r="M165" s="25">
        <v>42445</v>
      </c>
      <c r="N165" s="25"/>
      <c r="O165" s="17" t="s">
        <v>26</v>
      </c>
      <c r="P165" s="18" t="s">
        <v>1385</v>
      </c>
      <c r="Q165" s="18" t="s">
        <v>249</v>
      </c>
      <c r="R165" s="17" t="s">
        <v>182</v>
      </c>
      <c r="S165" s="19" t="s">
        <v>256</v>
      </c>
      <c r="T165" s="22"/>
      <c r="U165" s="22"/>
      <c r="V165" s="21" t="s">
        <v>184</v>
      </c>
      <c r="W165" s="21" t="s">
        <v>184</v>
      </c>
      <c r="X165" s="21">
        <v>6</v>
      </c>
      <c r="Y165" s="77" t="s">
        <v>1386</v>
      </c>
      <c r="Z165" s="86"/>
      <c r="AA165" s="86" t="s">
        <v>186</v>
      </c>
      <c r="AB165" s="21"/>
      <c r="AC165" s="177" t="s">
        <v>202</v>
      </c>
      <c r="AD165" s="115"/>
      <c r="AE165" s="115"/>
      <c r="AF165" s="124"/>
      <c r="AG165" s="122"/>
      <c r="AH165" s="59"/>
      <c r="AI165" s="59"/>
      <c r="AJ165" s="21" t="s">
        <v>203</v>
      </c>
      <c r="AK165" s="21" t="s">
        <v>190</v>
      </c>
      <c r="AL165" s="21" t="s">
        <v>190</v>
      </c>
      <c r="AM165" s="123" t="s">
        <v>1199</v>
      </c>
      <c r="AN165" s="22">
        <v>182</v>
      </c>
      <c r="AO165" s="22">
        <v>4</v>
      </c>
      <c r="AP165" s="22">
        <v>20</v>
      </c>
      <c r="AQ165" s="22">
        <v>20</v>
      </c>
      <c r="AR165" s="22">
        <v>0</v>
      </c>
      <c r="AS165" s="22">
        <v>7</v>
      </c>
      <c r="AT165" s="22">
        <v>10</v>
      </c>
      <c r="AU165" s="316">
        <f t="shared" si="23"/>
        <v>243</v>
      </c>
      <c r="AV165" s="22">
        <v>190</v>
      </c>
      <c r="AW165" s="22">
        <v>4</v>
      </c>
      <c r="AX165" s="22">
        <v>20</v>
      </c>
      <c r="AY165" s="22">
        <v>20</v>
      </c>
      <c r="AZ165" s="22">
        <v>0</v>
      </c>
      <c r="BA165" s="22">
        <v>7</v>
      </c>
      <c r="BB165" s="22">
        <v>10</v>
      </c>
      <c r="BC165" s="316">
        <f t="shared" si="24"/>
        <v>251</v>
      </c>
      <c r="BD165" s="58">
        <f t="shared" si="25"/>
        <v>8</v>
      </c>
      <c r="BE165" s="58">
        <f t="shared" si="26"/>
        <v>0</v>
      </c>
      <c r="BF165" s="58">
        <f t="shared" si="27"/>
        <v>0</v>
      </c>
      <c r="BG165" s="58">
        <f t="shared" si="28"/>
        <v>0</v>
      </c>
      <c r="BH165" s="58">
        <f t="shared" si="29"/>
        <v>0</v>
      </c>
      <c r="BI165" s="58">
        <f t="shared" si="30"/>
        <v>0</v>
      </c>
      <c r="BJ165" s="58">
        <f t="shared" si="31"/>
        <v>0</v>
      </c>
      <c r="BK165" s="58">
        <f t="shared" si="32"/>
        <v>8</v>
      </c>
    </row>
    <row r="166" spans="1:63" ht="27" customHeight="1">
      <c r="A166" s="13">
        <f t="shared" si="33"/>
        <v>164</v>
      </c>
      <c r="B166" s="14" t="s">
        <v>1387</v>
      </c>
      <c r="C166" s="10">
        <v>1498</v>
      </c>
      <c r="D166" s="76" t="s">
        <v>1388</v>
      </c>
      <c r="E166" s="85">
        <v>30013065</v>
      </c>
      <c r="F166" s="78" t="s">
        <v>1389</v>
      </c>
      <c r="G166" s="79" t="s">
        <v>1390</v>
      </c>
      <c r="H166" s="15" t="s">
        <v>1391</v>
      </c>
      <c r="I166" s="16" t="s">
        <v>1392</v>
      </c>
      <c r="J166" s="80" t="s">
        <v>178</v>
      </c>
      <c r="K166" s="24">
        <v>26420</v>
      </c>
      <c r="L166" s="82" t="s">
        <v>179</v>
      </c>
      <c r="M166" s="25">
        <v>42446</v>
      </c>
      <c r="N166" s="25"/>
      <c r="O166" s="17" t="s">
        <v>80</v>
      </c>
      <c r="P166" s="18" t="s">
        <v>199</v>
      </c>
      <c r="Q166" s="18" t="s">
        <v>181</v>
      </c>
      <c r="R166" s="17" t="s">
        <v>182</v>
      </c>
      <c r="S166" s="13" t="s">
        <v>310</v>
      </c>
      <c r="T166" s="22"/>
      <c r="U166" s="22"/>
      <c r="V166" s="21" t="s">
        <v>184</v>
      </c>
      <c r="W166" s="21" t="s">
        <v>184</v>
      </c>
      <c r="X166" s="17" t="s">
        <v>1282</v>
      </c>
      <c r="Y166" s="77" t="s">
        <v>1393</v>
      </c>
      <c r="Z166" s="86" t="s">
        <v>186</v>
      </c>
      <c r="AA166" s="86"/>
      <c r="AB166" s="21"/>
      <c r="AC166" s="177" t="s">
        <v>371</v>
      </c>
      <c r="AD166" s="115"/>
      <c r="AE166" s="115"/>
      <c r="AF166" s="124"/>
      <c r="AG166" s="122"/>
      <c r="AH166" s="59"/>
      <c r="AI166" s="59"/>
      <c r="AJ166" s="21" t="s">
        <v>203</v>
      </c>
      <c r="AK166" s="21" t="s">
        <v>190</v>
      </c>
      <c r="AL166" s="21" t="s">
        <v>190</v>
      </c>
      <c r="AM166" s="123" t="s">
        <v>1199</v>
      </c>
      <c r="AN166" s="22">
        <v>182</v>
      </c>
      <c r="AO166" s="22">
        <v>4</v>
      </c>
      <c r="AP166" s="22">
        <v>0</v>
      </c>
      <c r="AQ166" s="22">
        <v>10</v>
      </c>
      <c r="AR166" s="22">
        <v>0</v>
      </c>
      <c r="AS166" s="22">
        <v>7</v>
      </c>
      <c r="AT166" s="22">
        <v>10</v>
      </c>
      <c r="AU166" s="316">
        <f t="shared" si="23"/>
        <v>213</v>
      </c>
      <c r="AV166" s="22">
        <v>190</v>
      </c>
      <c r="AW166" s="22">
        <v>4</v>
      </c>
      <c r="AX166" s="22">
        <v>0</v>
      </c>
      <c r="AY166" s="22">
        <v>10</v>
      </c>
      <c r="AZ166" s="22">
        <v>0</v>
      </c>
      <c r="BA166" s="22">
        <v>7</v>
      </c>
      <c r="BB166" s="22">
        <v>10</v>
      </c>
      <c r="BC166" s="316">
        <f t="shared" si="24"/>
        <v>221</v>
      </c>
      <c r="BD166" s="58">
        <f t="shared" si="25"/>
        <v>8</v>
      </c>
      <c r="BE166" s="58">
        <f t="shared" si="26"/>
        <v>0</v>
      </c>
      <c r="BF166" s="58">
        <f t="shared" si="27"/>
        <v>0</v>
      </c>
      <c r="BG166" s="58">
        <f t="shared" si="28"/>
        <v>0</v>
      </c>
      <c r="BH166" s="58">
        <f t="shared" si="29"/>
        <v>0</v>
      </c>
      <c r="BI166" s="58">
        <f t="shared" si="30"/>
        <v>0</v>
      </c>
      <c r="BJ166" s="58">
        <f t="shared" si="31"/>
        <v>0</v>
      </c>
      <c r="BK166" s="58">
        <f t="shared" si="32"/>
        <v>8</v>
      </c>
    </row>
    <row r="167" spans="1:63" ht="27" customHeight="1">
      <c r="A167" s="187">
        <f t="shared" si="33"/>
        <v>165</v>
      </c>
      <c r="B167" s="188" t="s">
        <v>1394</v>
      </c>
      <c r="C167" s="188">
        <v>1505</v>
      </c>
      <c r="D167" s="189" t="s">
        <v>1395</v>
      </c>
      <c r="E167" s="190" t="s">
        <v>1319</v>
      </c>
      <c r="F167" s="191" t="s">
        <v>1396</v>
      </c>
      <c r="G167" s="192" t="s">
        <v>1397</v>
      </c>
      <c r="H167" s="193" t="s">
        <v>1398</v>
      </c>
      <c r="I167" s="194" t="s">
        <v>1399</v>
      </c>
      <c r="J167" s="195" t="s">
        <v>209</v>
      </c>
      <c r="K167" s="196">
        <v>25563</v>
      </c>
      <c r="L167" s="197" t="s">
        <v>179</v>
      </c>
      <c r="M167" s="196">
        <v>42466</v>
      </c>
      <c r="N167" s="196"/>
      <c r="O167" s="198" t="s">
        <v>80</v>
      </c>
      <c r="P167" s="18" t="e">
        <v>#N/A</v>
      </c>
      <c r="Q167" s="18" t="s">
        <v>181</v>
      </c>
      <c r="R167" s="198" t="s">
        <v>182</v>
      </c>
      <c r="S167" s="187" t="s">
        <v>1400</v>
      </c>
      <c r="T167" s="199"/>
      <c r="U167" s="199"/>
      <c r="V167" s="200" t="s">
        <v>200</v>
      </c>
      <c r="W167" s="200" t="s">
        <v>200</v>
      </c>
      <c r="X167" s="200" t="s">
        <v>11</v>
      </c>
      <c r="Y167" s="201" t="s">
        <v>1401</v>
      </c>
      <c r="Z167" s="202"/>
      <c r="AA167" s="202" t="s">
        <v>186</v>
      </c>
      <c r="AB167" s="200"/>
      <c r="AC167" s="203" t="s">
        <v>371</v>
      </c>
      <c r="AD167" s="204"/>
      <c r="AE167" s="204"/>
      <c r="AF167" s="205"/>
      <c r="AG167" s="205"/>
      <c r="AH167" s="206"/>
      <c r="AI167" s="206"/>
      <c r="AJ167" s="200" t="s">
        <v>203</v>
      </c>
      <c r="AK167" s="200" t="s">
        <v>190</v>
      </c>
      <c r="AL167" s="200" t="s">
        <v>190</v>
      </c>
      <c r="AM167" s="207" t="s">
        <v>1199</v>
      </c>
      <c r="AN167" s="22">
        <v>350</v>
      </c>
      <c r="AO167" s="22">
        <v>0</v>
      </c>
      <c r="AP167" s="22">
        <v>0</v>
      </c>
      <c r="AQ167" s="22">
        <v>0</v>
      </c>
      <c r="AR167" s="22">
        <v>0</v>
      </c>
      <c r="AS167" s="22">
        <v>0</v>
      </c>
      <c r="AT167" s="22">
        <v>0</v>
      </c>
      <c r="AU167" s="316">
        <f>SUM(AN167:AT167)</f>
        <v>350</v>
      </c>
      <c r="AV167" s="22">
        <v>350</v>
      </c>
      <c r="AW167" s="22">
        <v>0</v>
      </c>
      <c r="AX167" s="22">
        <v>0</v>
      </c>
      <c r="AY167" s="22">
        <v>0</v>
      </c>
      <c r="AZ167" s="22">
        <v>0</v>
      </c>
      <c r="BA167" s="22">
        <v>0</v>
      </c>
      <c r="BB167" s="22">
        <v>0</v>
      </c>
      <c r="BC167" s="316">
        <f>SUM(AV167:BB167)</f>
        <v>350</v>
      </c>
      <c r="BD167" s="58">
        <f t="shared" si="25"/>
        <v>0</v>
      </c>
      <c r="BE167" s="58">
        <f t="shared" si="26"/>
        <v>0</v>
      </c>
      <c r="BF167" s="58">
        <f t="shared" si="27"/>
        <v>0</v>
      </c>
      <c r="BG167" s="58">
        <f t="shared" si="28"/>
        <v>0</v>
      </c>
      <c r="BH167" s="58">
        <f t="shared" si="29"/>
        <v>0</v>
      </c>
      <c r="BI167" s="58">
        <f t="shared" si="30"/>
        <v>0</v>
      </c>
      <c r="BJ167" s="58">
        <f t="shared" si="31"/>
        <v>0</v>
      </c>
      <c r="BK167" s="58">
        <f t="shared" si="32"/>
        <v>0</v>
      </c>
    </row>
    <row r="168" spans="1:63" ht="27" customHeight="1">
      <c r="A168" s="13">
        <f t="shared" si="33"/>
        <v>166</v>
      </c>
      <c r="B168" s="14" t="s">
        <v>1402</v>
      </c>
      <c r="C168" s="10">
        <v>1509</v>
      </c>
      <c r="D168" s="76" t="s">
        <v>1403</v>
      </c>
      <c r="E168" s="85">
        <v>100562421</v>
      </c>
      <c r="F168" s="78" t="s">
        <v>1404</v>
      </c>
      <c r="G168" s="79" t="s">
        <v>1405</v>
      </c>
      <c r="H168" s="15" t="s">
        <v>1406</v>
      </c>
      <c r="I168" s="16" t="s">
        <v>1407</v>
      </c>
      <c r="J168" s="80" t="s">
        <v>178</v>
      </c>
      <c r="K168" s="24">
        <v>33207</v>
      </c>
      <c r="L168" s="82" t="s">
        <v>179</v>
      </c>
      <c r="M168" s="25">
        <v>42481</v>
      </c>
      <c r="N168" s="25"/>
      <c r="O168" s="17" t="s">
        <v>34</v>
      </c>
      <c r="P168" s="18" t="s">
        <v>1281</v>
      </c>
      <c r="Q168" s="18" t="s">
        <v>181</v>
      </c>
      <c r="R168" s="17" t="s">
        <v>182</v>
      </c>
      <c r="S168" s="19" t="s">
        <v>211</v>
      </c>
      <c r="T168" s="175"/>
      <c r="U168" s="175"/>
      <c r="V168" s="21" t="s">
        <v>184</v>
      </c>
      <c r="W168" s="21" t="s">
        <v>184</v>
      </c>
      <c r="X168" s="1">
        <v>8</v>
      </c>
      <c r="Y168" s="176" t="s">
        <v>1408</v>
      </c>
      <c r="Z168" s="86"/>
      <c r="AA168" s="86" t="s">
        <v>186</v>
      </c>
      <c r="AB168" s="1"/>
      <c r="AC168" s="177" t="s">
        <v>202</v>
      </c>
      <c r="AD168" s="115"/>
      <c r="AE168" s="115"/>
      <c r="AF168" s="124"/>
      <c r="AG168" s="122"/>
      <c r="AH168" s="178"/>
      <c r="AI168" s="178"/>
      <c r="AJ168" s="21" t="s">
        <v>203</v>
      </c>
      <c r="AK168" s="21" t="s">
        <v>190</v>
      </c>
      <c r="AL168" s="21" t="s">
        <v>190</v>
      </c>
      <c r="AM168" s="123" t="s">
        <v>1250</v>
      </c>
      <c r="AN168" s="22">
        <v>182</v>
      </c>
      <c r="AO168" s="22">
        <v>4</v>
      </c>
      <c r="AP168" s="22">
        <v>0</v>
      </c>
      <c r="AQ168" s="22">
        <v>0</v>
      </c>
      <c r="AR168" s="22">
        <v>0</v>
      </c>
      <c r="AS168" s="22">
        <v>7</v>
      </c>
      <c r="AT168" s="22">
        <v>10</v>
      </c>
      <c r="AU168" s="316">
        <f t="shared" si="23"/>
        <v>203</v>
      </c>
      <c r="AV168" s="22">
        <v>190</v>
      </c>
      <c r="AW168" s="22">
        <v>4</v>
      </c>
      <c r="AX168" s="22">
        <v>0</v>
      </c>
      <c r="AY168" s="22">
        <v>0</v>
      </c>
      <c r="AZ168" s="22">
        <v>0</v>
      </c>
      <c r="BA168" s="22">
        <v>7</v>
      </c>
      <c r="BB168" s="22">
        <v>10</v>
      </c>
      <c r="BC168" s="316">
        <f t="shared" si="24"/>
        <v>211</v>
      </c>
      <c r="BD168" s="58">
        <f t="shared" si="25"/>
        <v>8</v>
      </c>
      <c r="BE168" s="58">
        <f t="shared" si="26"/>
        <v>0</v>
      </c>
      <c r="BF168" s="58">
        <f t="shared" si="27"/>
        <v>0</v>
      </c>
      <c r="BG168" s="58">
        <f t="shared" si="28"/>
        <v>0</v>
      </c>
      <c r="BH168" s="58">
        <f t="shared" si="29"/>
        <v>0</v>
      </c>
      <c r="BI168" s="58">
        <f t="shared" si="30"/>
        <v>0</v>
      </c>
      <c r="BJ168" s="58">
        <f t="shared" si="31"/>
        <v>0</v>
      </c>
      <c r="BK168" s="58">
        <f t="shared" si="32"/>
        <v>8</v>
      </c>
    </row>
    <row r="169" spans="1:63" ht="27" customHeight="1">
      <c r="A169" s="13">
        <f t="shared" si="33"/>
        <v>167</v>
      </c>
      <c r="B169" s="14" t="s">
        <v>1409</v>
      </c>
      <c r="C169" s="10">
        <v>1522</v>
      </c>
      <c r="D169" s="76" t="s">
        <v>1410</v>
      </c>
      <c r="E169" s="85">
        <v>50701644</v>
      </c>
      <c r="F169" s="78" t="s">
        <v>1411</v>
      </c>
      <c r="G169" s="79" t="s">
        <v>633</v>
      </c>
      <c r="H169" s="15" t="s">
        <v>1412</v>
      </c>
      <c r="I169" s="16" t="s">
        <v>1413</v>
      </c>
      <c r="J169" s="80" t="s">
        <v>178</v>
      </c>
      <c r="K169" s="24">
        <v>33351</v>
      </c>
      <c r="L169" s="82" t="s">
        <v>179</v>
      </c>
      <c r="M169" s="25">
        <v>42500</v>
      </c>
      <c r="N169" s="25"/>
      <c r="O169" s="17" t="s">
        <v>26</v>
      </c>
      <c r="P169" s="18" t="s">
        <v>636</v>
      </c>
      <c r="Q169" s="18" t="s">
        <v>181</v>
      </c>
      <c r="R169" s="17" t="s">
        <v>182</v>
      </c>
      <c r="S169" s="13" t="s">
        <v>219</v>
      </c>
      <c r="T169" s="175"/>
      <c r="U169" s="175"/>
      <c r="V169" s="21" t="s">
        <v>184</v>
      </c>
      <c r="W169" s="21" t="s">
        <v>184</v>
      </c>
      <c r="X169" s="1">
        <v>5</v>
      </c>
      <c r="Y169" s="176">
        <v>70910786</v>
      </c>
      <c r="Z169" s="86" t="s">
        <v>186</v>
      </c>
      <c r="AA169" s="86"/>
      <c r="AB169" s="86"/>
      <c r="AC169" s="177"/>
      <c r="AD169" s="115"/>
      <c r="AE169" s="115"/>
      <c r="AF169" s="124"/>
      <c r="AG169" s="122"/>
      <c r="AH169" s="178"/>
      <c r="AI169" s="178"/>
      <c r="AJ169" s="21" t="s">
        <v>203</v>
      </c>
      <c r="AK169" s="21" t="s">
        <v>190</v>
      </c>
      <c r="AL169" s="21" t="s">
        <v>190</v>
      </c>
      <c r="AM169" s="123" t="s">
        <v>1376</v>
      </c>
      <c r="AN169" s="22">
        <v>182</v>
      </c>
      <c r="AO169" s="22">
        <v>4</v>
      </c>
      <c r="AP169" s="22">
        <v>0</v>
      </c>
      <c r="AQ169" s="22">
        <v>0</v>
      </c>
      <c r="AR169" s="22">
        <v>0</v>
      </c>
      <c r="AS169" s="22">
        <v>7</v>
      </c>
      <c r="AT169" s="22">
        <v>10</v>
      </c>
      <c r="AU169" s="316">
        <f t="shared" si="23"/>
        <v>203</v>
      </c>
      <c r="AV169" s="22">
        <v>190</v>
      </c>
      <c r="AW169" s="22">
        <v>4</v>
      </c>
      <c r="AX169" s="22">
        <v>0</v>
      </c>
      <c r="AY169" s="22">
        <v>0</v>
      </c>
      <c r="AZ169" s="22">
        <v>0</v>
      </c>
      <c r="BA169" s="22">
        <v>7</v>
      </c>
      <c r="BB169" s="22">
        <v>10</v>
      </c>
      <c r="BC169" s="316">
        <f t="shared" si="24"/>
        <v>211</v>
      </c>
      <c r="BD169" s="58">
        <f t="shared" si="25"/>
        <v>8</v>
      </c>
      <c r="BE169" s="58">
        <f t="shared" si="26"/>
        <v>0</v>
      </c>
      <c r="BF169" s="58">
        <f t="shared" si="27"/>
        <v>0</v>
      </c>
      <c r="BG169" s="58">
        <f t="shared" si="28"/>
        <v>0</v>
      </c>
      <c r="BH169" s="58">
        <f t="shared" si="29"/>
        <v>0</v>
      </c>
      <c r="BI169" s="58">
        <f t="shared" si="30"/>
        <v>0</v>
      </c>
      <c r="BJ169" s="58">
        <f t="shared" si="31"/>
        <v>0</v>
      </c>
      <c r="BK169" s="58">
        <f t="shared" si="32"/>
        <v>8</v>
      </c>
    </row>
    <row r="170" spans="1:63" ht="27" customHeight="1">
      <c r="A170" s="13">
        <f t="shared" si="33"/>
        <v>168</v>
      </c>
      <c r="B170" s="14" t="s">
        <v>1414</v>
      </c>
      <c r="C170" s="10">
        <v>1529</v>
      </c>
      <c r="D170" s="76" t="s">
        <v>1415</v>
      </c>
      <c r="E170" s="85">
        <v>110459723</v>
      </c>
      <c r="F170" s="78" t="s">
        <v>1416</v>
      </c>
      <c r="G170" s="79" t="s">
        <v>1417</v>
      </c>
      <c r="H170" s="15" t="s">
        <v>1418</v>
      </c>
      <c r="I170" s="16" t="s">
        <v>1419</v>
      </c>
      <c r="J170" s="80" t="s">
        <v>178</v>
      </c>
      <c r="K170" s="24">
        <v>33278</v>
      </c>
      <c r="L170" s="82" t="s">
        <v>179</v>
      </c>
      <c r="M170" s="25">
        <v>42523</v>
      </c>
      <c r="N170" s="25"/>
      <c r="O170" s="17" t="s">
        <v>34</v>
      </c>
      <c r="P170" s="18" t="s">
        <v>604</v>
      </c>
      <c r="Q170" s="18" t="s">
        <v>181</v>
      </c>
      <c r="R170" s="17" t="s">
        <v>182</v>
      </c>
      <c r="S170" s="13" t="s">
        <v>228</v>
      </c>
      <c r="T170" s="175"/>
      <c r="U170" s="175"/>
      <c r="V170" s="21" t="s">
        <v>184</v>
      </c>
      <c r="W170" s="21" t="s">
        <v>184</v>
      </c>
      <c r="X170" s="1">
        <v>6</v>
      </c>
      <c r="Y170" s="176" t="s">
        <v>1420</v>
      </c>
      <c r="Z170" s="86"/>
      <c r="AA170" s="86" t="s">
        <v>186</v>
      </c>
      <c r="AB170" s="86"/>
      <c r="AC170" s="177" t="s">
        <v>202</v>
      </c>
      <c r="AD170" s="115"/>
      <c r="AE170" s="115"/>
      <c r="AF170" s="124"/>
      <c r="AG170" s="122"/>
      <c r="AH170" s="178"/>
      <c r="AI170" s="178"/>
      <c r="AJ170" s="21" t="s">
        <v>203</v>
      </c>
      <c r="AK170" s="21" t="s">
        <v>190</v>
      </c>
      <c r="AL170" s="21" t="s">
        <v>190</v>
      </c>
      <c r="AM170" s="123" t="s">
        <v>1159</v>
      </c>
      <c r="AN170" s="22">
        <v>182</v>
      </c>
      <c r="AO170" s="22">
        <v>0</v>
      </c>
      <c r="AP170" s="22">
        <v>0</v>
      </c>
      <c r="AQ170" s="22">
        <v>0</v>
      </c>
      <c r="AR170" s="22">
        <v>0</v>
      </c>
      <c r="AS170" s="22">
        <v>7</v>
      </c>
      <c r="AT170" s="22">
        <v>10</v>
      </c>
      <c r="AU170" s="316">
        <f t="shared" si="23"/>
        <v>199</v>
      </c>
      <c r="AV170" s="22">
        <v>190</v>
      </c>
      <c r="AW170" s="22">
        <v>0</v>
      </c>
      <c r="AX170" s="22">
        <v>0</v>
      </c>
      <c r="AY170" s="22">
        <v>0</v>
      </c>
      <c r="AZ170" s="22">
        <v>0</v>
      </c>
      <c r="BA170" s="22">
        <v>7</v>
      </c>
      <c r="BB170" s="22">
        <v>10</v>
      </c>
      <c r="BC170" s="316">
        <f t="shared" si="24"/>
        <v>207</v>
      </c>
      <c r="BD170" s="58">
        <f t="shared" si="25"/>
        <v>8</v>
      </c>
      <c r="BE170" s="58">
        <f t="shared" si="26"/>
        <v>0</v>
      </c>
      <c r="BF170" s="58">
        <f t="shared" si="27"/>
        <v>0</v>
      </c>
      <c r="BG170" s="58">
        <f t="shared" si="28"/>
        <v>0</v>
      </c>
      <c r="BH170" s="58">
        <f t="shared" si="29"/>
        <v>0</v>
      </c>
      <c r="BI170" s="58">
        <f t="shared" si="30"/>
        <v>0</v>
      </c>
      <c r="BJ170" s="58">
        <f t="shared" si="31"/>
        <v>0</v>
      </c>
      <c r="BK170" s="58">
        <f t="shared" si="32"/>
        <v>8</v>
      </c>
    </row>
    <row r="171" spans="1:63" ht="27" customHeight="1">
      <c r="A171" s="13">
        <f t="shared" si="33"/>
        <v>169</v>
      </c>
      <c r="B171" s="14" t="s">
        <v>1421</v>
      </c>
      <c r="C171" s="10">
        <v>1531</v>
      </c>
      <c r="D171" s="76" t="s">
        <v>1422</v>
      </c>
      <c r="E171" s="85">
        <v>110582473</v>
      </c>
      <c r="F171" s="78" t="s">
        <v>1423</v>
      </c>
      <c r="G171" s="79" t="s">
        <v>1424</v>
      </c>
      <c r="H171" s="15" t="s">
        <v>1425</v>
      </c>
      <c r="I171" s="16" t="s">
        <v>1426</v>
      </c>
      <c r="J171" s="80" t="s">
        <v>178</v>
      </c>
      <c r="K171" s="24">
        <v>34586</v>
      </c>
      <c r="L171" s="82" t="s">
        <v>179</v>
      </c>
      <c r="M171" s="25">
        <v>42523</v>
      </c>
      <c r="N171" s="25"/>
      <c r="O171" s="17" t="s">
        <v>34</v>
      </c>
      <c r="P171" s="18" t="s">
        <v>604</v>
      </c>
      <c r="Q171" s="18" t="s">
        <v>181</v>
      </c>
      <c r="R171" s="17" t="s">
        <v>182</v>
      </c>
      <c r="S171" s="13" t="s">
        <v>228</v>
      </c>
      <c r="T171" s="175"/>
      <c r="U171" s="175"/>
      <c r="V171" s="21" t="s">
        <v>184</v>
      </c>
      <c r="W171" s="21" t="s">
        <v>184</v>
      </c>
      <c r="X171" s="1">
        <v>7</v>
      </c>
      <c r="Y171" s="176" t="s">
        <v>1427</v>
      </c>
      <c r="Z171" s="86"/>
      <c r="AA171" s="86" t="s">
        <v>186</v>
      </c>
      <c r="AB171" s="86"/>
      <c r="AC171" s="177" t="s">
        <v>1428</v>
      </c>
      <c r="AD171" s="115"/>
      <c r="AE171" s="115"/>
      <c r="AF171" s="124"/>
      <c r="AG171" s="122"/>
      <c r="AH171" s="178"/>
      <c r="AI171" s="178"/>
      <c r="AJ171" s="21" t="s">
        <v>203</v>
      </c>
      <c r="AK171" s="21" t="s">
        <v>190</v>
      </c>
      <c r="AL171" s="21" t="s">
        <v>190</v>
      </c>
      <c r="AM171" s="123" t="s">
        <v>1429</v>
      </c>
      <c r="AN171" s="22">
        <v>182</v>
      </c>
      <c r="AO171" s="22">
        <v>4</v>
      </c>
      <c r="AP171" s="22">
        <v>0</v>
      </c>
      <c r="AQ171" s="22">
        <v>0</v>
      </c>
      <c r="AR171" s="22">
        <v>0</v>
      </c>
      <c r="AS171" s="22">
        <v>7</v>
      </c>
      <c r="AT171" s="22">
        <v>10</v>
      </c>
      <c r="AU171" s="316">
        <f t="shared" si="23"/>
        <v>203</v>
      </c>
      <c r="AV171" s="22">
        <v>190</v>
      </c>
      <c r="AW171" s="22">
        <v>4</v>
      </c>
      <c r="AX171" s="22">
        <v>0</v>
      </c>
      <c r="AY171" s="22">
        <v>0</v>
      </c>
      <c r="AZ171" s="22">
        <v>0</v>
      </c>
      <c r="BA171" s="22">
        <v>7</v>
      </c>
      <c r="BB171" s="22">
        <v>10</v>
      </c>
      <c r="BC171" s="316">
        <f t="shared" si="24"/>
        <v>211</v>
      </c>
      <c r="BD171" s="58">
        <f t="shared" si="25"/>
        <v>8</v>
      </c>
      <c r="BE171" s="58">
        <f t="shared" si="26"/>
        <v>0</v>
      </c>
      <c r="BF171" s="58">
        <f t="shared" si="27"/>
        <v>0</v>
      </c>
      <c r="BG171" s="58">
        <f t="shared" si="28"/>
        <v>0</v>
      </c>
      <c r="BH171" s="58">
        <f t="shared" si="29"/>
        <v>0</v>
      </c>
      <c r="BI171" s="58">
        <f t="shared" si="30"/>
        <v>0</v>
      </c>
      <c r="BJ171" s="58">
        <f t="shared" si="31"/>
        <v>0</v>
      </c>
      <c r="BK171" s="58">
        <f t="shared" si="32"/>
        <v>8</v>
      </c>
    </row>
    <row r="172" spans="1:63" ht="27" customHeight="1">
      <c r="A172" s="13">
        <f t="shared" si="33"/>
        <v>170</v>
      </c>
      <c r="B172" s="14" t="s">
        <v>1430</v>
      </c>
      <c r="C172" s="10">
        <v>1540</v>
      </c>
      <c r="D172" s="76" t="s">
        <v>1431</v>
      </c>
      <c r="E172" s="85" t="s">
        <v>1319</v>
      </c>
      <c r="F172" s="78" t="s">
        <v>481</v>
      </c>
      <c r="G172" s="79" t="s">
        <v>1432</v>
      </c>
      <c r="H172" s="15" t="s">
        <v>483</v>
      </c>
      <c r="I172" s="16" t="s">
        <v>1433</v>
      </c>
      <c r="J172" s="80" t="s">
        <v>178</v>
      </c>
      <c r="K172" s="24">
        <v>34552</v>
      </c>
      <c r="L172" s="82" t="s">
        <v>179</v>
      </c>
      <c r="M172" s="25">
        <v>42528</v>
      </c>
      <c r="N172" s="25"/>
      <c r="O172" s="17" t="s">
        <v>34</v>
      </c>
      <c r="P172" s="18" t="s">
        <v>1281</v>
      </c>
      <c r="Q172" s="18" t="s">
        <v>181</v>
      </c>
      <c r="R172" s="17" t="s">
        <v>182</v>
      </c>
      <c r="S172" s="19" t="s">
        <v>211</v>
      </c>
      <c r="T172" s="175"/>
      <c r="U172" s="175"/>
      <c r="V172" s="21" t="s">
        <v>200</v>
      </c>
      <c r="W172" s="21" t="s">
        <v>200</v>
      </c>
      <c r="X172" s="1">
        <v>4</v>
      </c>
      <c r="Y172" s="176">
        <v>962031192</v>
      </c>
      <c r="Z172" s="86" t="s">
        <v>186</v>
      </c>
      <c r="AA172" s="86"/>
      <c r="AB172" s="1"/>
      <c r="AC172" s="177"/>
      <c r="AD172" s="115"/>
      <c r="AE172" s="115"/>
      <c r="AF172" s="124"/>
      <c r="AG172" s="122"/>
      <c r="AH172" s="178"/>
      <c r="AI172" s="178"/>
      <c r="AJ172" s="21" t="s">
        <v>203</v>
      </c>
      <c r="AK172" s="21" t="s">
        <v>190</v>
      </c>
      <c r="AL172" s="21" t="s">
        <v>190</v>
      </c>
      <c r="AM172" s="123" t="s">
        <v>1434</v>
      </c>
      <c r="AN172" s="22">
        <v>182</v>
      </c>
      <c r="AO172" s="22">
        <v>4</v>
      </c>
      <c r="AP172" s="22">
        <v>20</v>
      </c>
      <c r="AQ172" s="22">
        <v>0</v>
      </c>
      <c r="AR172" s="22">
        <v>0</v>
      </c>
      <c r="AS172" s="22">
        <v>7</v>
      </c>
      <c r="AT172" s="22">
        <v>10</v>
      </c>
      <c r="AU172" s="316">
        <f t="shared" si="23"/>
        <v>223</v>
      </c>
      <c r="AV172" s="22">
        <v>190</v>
      </c>
      <c r="AW172" s="22">
        <v>4</v>
      </c>
      <c r="AX172" s="22">
        <v>20</v>
      </c>
      <c r="AY172" s="22">
        <v>0</v>
      </c>
      <c r="AZ172" s="22">
        <v>0</v>
      </c>
      <c r="BA172" s="22">
        <v>7</v>
      </c>
      <c r="BB172" s="22">
        <v>10</v>
      </c>
      <c r="BC172" s="316">
        <f t="shared" si="24"/>
        <v>231</v>
      </c>
      <c r="BD172" s="58">
        <f t="shared" si="25"/>
        <v>8</v>
      </c>
      <c r="BE172" s="58">
        <f t="shared" si="26"/>
        <v>0</v>
      </c>
      <c r="BF172" s="58">
        <f t="shared" si="27"/>
        <v>0</v>
      </c>
      <c r="BG172" s="58">
        <f t="shared" si="28"/>
        <v>0</v>
      </c>
      <c r="BH172" s="58">
        <f t="shared" si="29"/>
        <v>0</v>
      </c>
      <c r="BI172" s="58">
        <f t="shared" si="30"/>
        <v>0</v>
      </c>
      <c r="BJ172" s="58">
        <f t="shared" si="31"/>
        <v>0</v>
      </c>
      <c r="BK172" s="58">
        <f t="shared" si="32"/>
        <v>8</v>
      </c>
    </row>
    <row r="173" spans="1:63" ht="27" customHeight="1">
      <c r="A173" s="13">
        <f t="shared" si="33"/>
        <v>171</v>
      </c>
      <c r="B173" s="14" t="s">
        <v>1435</v>
      </c>
      <c r="C173" s="10">
        <v>1553</v>
      </c>
      <c r="D173" s="76" t="s">
        <v>1436</v>
      </c>
      <c r="E173" s="85">
        <v>30263997</v>
      </c>
      <c r="F173" s="78" t="s">
        <v>1437</v>
      </c>
      <c r="G173" s="79" t="s">
        <v>1438</v>
      </c>
      <c r="H173" s="15" t="s">
        <v>1439</v>
      </c>
      <c r="I173" s="16" t="s">
        <v>1440</v>
      </c>
      <c r="J173" s="80" t="s">
        <v>178</v>
      </c>
      <c r="K173" s="24">
        <v>31240</v>
      </c>
      <c r="L173" s="82" t="s">
        <v>179</v>
      </c>
      <c r="M173" s="25">
        <v>42537</v>
      </c>
      <c r="N173" s="25"/>
      <c r="O173" s="17" t="s">
        <v>34</v>
      </c>
      <c r="P173" s="18" t="s">
        <v>1281</v>
      </c>
      <c r="Q173" s="18" t="s">
        <v>181</v>
      </c>
      <c r="R173" s="17" t="s">
        <v>182</v>
      </c>
      <c r="S173" s="13" t="s">
        <v>310</v>
      </c>
      <c r="T173" s="175"/>
      <c r="U173" s="175"/>
      <c r="V173" s="21" t="s">
        <v>184</v>
      </c>
      <c r="W173" s="21" t="s">
        <v>184</v>
      </c>
      <c r="X173" s="1">
        <v>6</v>
      </c>
      <c r="Y173" s="176" t="s">
        <v>1441</v>
      </c>
      <c r="Z173" s="86" t="s">
        <v>186</v>
      </c>
      <c r="AA173" s="86"/>
      <c r="AB173" s="1"/>
      <c r="AC173" s="177"/>
      <c r="AD173" s="115"/>
      <c r="AE173" s="115"/>
      <c r="AF173" s="124"/>
      <c r="AG173" s="122"/>
      <c r="AH173" s="178"/>
      <c r="AI173" s="178"/>
      <c r="AJ173" s="21" t="s">
        <v>203</v>
      </c>
      <c r="AK173" s="21" t="s">
        <v>190</v>
      </c>
      <c r="AL173" s="21" t="s">
        <v>190</v>
      </c>
      <c r="AM173" s="123" t="s">
        <v>1199</v>
      </c>
      <c r="AN173" s="22">
        <v>182</v>
      </c>
      <c r="AO173" s="22">
        <v>4</v>
      </c>
      <c r="AP173" s="22">
        <v>20</v>
      </c>
      <c r="AQ173" s="22">
        <v>0</v>
      </c>
      <c r="AR173" s="22">
        <v>0</v>
      </c>
      <c r="AS173" s="22">
        <v>7</v>
      </c>
      <c r="AT173" s="22">
        <v>10</v>
      </c>
      <c r="AU173" s="316">
        <f t="shared" si="23"/>
        <v>223</v>
      </c>
      <c r="AV173" s="22">
        <v>190</v>
      </c>
      <c r="AW173" s="22">
        <v>4</v>
      </c>
      <c r="AX173" s="22">
        <v>20</v>
      </c>
      <c r="AY173" s="22">
        <v>0</v>
      </c>
      <c r="AZ173" s="22">
        <v>0</v>
      </c>
      <c r="BA173" s="22">
        <v>7</v>
      </c>
      <c r="BB173" s="22">
        <v>10</v>
      </c>
      <c r="BC173" s="316">
        <f t="shared" si="24"/>
        <v>231</v>
      </c>
      <c r="BD173" s="58">
        <f t="shared" si="25"/>
        <v>8</v>
      </c>
      <c r="BE173" s="58">
        <f t="shared" si="26"/>
        <v>0</v>
      </c>
      <c r="BF173" s="58">
        <f t="shared" si="27"/>
        <v>0</v>
      </c>
      <c r="BG173" s="58">
        <f t="shared" si="28"/>
        <v>0</v>
      </c>
      <c r="BH173" s="58">
        <f t="shared" si="29"/>
        <v>0</v>
      </c>
      <c r="BI173" s="58">
        <f t="shared" si="30"/>
        <v>0</v>
      </c>
      <c r="BJ173" s="58">
        <f t="shared" si="31"/>
        <v>0</v>
      </c>
      <c r="BK173" s="58">
        <f t="shared" si="32"/>
        <v>8</v>
      </c>
    </row>
    <row r="174" spans="1:63" ht="27" customHeight="1">
      <c r="A174" s="13">
        <f t="shared" si="33"/>
        <v>172</v>
      </c>
      <c r="B174" s="14" t="s">
        <v>1442</v>
      </c>
      <c r="C174" s="10">
        <v>1559</v>
      </c>
      <c r="D174" s="76" t="s">
        <v>1443</v>
      </c>
      <c r="E174" s="85">
        <v>110322618</v>
      </c>
      <c r="F174" s="78" t="s">
        <v>1444</v>
      </c>
      <c r="G174" s="79" t="s">
        <v>1445</v>
      </c>
      <c r="H174" s="15" t="s">
        <v>1446</v>
      </c>
      <c r="I174" s="16" t="s">
        <v>1447</v>
      </c>
      <c r="J174" s="80" t="s">
        <v>178</v>
      </c>
      <c r="K174" s="24">
        <v>31459</v>
      </c>
      <c r="L174" s="82" t="s">
        <v>179</v>
      </c>
      <c r="M174" s="25">
        <v>42545</v>
      </c>
      <c r="N174" s="25"/>
      <c r="O174" s="17" t="s">
        <v>34</v>
      </c>
      <c r="P174" s="18" t="s">
        <v>604</v>
      </c>
      <c r="Q174" s="18" t="s">
        <v>181</v>
      </c>
      <c r="R174" s="17" t="s">
        <v>182</v>
      </c>
      <c r="S174" s="13" t="s">
        <v>228</v>
      </c>
      <c r="T174" s="175"/>
      <c r="U174" s="175"/>
      <c r="V174" s="21" t="s">
        <v>184</v>
      </c>
      <c r="W174" s="21" t="s">
        <v>184</v>
      </c>
      <c r="X174" s="1">
        <v>3</v>
      </c>
      <c r="Y174" s="77" t="s">
        <v>184</v>
      </c>
      <c r="Z174" s="86"/>
      <c r="AA174" s="86" t="s">
        <v>186</v>
      </c>
      <c r="AB174" s="1"/>
      <c r="AC174" s="177" t="s">
        <v>202</v>
      </c>
      <c r="AD174" s="115"/>
      <c r="AE174" s="115"/>
      <c r="AF174" s="124"/>
      <c r="AG174" s="122"/>
      <c r="AH174" s="178"/>
      <c r="AI174" s="178"/>
      <c r="AJ174" s="21" t="s">
        <v>203</v>
      </c>
      <c r="AK174" s="21" t="s">
        <v>190</v>
      </c>
      <c r="AL174" s="21" t="s">
        <v>190</v>
      </c>
      <c r="AM174" s="123" t="s">
        <v>1448</v>
      </c>
      <c r="AN174" s="22">
        <v>182</v>
      </c>
      <c r="AO174" s="22">
        <v>4</v>
      </c>
      <c r="AP174" s="22">
        <v>0</v>
      </c>
      <c r="AQ174" s="22">
        <v>0</v>
      </c>
      <c r="AR174" s="22">
        <v>0</v>
      </c>
      <c r="AS174" s="22">
        <v>7</v>
      </c>
      <c r="AT174" s="22">
        <v>10</v>
      </c>
      <c r="AU174" s="316">
        <f t="shared" si="23"/>
        <v>203</v>
      </c>
      <c r="AV174" s="22">
        <v>190</v>
      </c>
      <c r="AW174" s="22">
        <v>4</v>
      </c>
      <c r="AX174" s="22">
        <v>0</v>
      </c>
      <c r="AY174" s="22">
        <v>0</v>
      </c>
      <c r="AZ174" s="22">
        <v>0</v>
      </c>
      <c r="BA174" s="22">
        <v>7</v>
      </c>
      <c r="BB174" s="22">
        <v>10</v>
      </c>
      <c r="BC174" s="316">
        <f t="shared" si="24"/>
        <v>211</v>
      </c>
      <c r="BD174" s="58">
        <f t="shared" si="25"/>
        <v>8</v>
      </c>
      <c r="BE174" s="58">
        <f t="shared" si="26"/>
        <v>0</v>
      </c>
      <c r="BF174" s="58">
        <f t="shared" si="27"/>
        <v>0</v>
      </c>
      <c r="BG174" s="58">
        <f t="shared" si="28"/>
        <v>0</v>
      </c>
      <c r="BH174" s="58">
        <f t="shared" si="29"/>
        <v>0</v>
      </c>
      <c r="BI174" s="58">
        <f t="shared" si="30"/>
        <v>0</v>
      </c>
      <c r="BJ174" s="58">
        <f t="shared" si="31"/>
        <v>0</v>
      </c>
      <c r="BK174" s="58">
        <f t="shared" si="32"/>
        <v>8</v>
      </c>
    </row>
    <row r="175" spans="1:63" ht="27" customHeight="1">
      <c r="A175" s="13">
        <f t="shared" si="33"/>
        <v>173</v>
      </c>
      <c r="B175" s="14" t="s">
        <v>1449</v>
      </c>
      <c r="C175" s="10">
        <v>1569</v>
      </c>
      <c r="D175" s="76" t="s">
        <v>1450</v>
      </c>
      <c r="E175" s="85">
        <v>130187563</v>
      </c>
      <c r="F175" s="78" t="s">
        <v>1451</v>
      </c>
      <c r="G175" s="79" t="s">
        <v>1452</v>
      </c>
      <c r="H175" s="15" t="s">
        <v>1453</v>
      </c>
      <c r="I175" s="16" t="s">
        <v>1454</v>
      </c>
      <c r="J175" s="80" t="s">
        <v>178</v>
      </c>
      <c r="K175" s="24">
        <v>31659</v>
      </c>
      <c r="L175" s="82" t="s">
        <v>179</v>
      </c>
      <c r="M175" s="25">
        <v>42565</v>
      </c>
      <c r="N175" s="25"/>
      <c r="O175" s="17" t="s">
        <v>34</v>
      </c>
      <c r="P175" s="18" t="s">
        <v>1281</v>
      </c>
      <c r="Q175" s="18" t="s">
        <v>181</v>
      </c>
      <c r="R175" s="17" t="s">
        <v>182</v>
      </c>
      <c r="S175" s="19" t="s">
        <v>256</v>
      </c>
      <c r="T175" s="175"/>
      <c r="U175" s="175"/>
      <c r="V175" s="21" t="s">
        <v>200</v>
      </c>
      <c r="W175" s="21">
        <v>1449</v>
      </c>
      <c r="X175" s="1">
        <v>7</v>
      </c>
      <c r="Y175" s="176" t="s">
        <v>1455</v>
      </c>
      <c r="Z175" s="86"/>
      <c r="AA175" s="86" t="s">
        <v>186</v>
      </c>
      <c r="AB175" s="1"/>
      <c r="AC175" s="177" t="s">
        <v>1456</v>
      </c>
      <c r="AD175" s="115" t="s">
        <v>189</v>
      </c>
      <c r="AE175" s="115" t="s">
        <v>189</v>
      </c>
      <c r="AF175" s="124"/>
      <c r="AG175" s="122"/>
      <c r="AH175" s="178"/>
      <c r="AI175" s="178"/>
      <c r="AJ175" s="21" t="s">
        <v>203</v>
      </c>
      <c r="AK175" s="21" t="s">
        <v>190</v>
      </c>
      <c r="AL175" s="21" t="s">
        <v>190</v>
      </c>
      <c r="AM175" s="123" t="s">
        <v>1336</v>
      </c>
      <c r="AN175" s="22">
        <v>182</v>
      </c>
      <c r="AO175" s="22">
        <v>4</v>
      </c>
      <c r="AP175" s="22">
        <v>20</v>
      </c>
      <c r="AQ175" s="22">
        <v>20</v>
      </c>
      <c r="AR175" s="22">
        <v>0</v>
      </c>
      <c r="AS175" s="22">
        <v>7</v>
      </c>
      <c r="AT175" s="22">
        <v>10</v>
      </c>
      <c r="AU175" s="316">
        <f t="shared" si="23"/>
        <v>243</v>
      </c>
      <c r="AV175" s="22">
        <v>190</v>
      </c>
      <c r="AW175" s="22">
        <v>4</v>
      </c>
      <c r="AX175" s="22">
        <v>20</v>
      </c>
      <c r="AY175" s="22">
        <v>20</v>
      </c>
      <c r="AZ175" s="22">
        <v>0</v>
      </c>
      <c r="BA175" s="22">
        <v>7</v>
      </c>
      <c r="BB175" s="22">
        <v>10</v>
      </c>
      <c r="BC175" s="316">
        <f t="shared" si="24"/>
        <v>251</v>
      </c>
      <c r="BD175" s="58">
        <f t="shared" si="25"/>
        <v>8</v>
      </c>
      <c r="BE175" s="58">
        <f t="shared" si="26"/>
        <v>0</v>
      </c>
      <c r="BF175" s="58">
        <f t="shared" si="27"/>
        <v>0</v>
      </c>
      <c r="BG175" s="58">
        <f t="shared" si="28"/>
        <v>0</v>
      </c>
      <c r="BH175" s="58">
        <f t="shared" si="29"/>
        <v>0</v>
      </c>
      <c r="BI175" s="58">
        <f t="shared" si="30"/>
        <v>0</v>
      </c>
      <c r="BJ175" s="58">
        <f t="shared" si="31"/>
        <v>0</v>
      </c>
      <c r="BK175" s="58">
        <f t="shared" si="32"/>
        <v>8</v>
      </c>
    </row>
    <row r="176" spans="1:63" ht="27" customHeight="1">
      <c r="A176" s="13">
        <f t="shared" si="33"/>
        <v>174</v>
      </c>
      <c r="B176" s="14" t="s">
        <v>1457</v>
      </c>
      <c r="C176" s="10">
        <v>1574</v>
      </c>
      <c r="D176" s="76" t="s">
        <v>1458</v>
      </c>
      <c r="E176" s="85">
        <v>110347580</v>
      </c>
      <c r="F176" s="78" t="s">
        <v>1459</v>
      </c>
      <c r="G176" s="79" t="s">
        <v>1460</v>
      </c>
      <c r="H176" s="15" t="s">
        <v>1461</v>
      </c>
      <c r="I176" s="16" t="s">
        <v>1462</v>
      </c>
      <c r="J176" s="80" t="s">
        <v>178</v>
      </c>
      <c r="K176" s="24">
        <v>33125</v>
      </c>
      <c r="L176" s="82" t="s">
        <v>179</v>
      </c>
      <c r="M176" s="25">
        <v>42572</v>
      </c>
      <c r="N176" s="25"/>
      <c r="O176" s="17" t="s">
        <v>34</v>
      </c>
      <c r="P176" s="18" t="s">
        <v>292</v>
      </c>
      <c r="Q176" s="18" t="s">
        <v>181</v>
      </c>
      <c r="R176" s="17" t="s">
        <v>182</v>
      </c>
      <c r="S176" s="13" t="s">
        <v>228</v>
      </c>
      <c r="T176" s="175"/>
      <c r="U176" s="175"/>
      <c r="V176" s="21" t="s">
        <v>184</v>
      </c>
      <c r="W176" s="21" t="s">
        <v>184</v>
      </c>
      <c r="X176" s="1">
        <v>6</v>
      </c>
      <c r="Y176" s="176" t="s">
        <v>1463</v>
      </c>
      <c r="Z176" s="86"/>
      <c r="AA176" s="86" t="s">
        <v>186</v>
      </c>
      <c r="AB176" s="1"/>
      <c r="AC176" s="177" t="s">
        <v>1464</v>
      </c>
      <c r="AD176" s="115"/>
      <c r="AE176" s="115"/>
      <c r="AF176" s="124"/>
      <c r="AG176" s="122"/>
      <c r="AH176" s="178"/>
      <c r="AI176" s="178"/>
      <c r="AJ176" s="21" t="s">
        <v>203</v>
      </c>
      <c r="AK176" s="21" t="s">
        <v>190</v>
      </c>
      <c r="AL176" s="21" t="s">
        <v>190</v>
      </c>
      <c r="AM176" s="123" t="s">
        <v>1465</v>
      </c>
      <c r="AN176" s="22">
        <v>182</v>
      </c>
      <c r="AO176" s="22">
        <v>4</v>
      </c>
      <c r="AP176" s="22">
        <v>20</v>
      </c>
      <c r="AQ176" s="22">
        <v>0</v>
      </c>
      <c r="AR176" s="22">
        <v>0</v>
      </c>
      <c r="AS176" s="22">
        <v>7</v>
      </c>
      <c r="AT176" s="22">
        <v>10</v>
      </c>
      <c r="AU176" s="316">
        <f t="shared" si="23"/>
        <v>223</v>
      </c>
      <c r="AV176" s="22">
        <v>190</v>
      </c>
      <c r="AW176" s="22">
        <v>4</v>
      </c>
      <c r="AX176" s="22">
        <v>20</v>
      </c>
      <c r="AY176" s="22">
        <v>0</v>
      </c>
      <c r="AZ176" s="22">
        <v>0</v>
      </c>
      <c r="BA176" s="22">
        <v>7</v>
      </c>
      <c r="BB176" s="22">
        <v>10</v>
      </c>
      <c r="BC176" s="316">
        <f t="shared" si="24"/>
        <v>231</v>
      </c>
      <c r="BD176" s="58">
        <f t="shared" si="25"/>
        <v>8</v>
      </c>
      <c r="BE176" s="58">
        <f t="shared" si="26"/>
        <v>0</v>
      </c>
      <c r="BF176" s="58">
        <f t="shared" si="27"/>
        <v>0</v>
      </c>
      <c r="BG176" s="58">
        <f t="shared" si="28"/>
        <v>0</v>
      </c>
      <c r="BH176" s="58">
        <f t="shared" si="29"/>
        <v>0</v>
      </c>
      <c r="BI176" s="58">
        <f t="shared" si="30"/>
        <v>0</v>
      </c>
      <c r="BJ176" s="58">
        <f t="shared" si="31"/>
        <v>0</v>
      </c>
      <c r="BK176" s="58">
        <f t="shared" si="32"/>
        <v>8</v>
      </c>
    </row>
    <row r="177" spans="1:63" ht="27" customHeight="1">
      <c r="A177" s="13">
        <f t="shared" si="33"/>
        <v>175</v>
      </c>
      <c r="B177" s="14" t="s">
        <v>1466</v>
      </c>
      <c r="C177" s="10">
        <v>1591</v>
      </c>
      <c r="D177" s="76" t="s">
        <v>1467</v>
      </c>
      <c r="E177" s="85">
        <v>60826831</v>
      </c>
      <c r="F177" s="78" t="s">
        <v>1468</v>
      </c>
      <c r="G177" s="79" t="s">
        <v>1254</v>
      </c>
      <c r="H177" s="15" t="s">
        <v>1469</v>
      </c>
      <c r="I177" s="16" t="s">
        <v>1256</v>
      </c>
      <c r="J177" s="80" t="s">
        <v>178</v>
      </c>
      <c r="K177" s="24">
        <v>31946</v>
      </c>
      <c r="L177" s="82" t="s">
        <v>179</v>
      </c>
      <c r="M177" s="25">
        <v>42592</v>
      </c>
      <c r="N177" s="25"/>
      <c r="O177" s="17" t="s">
        <v>34</v>
      </c>
      <c r="P177" s="18" t="s">
        <v>339</v>
      </c>
      <c r="Q177" s="18" t="s">
        <v>181</v>
      </c>
      <c r="R177" s="17" t="s">
        <v>182</v>
      </c>
      <c r="S177" s="19" t="s">
        <v>183</v>
      </c>
      <c r="T177" s="175"/>
      <c r="U177" s="175"/>
      <c r="V177" s="21" t="s">
        <v>200</v>
      </c>
      <c r="W177" s="21" t="s">
        <v>184</v>
      </c>
      <c r="X177" s="1">
        <v>8</v>
      </c>
      <c r="Y177" s="176" t="s">
        <v>184</v>
      </c>
      <c r="Z177" s="86"/>
      <c r="AA177" s="86" t="s">
        <v>186</v>
      </c>
      <c r="AB177" s="1"/>
      <c r="AC177" s="177" t="s">
        <v>387</v>
      </c>
      <c r="AD177" s="115" t="s">
        <v>189</v>
      </c>
      <c r="AE177" s="115" t="s">
        <v>189</v>
      </c>
      <c r="AF177" s="115" t="s">
        <v>189</v>
      </c>
      <c r="AG177" s="115" t="s">
        <v>189</v>
      </c>
      <c r="AH177" s="178"/>
      <c r="AI177" s="178"/>
      <c r="AJ177" s="21" t="s">
        <v>203</v>
      </c>
      <c r="AK177" s="21" t="s">
        <v>190</v>
      </c>
      <c r="AL177" s="21" t="s">
        <v>190</v>
      </c>
      <c r="AM177" s="123" t="s">
        <v>1301</v>
      </c>
      <c r="AN177" s="22">
        <v>182</v>
      </c>
      <c r="AO177" s="22">
        <v>4</v>
      </c>
      <c r="AP177" s="22">
        <v>0</v>
      </c>
      <c r="AQ177" s="22">
        <v>0</v>
      </c>
      <c r="AR177" s="22">
        <v>0</v>
      </c>
      <c r="AS177" s="22">
        <v>7</v>
      </c>
      <c r="AT177" s="22">
        <v>10</v>
      </c>
      <c r="AU177" s="316">
        <f t="shared" si="23"/>
        <v>203</v>
      </c>
      <c r="AV177" s="22">
        <v>190</v>
      </c>
      <c r="AW177" s="22">
        <v>4</v>
      </c>
      <c r="AX177" s="22">
        <v>0</v>
      </c>
      <c r="AY177" s="22">
        <v>0</v>
      </c>
      <c r="AZ177" s="22">
        <v>0</v>
      </c>
      <c r="BA177" s="22">
        <v>7</v>
      </c>
      <c r="BB177" s="22">
        <v>10</v>
      </c>
      <c r="BC177" s="316">
        <f t="shared" si="24"/>
        <v>211</v>
      </c>
      <c r="BD177" s="58">
        <f t="shared" si="25"/>
        <v>8</v>
      </c>
      <c r="BE177" s="58">
        <f t="shared" si="26"/>
        <v>0</v>
      </c>
      <c r="BF177" s="58">
        <f t="shared" si="27"/>
        <v>0</v>
      </c>
      <c r="BG177" s="58">
        <f t="shared" si="28"/>
        <v>0</v>
      </c>
      <c r="BH177" s="58">
        <f t="shared" si="29"/>
        <v>0</v>
      </c>
      <c r="BI177" s="58">
        <f t="shared" si="30"/>
        <v>0</v>
      </c>
      <c r="BJ177" s="58">
        <f t="shared" si="31"/>
        <v>0</v>
      </c>
      <c r="BK177" s="58">
        <f t="shared" si="32"/>
        <v>8</v>
      </c>
    </row>
    <row r="178" spans="1:63" ht="27" customHeight="1">
      <c r="A178" s="13">
        <f t="shared" si="33"/>
        <v>176</v>
      </c>
      <c r="B178" s="14" t="s">
        <v>1470</v>
      </c>
      <c r="C178" s="10">
        <v>1593</v>
      </c>
      <c r="D178" s="76" t="s">
        <v>1471</v>
      </c>
      <c r="E178" s="85">
        <v>180344209</v>
      </c>
      <c r="F178" s="78" t="s">
        <v>261</v>
      </c>
      <c r="G178" s="79" t="s">
        <v>1472</v>
      </c>
      <c r="H178" s="15" t="s">
        <v>18</v>
      </c>
      <c r="I178" s="16" t="s">
        <v>19</v>
      </c>
      <c r="J178" s="80" t="s">
        <v>178</v>
      </c>
      <c r="K178" s="24">
        <v>28495</v>
      </c>
      <c r="L178" s="82" t="s">
        <v>179</v>
      </c>
      <c r="M178" s="25">
        <v>42597</v>
      </c>
      <c r="N178" s="25"/>
      <c r="O178" s="17" t="s">
        <v>14</v>
      </c>
      <c r="P178" s="18" t="s">
        <v>15</v>
      </c>
      <c r="Q178" s="18" t="s">
        <v>181</v>
      </c>
      <c r="R178" s="17" t="s">
        <v>182</v>
      </c>
      <c r="S178" s="13" t="s">
        <v>228</v>
      </c>
      <c r="T178" s="175"/>
      <c r="U178" s="175"/>
      <c r="V178" s="21" t="s">
        <v>184</v>
      </c>
      <c r="W178" s="21" t="s">
        <v>184</v>
      </c>
      <c r="X178" s="1">
        <v>3</v>
      </c>
      <c r="Y178" s="176" t="s">
        <v>184</v>
      </c>
      <c r="Z178" s="86"/>
      <c r="AA178" s="86" t="s">
        <v>186</v>
      </c>
      <c r="AB178" s="1"/>
      <c r="AC178" s="177" t="s">
        <v>356</v>
      </c>
      <c r="AD178" s="115"/>
      <c r="AE178" s="115"/>
      <c r="AF178" s="124"/>
      <c r="AG178" s="122"/>
      <c r="AH178" s="178"/>
      <c r="AI178" s="178"/>
      <c r="AJ178" s="21" t="s">
        <v>203</v>
      </c>
      <c r="AK178" s="21" t="s">
        <v>190</v>
      </c>
      <c r="AL178" s="21" t="s">
        <v>190</v>
      </c>
      <c r="AM178" s="123" t="s">
        <v>1473</v>
      </c>
      <c r="AN178" s="22">
        <v>182</v>
      </c>
      <c r="AO178" s="22">
        <v>4</v>
      </c>
      <c r="AP178" s="22">
        <v>0</v>
      </c>
      <c r="AQ178" s="22">
        <v>0</v>
      </c>
      <c r="AR178" s="22">
        <v>0</v>
      </c>
      <c r="AS178" s="22">
        <v>7</v>
      </c>
      <c r="AT178" s="22">
        <v>10</v>
      </c>
      <c r="AU178" s="316">
        <f t="shared" si="23"/>
        <v>203</v>
      </c>
      <c r="AV178" s="22">
        <v>190</v>
      </c>
      <c r="AW178" s="22">
        <v>4</v>
      </c>
      <c r="AX178" s="22">
        <v>0</v>
      </c>
      <c r="AY178" s="22">
        <v>0</v>
      </c>
      <c r="AZ178" s="22">
        <v>0</v>
      </c>
      <c r="BA178" s="22">
        <v>7</v>
      </c>
      <c r="BB178" s="22">
        <v>10</v>
      </c>
      <c r="BC178" s="316">
        <f t="shared" si="24"/>
        <v>211</v>
      </c>
      <c r="BD178" s="58">
        <f t="shared" si="25"/>
        <v>8</v>
      </c>
      <c r="BE178" s="58">
        <f t="shared" si="26"/>
        <v>0</v>
      </c>
      <c r="BF178" s="58">
        <f t="shared" si="27"/>
        <v>0</v>
      </c>
      <c r="BG178" s="58">
        <f t="shared" si="28"/>
        <v>0</v>
      </c>
      <c r="BH178" s="58">
        <f t="shared" si="29"/>
        <v>0</v>
      </c>
      <c r="BI178" s="58">
        <f t="shared" si="30"/>
        <v>0</v>
      </c>
      <c r="BJ178" s="58">
        <f t="shared" si="31"/>
        <v>0</v>
      </c>
      <c r="BK178" s="58">
        <f t="shared" si="32"/>
        <v>8</v>
      </c>
    </row>
    <row r="179" spans="1:63" ht="27" customHeight="1">
      <c r="A179" s="13">
        <f t="shared" si="33"/>
        <v>177</v>
      </c>
      <c r="B179" s="14" t="s">
        <v>1474</v>
      </c>
      <c r="C179" s="10">
        <v>1599</v>
      </c>
      <c r="D179" s="76" t="s">
        <v>1475</v>
      </c>
      <c r="E179" s="85">
        <v>110325361</v>
      </c>
      <c r="F179" s="78" t="s">
        <v>1476</v>
      </c>
      <c r="G179" s="79" t="s">
        <v>1477</v>
      </c>
      <c r="H179" s="15" t="s">
        <v>1478</v>
      </c>
      <c r="I179" s="16" t="s">
        <v>1479</v>
      </c>
      <c r="J179" s="80" t="s">
        <v>178</v>
      </c>
      <c r="K179" s="24">
        <v>32607</v>
      </c>
      <c r="L179" s="82" t="s">
        <v>179</v>
      </c>
      <c r="M179" s="25">
        <v>42601</v>
      </c>
      <c r="N179" s="25"/>
      <c r="O179" s="17" t="s">
        <v>291</v>
      </c>
      <c r="P179" s="18" t="s">
        <v>282</v>
      </c>
      <c r="Q179" s="18" t="s">
        <v>249</v>
      </c>
      <c r="R179" s="17" t="s">
        <v>182</v>
      </c>
      <c r="S179" s="13" t="s">
        <v>228</v>
      </c>
      <c r="T179" s="175"/>
      <c r="U179" s="175"/>
      <c r="V179" s="21" t="s">
        <v>184</v>
      </c>
      <c r="W179" s="21" t="s">
        <v>184</v>
      </c>
      <c r="X179" s="1">
        <v>8</v>
      </c>
      <c r="Y179" s="176" t="s">
        <v>1480</v>
      </c>
      <c r="Z179" s="86"/>
      <c r="AA179" s="86" t="s">
        <v>186</v>
      </c>
      <c r="AB179" s="1"/>
      <c r="AC179" s="177" t="s">
        <v>187</v>
      </c>
      <c r="AD179" s="115"/>
      <c r="AE179" s="115"/>
      <c r="AF179" s="124"/>
      <c r="AG179" s="122"/>
      <c r="AH179" s="178"/>
      <c r="AI179" s="178"/>
      <c r="AJ179" s="21" t="s">
        <v>203</v>
      </c>
      <c r="AK179" s="21" t="s">
        <v>190</v>
      </c>
      <c r="AL179" s="21" t="s">
        <v>190</v>
      </c>
      <c r="AM179" s="123" t="s">
        <v>1336</v>
      </c>
      <c r="AN179" s="22">
        <v>182</v>
      </c>
      <c r="AO179" s="22">
        <v>4</v>
      </c>
      <c r="AP179" s="22">
        <v>20</v>
      </c>
      <c r="AQ179" s="22">
        <v>0</v>
      </c>
      <c r="AR179" s="22">
        <v>0</v>
      </c>
      <c r="AS179" s="22">
        <v>7</v>
      </c>
      <c r="AT179" s="22">
        <v>10</v>
      </c>
      <c r="AU179" s="316">
        <f t="shared" si="23"/>
        <v>223</v>
      </c>
      <c r="AV179" s="22">
        <v>190</v>
      </c>
      <c r="AW179" s="22">
        <v>4</v>
      </c>
      <c r="AX179" s="22">
        <v>20</v>
      </c>
      <c r="AY179" s="22">
        <v>0</v>
      </c>
      <c r="AZ179" s="22">
        <v>0</v>
      </c>
      <c r="BA179" s="22">
        <v>7</v>
      </c>
      <c r="BB179" s="22">
        <v>10</v>
      </c>
      <c r="BC179" s="316">
        <f t="shared" si="24"/>
        <v>231</v>
      </c>
      <c r="BD179" s="58">
        <f t="shared" si="25"/>
        <v>8</v>
      </c>
      <c r="BE179" s="58">
        <f t="shared" si="26"/>
        <v>0</v>
      </c>
      <c r="BF179" s="58">
        <f t="shared" si="27"/>
        <v>0</v>
      </c>
      <c r="BG179" s="58">
        <f t="shared" si="28"/>
        <v>0</v>
      </c>
      <c r="BH179" s="58">
        <f t="shared" si="29"/>
        <v>0</v>
      </c>
      <c r="BI179" s="58">
        <f t="shared" si="30"/>
        <v>0</v>
      </c>
      <c r="BJ179" s="58">
        <f t="shared" si="31"/>
        <v>0</v>
      </c>
      <c r="BK179" s="58">
        <f t="shared" si="32"/>
        <v>8</v>
      </c>
    </row>
    <row r="180" spans="1:63" ht="27" customHeight="1">
      <c r="A180" s="13">
        <f t="shared" si="33"/>
        <v>178</v>
      </c>
      <c r="B180" s="14" t="s">
        <v>1481</v>
      </c>
      <c r="C180" s="10">
        <v>1608</v>
      </c>
      <c r="D180" s="76" t="s">
        <v>1482</v>
      </c>
      <c r="E180" s="85">
        <v>130098050</v>
      </c>
      <c r="F180" s="78" t="s">
        <v>1483</v>
      </c>
      <c r="G180" s="79" t="s">
        <v>1484</v>
      </c>
      <c r="H180" s="15" t="s">
        <v>1485</v>
      </c>
      <c r="I180" s="16" t="s">
        <v>1486</v>
      </c>
      <c r="J180" s="80" t="s">
        <v>178</v>
      </c>
      <c r="K180" s="24">
        <v>31124</v>
      </c>
      <c r="L180" s="82" t="s">
        <v>179</v>
      </c>
      <c r="M180" s="25">
        <v>42615</v>
      </c>
      <c r="N180" s="25"/>
      <c r="O180" s="17" t="s">
        <v>34</v>
      </c>
      <c r="P180" s="18" t="s">
        <v>309</v>
      </c>
      <c r="Q180" s="18" t="s">
        <v>181</v>
      </c>
      <c r="R180" s="17" t="s">
        <v>182</v>
      </c>
      <c r="S180" s="13" t="s">
        <v>219</v>
      </c>
      <c r="T180" s="175"/>
      <c r="U180" s="175"/>
      <c r="V180" s="21" t="s">
        <v>184</v>
      </c>
      <c r="W180" s="21" t="s">
        <v>200</v>
      </c>
      <c r="X180" s="1">
        <v>9</v>
      </c>
      <c r="Y180" s="176" t="s">
        <v>1487</v>
      </c>
      <c r="Z180" s="86"/>
      <c r="AA180" s="86" t="s">
        <v>186</v>
      </c>
      <c r="AB180" s="1"/>
      <c r="AC180" s="177" t="s">
        <v>1488</v>
      </c>
      <c r="AD180" s="115"/>
      <c r="AE180" s="115"/>
      <c r="AF180" s="124"/>
      <c r="AG180" s="122"/>
      <c r="AH180" s="178"/>
      <c r="AI180" s="178"/>
      <c r="AJ180" s="21" t="s">
        <v>203</v>
      </c>
      <c r="AK180" s="21" t="s">
        <v>190</v>
      </c>
      <c r="AL180" s="21" t="s">
        <v>190</v>
      </c>
      <c r="AM180" s="123" t="s">
        <v>1489</v>
      </c>
      <c r="AN180" s="22">
        <v>182</v>
      </c>
      <c r="AO180" s="22">
        <v>4</v>
      </c>
      <c r="AP180" s="22">
        <v>0</v>
      </c>
      <c r="AQ180" s="22">
        <v>0</v>
      </c>
      <c r="AR180" s="22">
        <v>0</v>
      </c>
      <c r="AS180" s="22">
        <v>7</v>
      </c>
      <c r="AT180" s="22">
        <v>10</v>
      </c>
      <c r="AU180" s="316">
        <f t="shared" si="23"/>
        <v>203</v>
      </c>
      <c r="AV180" s="22">
        <v>190</v>
      </c>
      <c r="AW180" s="22">
        <v>4</v>
      </c>
      <c r="AX180" s="22">
        <v>0</v>
      </c>
      <c r="AY180" s="22">
        <v>0</v>
      </c>
      <c r="AZ180" s="22">
        <v>0</v>
      </c>
      <c r="BA180" s="22">
        <v>7</v>
      </c>
      <c r="BB180" s="22">
        <v>10</v>
      </c>
      <c r="BC180" s="316">
        <f t="shared" si="24"/>
        <v>211</v>
      </c>
      <c r="BD180" s="58">
        <f t="shared" si="25"/>
        <v>8</v>
      </c>
      <c r="BE180" s="58">
        <f t="shared" si="26"/>
        <v>0</v>
      </c>
      <c r="BF180" s="58">
        <f t="shared" si="27"/>
        <v>0</v>
      </c>
      <c r="BG180" s="58">
        <f t="shared" si="28"/>
        <v>0</v>
      </c>
      <c r="BH180" s="58">
        <f t="shared" si="29"/>
        <v>0</v>
      </c>
      <c r="BI180" s="58">
        <f t="shared" si="30"/>
        <v>0</v>
      </c>
      <c r="BJ180" s="58">
        <f t="shared" si="31"/>
        <v>0</v>
      </c>
      <c r="BK180" s="58">
        <f t="shared" si="32"/>
        <v>8</v>
      </c>
    </row>
    <row r="181" spans="1:63" ht="27" customHeight="1">
      <c r="A181" s="13">
        <f t="shared" si="33"/>
        <v>179</v>
      </c>
      <c r="B181" s="14" t="s">
        <v>1490</v>
      </c>
      <c r="C181" s="10">
        <v>1610</v>
      </c>
      <c r="D181" s="76" t="s">
        <v>1491</v>
      </c>
      <c r="E181" s="85">
        <v>130179626</v>
      </c>
      <c r="F181" s="78" t="s">
        <v>1492</v>
      </c>
      <c r="G181" s="79" t="s">
        <v>1493</v>
      </c>
      <c r="H181" s="15" t="s">
        <v>20</v>
      </c>
      <c r="I181" s="16" t="s">
        <v>21</v>
      </c>
      <c r="J181" s="80" t="s">
        <v>178</v>
      </c>
      <c r="K181" s="24">
        <v>29710</v>
      </c>
      <c r="L181" s="82" t="s">
        <v>179</v>
      </c>
      <c r="M181" s="25">
        <v>42618</v>
      </c>
      <c r="N181" s="25"/>
      <c r="O181" s="17" t="s">
        <v>14</v>
      </c>
      <c r="P181" s="18" t="s">
        <v>15</v>
      </c>
      <c r="Q181" s="18" t="s">
        <v>181</v>
      </c>
      <c r="R181" s="17" t="s">
        <v>182</v>
      </c>
      <c r="S181" s="13" t="s">
        <v>219</v>
      </c>
      <c r="T181" s="175"/>
      <c r="U181" s="175"/>
      <c r="V181" s="21" t="s">
        <v>184</v>
      </c>
      <c r="W181" s="21" t="s">
        <v>200</v>
      </c>
      <c r="X181" s="1">
        <v>5</v>
      </c>
      <c r="Y181" s="176" t="s">
        <v>1494</v>
      </c>
      <c r="Z181" s="86"/>
      <c r="AA181" s="86" t="s">
        <v>186</v>
      </c>
      <c r="AB181" s="1"/>
      <c r="AC181" s="177" t="s">
        <v>1495</v>
      </c>
      <c r="AD181" s="115"/>
      <c r="AE181" s="115"/>
      <c r="AF181" s="124"/>
      <c r="AG181" s="122"/>
      <c r="AH181" s="178"/>
      <c r="AI181" s="178"/>
      <c r="AJ181" s="21" t="s">
        <v>203</v>
      </c>
      <c r="AK181" s="21" t="s">
        <v>190</v>
      </c>
      <c r="AL181" s="21" t="s">
        <v>190</v>
      </c>
      <c r="AM181" s="123" t="s">
        <v>1496</v>
      </c>
      <c r="AN181" s="22">
        <v>182</v>
      </c>
      <c r="AO181" s="22">
        <v>4</v>
      </c>
      <c r="AP181" s="22">
        <v>0</v>
      </c>
      <c r="AQ181" s="22">
        <v>0</v>
      </c>
      <c r="AR181" s="22">
        <v>0</v>
      </c>
      <c r="AS181" s="22">
        <v>7</v>
      </c>
      <c r="AT181" s="22">
        <v>10</v>
      </c>
      <c r="AU181" s="316">
        <f t="shared" si="23"/>
        <v>203</v>
      </c>
      <c r="AV181" s="22">
        <v>190</v>
      </c>
      <c r="AW181" s="22">
        <v>4</v>
      </c>
      <c r="AX181" s="22">
        <v>0</v>
      </c>
      <c r="AY181" s="22">
        <v>0</v>
      </c>
      <c r="AZ181" s="22">
        <v>0</v>
      </c>
      <c r="BA181" s="22">
        <v>7</v>
      </c>
      <c r="BB181" s="22">
        <v>10</v>
      </c>
      <c r="BC181" s="316">
        <f t="shared" si="24"/>
        <v>211</v>
      </c>
      <c r="BD181" s="58">
        <f t="shared" si="25"/>
        <v>8</v>
      </c>
      <c r="BE181" s="58">
        <f t="shared" si="26"/>
        <v>0</v>
      </c>
      <c r="BF181" s="58">
        <f t="shared" si="27"/>
        <v>0</v>
      </c>
      <c r="BG181" s="58">
        <f t="shared" si="28"/>
        <v>0</v>
      </c>
      <c r="BH181" s="58">
        <f t="shared" si="29"/>
        <v>0</v>
      </c>
      <c r="BI181" s="58">
        <f t="shared" si="30"/>
        <v>0</v>
      </c>
      <c r="BJ181" s="58">
        <f t="shared" si="31"/>
        <v>0</v>
      </c>
      <c r="BK181" s="58">
        <f t="shared" si="32"/>
        <v>8</v>
      </c>
    </row>
    <row r="182" spans="1:63" ht="27" customHeight="1">
      <c r="A182" s="13">
        <f t="shared" si="33"/>
        <v>180</v>
      </c>
      <c r="B182" s="14" t="s">
        <v>1497</v>
      </c>
      <c r="C182" s="10">
        <v>1611</v>
      </c>
      <c r="D182" s="76" t="s">
        <v>1498</v>
      </c>
      <c r="E182" s="85">
        <v>61913514</v>
      </c>
      <c r="F182" s="78" t="s">
        <v>269</v>
      </c>
      <c r="G182" s="79" t="s">
        <v>759</v>
      </c>
      <c r="H182" s="15" t="s">
        <v>1499</v>
      </c>
      <c r="I182" s="16" t="s">
        <v>761</v>
      </c>
      <c r="J182" s="80" t="s">
        <v>178</v>
      </c>
      <c r="K182" s="24">
        <v>29315</v>
      </c>
      <c r="L182" s="82" t="s">
        <v>179</v>
      </c>
      <c r="M182" s="25">
        <v>42615</v>
      </c>
      <c r="N182" s="25"/>
      <c r="O182" s="17" t="s">
        <v>34</v>
      </c>
      <c r="P182" s="18" t="s">
        <v>265</v>
      </c>
      <c r="Q182" s="18" t="s">
        <v>181</v>
      </c>
      <c r="R182" s="17" t="s">
        <v>182</v>
      </c>
      <c r="S182" s="19" t="s">
        <v>183</v>
      </c>
      <c r="T182" s="175"/>
      <c r="U182" s="175"/>
      <c r="V182" s="21" t="s">
        <v>184</v>
      </c>
      <c r="W182" s="21" t="s">
        <v>184</v>
      </c>
      <c r="X182" s="1">
        <v>3</v>
      </c>
      <c r="Y182" s="77" t="s">
        <v>184</v>
      </c>
      <c r="Z182" s="86"/>
      <c r="AA182" s="86" t="s">
        <v>186</v>
      </c>
      <c r="AB182" s="1"/>
      <c r="AC182" s="177" t="s">
        <v>1174</v>
      </c>
      <c r="AD182" s="115"/>
      <c r="AE182" s="115"/>
      <c r="AF182" s="124"/>
      <c r="AG182" s="122"/>
      <c r="AH182" s="178"/>
      <c r="AI182" s="178"/>
      <c r="AJ182" s="21" t="s">
        <v>203</v>
      </c>
      <c r="AK182" s="21" t="s">
        <v>190</v>
      </c>
      <c r="AL182" s="21" t="s">
        <v>190</v>
      </c>
      <c r="AM182" s="123" t="s">
        <v>1234</v>
      </c>
      <c r="AN182" s="22">
        <v>182</v>
      </c>
      <c r="AO182" s="22">
        <v>4</v>
      </c>
      <c r="AP182" s="22">
        <v>0</v>
      </c>
      <c r="AQ182" s="22">
        <v>0</v>
      </c>
      <c r="AR182" s="22">
        <v>0</v>
      </c>
      <c r="AS182" s="22">
        <v>7</v>
      </c>
      <c r="AT182" s="22">
        <v>10</v>
      </c>
      <c r="AU182" s="316">
        <f t="shared" si="23"/>
        <v>203</v>
      </c>
      <c r="AV182" s="22">
        <v>190</v>
      </c>
      <c r="AW182" s="22">
        <v>4</v>
      </c>
      <c r="AX182" s="22">
        <v>0</v>
      </c>
      <c r="AY182" s="22">
        <v>0</v>
      </c>
      <c r="AZ182" s="22">
        <v>0</v>
      </c>
      <c r="BA182" s="22">
        <v>7</v>
      </c>
      <c r="BB182" s="22">
        <v>10</v>
      </c>
      <c r="BC182" s="316">
        <f t="shared" si="24"/>
        <v>211</v>
      </c>
      <c r="BD182" s="58">
        <f t="shared" si="25"/>
        <v>8</v>
      </c>
      <c r="BE182" s="58">
        <f t="shared" si="26"/>
        <v>0</v>
      </c>
      <c r="BF182" s="58">
        <f t="shared" si="27"/>
        <v>0</v>
      </c>
      <c r="BG182" s="58">
        <f t="shared" si="28"/>
        <v>0</v>
      </c>
      <c r="BH182" s="58">
        <f t="shared" si="29"/>
        <v>0</v>
      </c>
      <c r="BI182" s="58">
        <f t="shared" si="30"/>
        <v>0</v>
      </c>
      <c r="BJ182" s="58">
        <f t="shared" si="31"/>
        <v>0</v>
      </c>
      <c r="BK182" s="58">
        <f t="shared" si="32"/>
        <v>8</v>
      </c>
    </row>
    <row r="183" spans="1:63" ht="27" customHeight="1">
      <c r="A183" s="13">
        <f t="shared" si="33"/>
        <v>181</v>
      </c>
      <c r="B183" s="14" t="s">
        <v>1500</v>
      </c>
      <c r="C183" s="10">
        <v>1614</v>
      </c>
      <c r="D183" s="76" t="s">
        <v>1501</v>
      </c>
      <c r="E183" s="85">
        <v>100583040</v>
      </c>
      <c r="F183" s="78" t="s">
        <v>1502</v>
      </c>
      <c r="G183" s="79" t="s">
        <v>1503</v>
      </c>
      <c r="H183" s="15" t="s">
        <v>1504</v>
      </c>
      <c r="I183" s="16" t="s">
        <v>1505</v>
      </c>
      <c r="J183" s="80" t="s">
        <v>178</v>
      </c>
      <c r="K183" s="24">
        <v>33396</v>
      </c>
      <c r="L183" s="82" t="s">
        <v>179</v>
      </c>
      <c r="M183" s="25">
        <v>42648</v>
      </c>
      <c r="N183" s="25"/>
      <c r="O183" s="17" t="s">
        <v>34</v>
      </c>
      <c r="P183" s="18" t="s">
        <v>309</v>
      </c>
      <c r="Q183" s="18" t="s">
        <v>181</v>
      </c>
      <c r="R183" s="17" t="s">
        <v>182</v>
      </c>
      <c r="S183" s="19" t="s">
        <v>211</v>
      </c>
      <c r="T183" s="175"/>
      <c r="U183" s="175"/>
      <c r="V183" s="21" t="s">
        <v>200</v>
      </c>
      <c r="W183" s="21">
        <v>253</v>
      </c>
      <c r="X183" s="1">
        <v>8</v>
      </c>
      <c r="Y183" s="176" t="s">
        <v>1506</v>
      </c>
      <c r="Z183" s="86"/>
      <c r="AA183" s="86" t="s">
        <v>186</v>
      </c>
      <c r="AB183" s="1"/>
      <c r="AC183" s="177" t="s">
        <v>1369</v>
      </c>
      <c r="AD183" s="115" t="s">
        <v>189</v>
      </c>
      <c r="AE183" s="115"/>
      <c r="AF183" s="124"/>
      <c r="AG183" s="122"/>
      <c r="AH183" s="178"/>
      <c r="AI183" s="178"/>
      <c r="AJ183" s="21" t="s">
        <v>203</v>
      </c>
      <c r="AK183" s="21" t="s">
        <v>190</v>
      </c>
      <c r="AL183" s="21" t="s">
        <v>190</v>
      </c>
      <c r="AM183" s="123" t="s">
        <v>1507</v>
      </c>
      <c r="AN183" s="22">
        <v>182</v>
      </c>
      <c r="AO183" s="22">
        <v>4</v>
      </c>
      <c r="AP183" s="22">
        <v>0</v>
      </c>
      <c r="AQ183" s="22">
        <v>0</v>
      </c>
      <c r="AR183" s="22">
        <v>0</v>
      </c>
      <c r="AS183" s="22">
        <v>7</v>
      </c>
      <c r="AT183" s="22">
        <v>10</v>
      </c>
      <c r="AU183" s="316">
        <f t="shared" si="23"/>
        <v>203</v>
      </c>
      <c r="AV183" s="22">
        <v>190</v>
      </c>
      <c r="AW183" s="22">
        <v>4</v>
      </c>
      <c r="AX183" s="22">
        <v>0</v>
      </c>
      <c r="AY183" s="22">
        <v>0</v>
      </c>
      <c r="AZ183" s="22">
        <v>0</v>
      </c>
      <c r="BA183" s="22">
        <v>7</v>
      </c>
      <c r="BB183" s="22">
        <v>10</v>
      </c>
      <c r="BC183" s="316">
        <f t="shared" si="24"/>
        <v>211</v>
      </c>
      <c r="BD183" s="58">
        <f t="shared" si="25"/>
        <v>8</v>
      </c>
      <c r="BE183" s="58">
        <f t="shared" si="26"/>
        <v>0</v>
      </c>
      <c r="BF183" s="58">
        <f t="shared" si="27"/>
        <v>0</v>
      </c>
      <c r="BG183" s="58">
        <f t="shared" si="28"/>
        <v>0</v>
      </c>
      <c r="BH183" s="58">
        <f t="shared" si="29"/>
        <v>0</v>
      </c>
      <c r="BI183" s="58">
        <f t="shared" si="30"/>
        <v>0</v>
      </c>
      <c r="BJ183" s="58">
        <f t="shared" si="31"/>
        <v>0</v>
      </c>
      <c r="BK183" s="58">
        <f t="shared" si="32"/>
        <v>8</v>
      </c>
    </row>
    <row r="184" spans="1:63" ht="27" customHeight="1">
      <c r="A184" s="13">
        <f t="shared" si="33"/>
        <v>182</v>
      </c>
      <c r="B184" s="14" t="s">
        <v>1508</v>
      </c>
      <c r="C184" s="10">
        <v>1618</v>
      </c>
      <c r="D184" s="76" t="s">
        <v>1509</v>
      </c>
      <c r="E184" s="85">
        <v>130057590</v>
      </c>
      <c r="F184" s="78" t="s">
        <v>753</v>
      </c>
      <c r="G184" s="79" t="s">
        <v>1510</v>
      </c>
      <c r="H184" s="15" t="s">
        <v>754</v>
      </c>
      <c r="I184" s="16" t="s">
        <v>1511</v>
      </c>
      <c r="J184" s="80" t="s">
        <v>178</v>
      </c>
      <c r="K184" s="24">
        <v>31511</v>
      </c>
      <c r="L184" s="82" t="s">
        <v>179</v>
      </c>
      <c r="M184" s="25">
        <v>42656</v>
      </c>
      <c r="N184" s="25"/>
      <c r="O184" s="17" t="s">
        <v>34</v>
      </c>
      <c r="P184" s="18" t="s">
        <v>309</v>
      </c>
      <c r="Q184" s="18" t="s">
        <v>181</v>
      </c>
      <c r="R184" s="17" t="s">
        <v>182</v>
      </c>
      <c r="S184" s="19" t="s">
        <v>211</v>
      </c>
      <c r="T184" s="175"/>
      <c r="U184" s="175"/>
      <c r="V184" s="21" t="s">
        <v>200</v>
      </c>
      <c r="W184" s="21" t="s">
        <v>184</v>
      </c>
      <c r="X184" s="1">
        <v>9</v>
      </c>
      <c r="Y184" s="176" t="s">
        <v>1512</v>
      </c>
      <c r="Z184" s="86"/>
      <c r="AA184" s="86" t="s">
        <v>186</v>
      </c>
      <c r="AB184" s="1"/>
      <c r="AC184" s="177" t="s">
        <v>1513</v>
      </c>
      <c r="AD184" s="115" t="s">
        <v>189</v>
      </c>
      <c r="AE184" s="115"/>
      <c r="AF184" s="124"/>
      <c r="AG184" s="122"/>
      <c r="AH184" s="178"/>
      <c r="AI184" s="178"/>
      <c r="AJ184" s="21" t="s">
        <v>203</v>
      </c>
      <c r="AK184" s="21" t="s">
        <v>190</v>
      </c>
      <c r="AL184" s="21" t="s">
        <v>190</v>
      </c>
      <c r="AM184" s="123" t="s">
        <v>1514</v>
      </c>
      <c r="AN184" s="22">
        <v>182</v>
      </c>
      <c r="AO184" s="22">
        <v>0</v>
      </c>
      <c r="AP184" s="22">
        <v>0</v>
      </c>
      <c r="AQ184" s="22">
        <v>0</v>
      </c>
      <c r="AR184" s="22">
        <v>0</v>
      </c>
      <c r="AS184" s="22">
        <v>7</v>
      </c>
      <c r="AT184" s="22">
        <v>10</v>
      </c>
      <c r="AU184" s="316">
        <f t="shared" si="23"/>
        <v>199</v>
      </c>
      <c r="AV184" s="22">
        <v>190</v>
      </c>
      <c r="AW184" s="22">
        <v>0</v>
      </c>
      <c r="AX184" s="22">
        <v>0</v>
      </c>
      <c r="AY184" s="22">
        <v>0</v>
      </c>
      <c r="AZ184" s="22">
        <v>0</v>
      </c>
      <c r="BA184" s="22">
        <v>7</v>
      </c>
      <c r="BB184" s="22">
        <v>10</v>
      </c>
      <c r="BC184" s="316">
        <f t="shared" si="24"/>
        <v>207</v>
      </c>
      <c r="BD184" s="58">
        <f t="shared" si="25"/>
        <v>8</v>
      </c>
      <c r="BE184" s="58">
        <f t="shared" si="26"/>
        <v>0</v>
      </c>
      <c r="BF184" s="58">
        <f t="shared" si="27"/>
        <v>0</v>
      </c>
      <c r="BG184" s="58">
        <f t="shared" si="28"/>
        <v>0</v>
      </c>
      <c r="BH184" s="58">
        <f t="shared" si="29"/>
        <v>0</v>
      </c>
      <c r="BI184" s="58">
        <f t="shared" si="30"/>
        <v>0</v>
      </c>
      <c r="BJ184" s="58">
        <f t="shared" si="31"/>
        <v>0</v>
      </c>
      <c r="BK184" s="58">
        <f t="shared" si="32"/>
        <v>8</v>
      </c>
    </row>
    <row r="185" spans="1:63" ht="27" customHeight="1">
      <c r="A185" s="13">
        <f t="shared" si="33"/>
        <v>183</v>
      </c>
      <c r="B185" s="14" t="s">
        <v>1515</v>
      </c>
      <c r="C185" s="10">
        <v>1622</v>
      </c>
      <c r="D185" s="76" t="s">
        <v>1516</v>
      </c>
      <c r="E185" s="85">
        <v>60198868</v>
      </c>
      <c r="F185" s="78" t="s">
        <v>1517</v>
      </c>
      <c r="G185" s="79" t="s">
        <v>1518</v>
      </c>
      <c r="H185" s="15" t="s">
        <v>1519</v>
      </c>
      <c r="I185" s="16" t="s">
        <v>1520</v>
      </c>
      <c r="J185" s="80" t="s">
        <v>178</v>
      </c>
      <c r="K185" s="24">
        <v>26160</v>
      </c>
      <c r="L185" s="82" t="s">
        <v>179</v>
      </c>
      <c r="M185" s="25">
        <v>42655</v>
      </c>
      <c r="N185" s="25"/>
      <c r="O185" s="17" t="s">
        <v>80</v>
      </c>
      <c r="P185" s="18" t="s">
        <v>199</v>
      </c>
      <c r="Q185" s="18" t="s">
        <v>181</v>
      </c>
      <c r="R185" s="17" t="s">
        <v>182</v>
      </c>
      <c r="S185" s="19" t="s">
        <v>183</v>
      </c>
      <c r="T185" s="175"/>
      <c r="U185" s="175"/>
      <c r="V185" s="21" t="s">
        <v>200</v>
      </c>
      <c r="W185" s="21" t="s">
        <v>184</v>
      </c>
      <c r="X185" s="1">
        <v>4</v>
      </c>
      <c r="Y185" s="176" t="s">
        <v>1521</v>
      </c>
      <c r="Z185" s="86"/>
      <c r="AA185" s="86" t="s">
        <v>186</v>
      </c>
      <c r="AB185" s="1"/>
      <c r="AC185" s="177"/>
      <c r="AD185" s="115"/>
      <c r="AE185" s="115"/>
      <c r="AF185" s="124"/>
      <c r="AG185" s="122"/>
      <c r="AH185" s="178"/>
      <c r="AI185" s="178"/>
      <c r="AJ185" s="21" t="s">
        <v>203</v>
      </c>
      <c r="AK185" s="21" t="s">
        <v>190</v>
      </c>
      <c r="AL185" s="21" t="s">
        <v>190</v>
      </c>
      <c r="AM185" s="123" t="s">
        <v>1522</v>
      </c>
      <c r="AN185" s="22">
        <v>182</v>
      </c>
      <c r="AO185" s="22">
        <v>4</v>
      </c>
      <c r="AP185" s="22">
        <v>0</v>
      </c>
      <c r="AQ185" s="22">
        <v>80</v>
      </c>
      <c r="AR185" s="22">
        <v>0</v>
      </c>
      <c r="AS185" s="22">
        <v>7</v>
      </c>
      <c r="AT185" s="22">
        <v>10</v>
      </c>
      <c r="AU185" s="316">
        <f t="shared" si="23"/>
        <v>283</v>
      </c>
      <c r="AV185" s="22">
        <v>190</v>
      </c>
      <c r="AW185" s="22">
        <v>4</v>
      </c>
      <c r="AX185" s="22">
        <v>0</v>
      </c>
      <c r="AY185" s="22">
        <v>80</v>
      </c>
      <c r="AZ185" s="22">
        <v>0</v>
      </c>
      <c r="BA185" s="22">
        <v>7</v>
      </c>
      <c r="BB185" s="22">
        <v>10</v>
      </c>
      <c r="BC185" s="316">
        <f t="shared" si="24"/>
        <v>291</v>
      </c>
      <c r="BD185" s="58">
        <f t="shared" si="25"/>
        <v>8</v>
      </c>
      <c r="BE185" s="58">
        <f t="shared" si="26"/>
        <v>0</v>
      </c>
      <c r="BF185" s="58">
        <f t="shared" si="27"/>
        <v>0</v>
      </c>
      <c r="BG185" s="58">
        <f t="shared" si="28"/>
        <v>0</v>
      </c>
      <c r="BH185" s="58">
        <f t="shared" si="29"/>
        <v>0</v>
      </c>
      <c r="BI185" s="58">
        <f t="shared" si="30"/>
        <v>0</v>
      </c>
      <c r="BJ185" s="58">
        <f t="shared" si="31"/>
        <v>0</v>
      </c>
      <c r="BK185" s="58">
        <f t="shared" si="32"/>
        <v>8</v>
      </c>
    </row>
    <row r="186" spans="1:63" ht="27" customHeight="1">
      <c r="A186" s="13">
        <f t="shared" si="33"/>
        <v>184</v>
      </c>
      <c r="B186" s="14" t="s">
        <v>1523</v>
      </c>
      <c r="C186" s="10">
        <v>1627</v>
      </c>
      <c r="D186" s="76" t="s">
        <v>1524</v>
      </c>
      <c r="E186" s="85">
        <v>50106284</v>
      </c>
      <c r="F186" s="78" t="s">
        <v>1525</v>
      </c>
      <c r="G186" s="79" t="s">
        <v>1526</v>
      </c>
      <c r="H186" s="15" t="s">
        <v>1527</v>
      </c>
      <c r="I186" s="16" t="s">
        <v>1528</v>
      </c>
      <c r="J186" s="80" t="s">
        <v>178</v>
      </c>
      <c r="K186" s="24">
        <v>29676</v>
      </c>
      <c r="L186" s="82" t="s">
        <v>179</v>
      </c>
      <c r="M186" s="25">
        <v>42656</v>
      </c>
      <c r="N186" s="25"/>
      <c r="O186" s="17" t="s">
        <v>34</v>
      </c>
      <c r="P186" s="18" t="s">
        <v>265</v>
      </c>
      <c r="Q186" s="18" t="s">
        <v>181</v>
      </c>
      <c r="R186" s="17" t="s">
        <v>182</v>
      </c>
      <c r="S186" s="13" t="s">
        <v>219</v>
      </c>
      <c r="T186" s="175"/>
      <c r="U186" s="175"/>
      <c r="V186" s="21" t="s">
        <v>184</v>
      </c>
      <c r="W186" s="21">
        <v>5266</v>
      </c>
      <c r="X186" s="1">
        <v>6</v>
      </c>
      <c r="Y186" s="176" t="s">
        <v>1529</v>
      </c>
      <c r="Z186" s="86"/>
      <c r="AA186" s="86" t="s">
        <v>186</v>
      </c>
      <c r="AB186" s="1"/>
      <c r="AC186" s="177" t="s">
        <v>387</v>
      </c>
      <c r="AD186" s="115"/>
      <c r="AE186" s="115"/>
      <c r="AF186" s="124"/>
      <c r="AG186" s="122"/>
      <c r="AH186" s="178"/>
      <c r="AI186" s="178"/>
      <c r="AJ186" s="21" t="s">
        <v>203</v>
      </c>
      <c r="AK186" s="21" t="s">
        <v>190</v>
      </c>
      <c r="AL186" s="21" t="s">
        <v>190</v>
      </c>
      <c r="AM186" s="123" t="s">
        <v>1530</v>
      </c>
      <c r="AN186" s="22">
        <v>182</v>
      </c>
      <c r="AO186" s="22">
        <v>4</v>
      </c>
      <c r="AP186" s="22">
        <v>0</v>
      </c>
      <c r="AQ186" s="22">
        <v>0</v>
      </c>
      <c r="AR186" s="22">
        <v>0</v>
      </c>
      <c r="AS186" s="22">
        <v>7</v>
      </c>
      <c r="AT186" s="22">
        <v>10</v>
      </c>
      <c r="AU186" s="316">
        <f t="shared" si="23"/>
        <v>203</v>
      </c>
      <c r="AV186" s="22">
        <v>190</v>
      </c>
      <c r="AW186" s="22">
        <v>4</v>
      </c>
      <c r="AX186" s="22">
        <v>0</v>
      </c>
      <c r="AY186" s="22">
        <v>0</v>
      </c>
      <c r="AZ186" s="22">
        <v>0</v>
      </c>
      <c r="BA186" s="22">
        <v>7</v>
      </c>
      <c r="BB186" s="22">
        <v>10</v>
      </c>
      <c r="BC186" s="316">
        <f t="shared" si="24"/>
        <v>211</v>
      </c>
      <c r="BD186" s="58">
        <f t="shared" si="25"/>
        <v>8</v>
      </c>
      <c r="BE186" s="58">
        <f t="shared" si="26"/>
        <v>0</v>
      </c>
      <c r="BF186" s="58">
        <f t="shared" si="27"/>
        <v>0</v>
      </c>
      <c r="BG186" s="58">
        <f t="shared" si="28"/>
        <v>0</v>
      </c>
      <c r="BH186" s="58">
        <f t="shared" si="29"/>
        <v>0</v>
      </c>
      <c r="BI186" s="58">
        <f t="shared" si="30"/>
        <v>0</v>
      </c>
      <c r="BJ186" s="58">
        <f t="shared" si="31"/>
        <v>0</v>
      </c>
      <c r="BK186" s="58">
        <f t="shared" si="32"/>
        <v>8</v>
      </c>
    </row>
    <row r="187" spans="1:63" ht="27" customHeight="1">
      <c r="A187" s="13">
        <f t="shared" si="33"/>
        <v>185</v>
      </c>
      <c r="B187" s="14" t="s">
        <v>1531</v>
      </c>
      <c r="C187" s="10">
        <v>1637</v>
      </c>
      <c r="D187" s="76" t="s">
        <v>1532</v>
      </c>
      <c r="E187" s="85">
        <v>110418314</v>
      </c>
      <c r="F187" s="78" t="s">
        <v>1285</v>
      </c>
      <c r="G187" s="79" t="s">
        <v>1424</v>
      </c>
      <c r="H187" s="15" t="s">
        <v>1287</v>
      </c>
      <c r="I187" s="16" t="s">
        <v>1426</v>
      </c>
      <c r="J187" s="80" t="s">
        <v>178</v>
      </c>
      <c r="K187" s="24">
        <v>31307</v>
      </c>
      <c r="L187" s="82" t="s">
        <v>179</v>
      </c>
      <c r="M187" s="25">
        <v>42656</v>
      </c>
      <c r="N187" s="25"/>
      <c r="O187" s="17" t="s">
        <v>34</v>
      </c>
      <c r="P187" s="18" t="s">
        <v>386</v>
      </c>
      <c r="Q187" s="18" t="s">
        <v>181</v>
      </c>
      <c r="R187" s="17" t="s">
        <v>182</v>
      </c>
      <c r="S187" s="13" t="s">
        <v>228</v>
      </c>
      <c r="T187" s="175"/>
      <c r="U187" s="175"/>
      <c r="V187" s="21" t="s">
        <v>200</v>
      </c>
      <c r="W187" s="21">
        <v>248</v>
      </c>
      <c r="X187" s="1">
        <v>5</v>
      </c>
      <c r="Y187" s="176" t="s">
        <v>1533</v>
      </c>
      <c r="Z187" s="86"/>
      <c r="AA187" s="86" t="s">
        <v>186</v>
      </c>
      <c r="AB187" s="1"/>
      <c r="AC187" s="177" t="s">
        <v>364</v>
      </c>
      <c r="AD187" s="115"/>
      <c r="AE187" s="115"/>
      <c r="AF187" s="124"/>
      <c r="AG187" s="122"/>
      <c r="AH187" s="178"/>
      <c r="AI187" s="178"/>
      <c r="AJ187" s="21" t="s">
        <v>203</v>
      </c>
      <c r="AK187" s="21" t="s">
        <v>190</v>
      </c>
      <c r="AL187" s="21" t="s">
        <v>190</v>
      </c>
      <c r="AM187" s="123" t="s">
        <v>1489</v>
      </c>
      <c r="AN187" s="22">
        <v>182</v>
      </c>
      <c r="AO187" s="22">
        <v>4</v>
      </c>
      <c r="AP187" s="22">
        <v>0</v>
      </c>
      <c r="AQ187" s="22">
        <v>0</v>
      </c>
      <c r="AR187" s="22">
        <v>0</v>
      </c>
      <c r="AS187" s="22">
        <v>7</v>
      </c>
      <c r="AT187" s="22">
        <v>10</v>
      </c>
      <c r="AU187" s="316">
        <f t="shared" si="23"/>
        <v>203</v>
      </c>
      <c r="AV187" s="22">
        <v>190</v>
      </c>
      <c r="AW187" s="22">
        <v>4</v>
      </c>
      <c r="AX187" s="22">
        <v>0</v>
      </c>
      <c r="AY187" s="22">
        <v>0</v>
      </c>
      <c r="AZ187" s="22">
        <v>0</v>
      </c>
      <c r="BA187" s="22">
        <v>7</v>
      </c>
      <c r="BB187" s="22">
        <v>10</v>
      </c>
      <c r="BC187" s="316">
        <f t="shared" si="24"/>
        <v>211</v>
      </c>
      <c r="BD187" s="58">
        <f t="shared" si="25"/>
        <v>8</v>
      </c>
      <c r="BE187" s="58">
        <f t="shared" si="26"/>
        <v>0</v>
      </c>
      <c r="BF187" s="58">
        <f t="shared" si="27"/>
        <v>0</v>
      </c>
      <c r="BG187" s="58">
        <f t="shared" si="28"/>
        <v>0</v>
      </c>
      <c r="BH187" s="58">
        <f t="shared" si="29"/>
        <v>0</v>
      </c>
      <c r="BI187" s="58">
        <f t="shared" si="30"/>
        <v>0</v>
      </c>
      <c r="BJ187" s="58">
        <f t="shared" si="31"/>
        <v>0</v>
      </c>
      <c r="BK187" s="58">
        <f t="shared" si="32"/>
        <v>8</v>
      </c>
    </row>
    <row r="188" spans="1:63" ht="27" customHeight="1">
      <c r="A188" s="13">
        <f t="shared" si="33"/>
        <v>186</v>
      </c>
      <c r="B188" s="14" t="s">
        <v>1534</v>
      </c>
      <c r="C188" s="10">
        <v>1644</v>
      </c>
      <c r="D188" s="90" t="s">
        <v>1535</v>
      </c>
      <c r="E188" s="85">
        <v>130015372</v>
      </c>
      <c r="F188" s="78" t="s">
        <v>649</v>
      </c>
      <c r="G188" s="79" t="s">
        <v>580</v>
      </c>
      <c r="H188" s="15" t="s">
        <v>1536</v>
      </c>
      <c r="I188" s="16" t="s">
        <v>582</v>
      </c>
      <c r="J188" s="80" t="s">
        <v>178</v>
      </c>
      <c r="K188" s="24">
        <v>28541</v>
      </c>
      <c r="L188" s="82" t="s">
        <v>179</v>
      </c>
      <c r="M188" s="25">
        <v>42657</v>
      </c>
      <c r="N188" s="25"/>
      <c r="O188" s="17" t="s">
        <v>34</v>
      </c>
      <c r="P188" s="18" t="s">
        <v>1281</v>
      </c>
      <c r="Q188" s="18" t="s">
        <v>181</v>
      </c>
      <c r="R188" s="17" t="s">
        <v>182</v>
      </c>
      <c r="S188" s="19" t="s">
        <v>211</v>
      </c>
      <c r="T188" s="175"/>
      <c r="U188" s="175"/>
      <c r="V188" s="21" t="s">
        <v>200</v>
      </c>
      <c r="W188" s="21">
        <v>1127</v>
      </c>
      <c r="X188" s="1">
        <v>6</v>
      </c>
      <c r="Y188" s="176" t="s">
        <v>1537</v>
      </c>
      <c r="Z188" s="86"/>
      <c r="AA188" s="86" t="s">
        <v>186</v>
      </c>
      <c r="AB188" s="1"/>
      <c r="AC188" s="177" t="s">
        <v>1538</v>
      </c>
      <c r="AD188" s="115" t="s">
        <v>188</v>
      </c>
      <c r="AE188" s="115" t="s">
        <v>188</v>
      </c>
      <c r="AF188" s="124"/>
      <c r="AG188" s="122"/>
      <c r="AH188" s="178"/>
      <c r="AI188" s="178"/>
      <c r="AJ188" s="21" t="s">
        <v>203</v>
      </c>
      <c r="AK188" s="21" t="s">
        <v>190</v>
      </c>
      <c r="AL188" s="21" t="s">
        <v>190</v>
      </c>
      <c r="AM188" s="123" t="s">
        <v>1539</v>
      </c>
      <c r="AN188" s="22">
        <v>182</v>
      </c>
      <c r="AO188" s="22">
        <v>4</v>
      </c>
      <c r="AP188" s="22">
        <v>20</v>
      </c>
      <c r="AQ188" s="22">
        <v>0</v>
      </c>
      <c r="AR188" s="22">
        <v>0</v>
      </c>
      <c r="AS188" s="22">
        <v>7</v>
      </c>
      <c r="AT188" s="22">
        <v>10</v>
      </c>
      <c r="AU188" s="316">
        <f t="shared" si="23"/>
        <v>223</v>
      </c>
      <c r="AV188" s="22">
        <v>190</v>
      </c>
      <c r="AW188" s="22">
        <v>4</v>
      </c>
      <c r="AX188" s="22">
        <v>20</v>
      </c>
      <c r="AY188" s="22">
        <v>0</v>
      </c>
      <c r="AZ188" s="22">
        <v>0</v>
      </c>
      <c r="BA188" s="22">
        <v>7</v>
      </c>
      <c r="BB188" s="22">
        <v>10</v>
      </c>
      <c r="BC188" s="316">
        <f t="shared" si="24"/>
        <v>231</v>
      </c>
      <c r="BD188" s="58">
        <f t="shared" si="25"/>
        <v>8</v>
      </c>
      <c r="BE188" s="58">
        <f t="shared" si="26"/>
        <v>0</v>
      </c>
      <c r="BF188" s="58">
        <f t="shared" si="27"/>
        <v>0</v>
      </c>
      <c r="BG188" s="58">
        <f t="shared" si="28"/>
        <v>0</v>
      </c>
      <c r="BH188" s="58">
        <f t="shared" si="29"/>
        <v>0</v>
      </c>
      <c r="BI188" s="58">
        <f t="shared" si="30"/>
        <v>0</v>
      </c>
      <c r="BJ188" s="58">
        <f t="shared" si="31"/>
        <v>0</v>
      </c>
      <c r="BK188" s="58">
        <f t="shared" si="32"/>
        <v>8</v>
      </c>
    </row>
    <row r="189" spans="1:63" ht="27" customHeight="1">
      <c r="A189" s="13">
        <f t="shared" si="33"/>
        <v>187</v>
      </c>
      <c r="B189" s="14" t="s">
        <v>1540</v>
      </c>
      <c r="C189" s="10">
        <v>1648</v>
      </c>
      <c r="D189" s="90" t="s">
        <v>1541</v>
      </c>
      <c r="E189" s="85">
        <v>30533599</v>
      </c>
      <c r="F189" s="78" t="s">
        <v>1517</v>
      </c>
      <c r="G189" s="79" t="s">
        <v>1542</v>
      </c>
      <c r="H189" s="15" t="s">
        <v>1543</v>
      </c>
      <c r="I189" s="16" t="s">
        <v>1544</v>
      </c>
      <c r="J189" s="80" t="s">
        <v>178</v>
      </c>
      <c r="K189" s="24">
        <v>29691</v>
      </c>
      <c r="L189" s="82" t="s">
        <v>179</v>
      </c>
      <c r="M189" s="25">
        <v>42657</v>
      </c>
      <c r="N189" s="25"/>
      <c r="O189" s="17" t="s">
        <v>34</v>
      </c>
      <c r="P189" s="18" t="s">
        <v>348</v>
      </c>
      <c r="Q189" s="18" t="s">
        <v>181</v>
      </c>
      <c r="R189" s="17" t="s">
        <v>182</v>
      </c>
      <c r="S189" s="17" t="s">
        <v>727</v>
      </c>
      <c r="T189" s="175"/>
      <c r="U189" s="175"/>
      <c r="V189" s="21" t="s">
        <v>184</v>
      </c>
      <c r="W189" s="21">
        <v>848</v>
      </c>
      <c r="X189" s="1">
        <v>7</v>
      </c>
      <c r="Y189" s="176" t="s">
        <v>1545</v>
      </c>
      <c r="Z189" s="86"/>
      <c r="AA189" s="86" t="s">
        <v>186</v>
      </c>
      <c r="AB189" s="1"/>
      <c r="AC189" s="177" t="s">
        <v>387</v>
      </c>
      <c r="AD189" s="115" t="s">
        <v>189</v>
      </c>
      <c r="AE189" s="115"/>
      <c r="AF189" s="124"/>
      <c r="AG189" s="122"/>
      <c r="AH189" s="178"/>
      <c r="AI189" s="178"/>
      <c r="AJ189" s="21" t="s">
        <v>203</v>
      </c>
      <c r="AK189" s="21" t="s">
        <v>190</v>
      </c>
      <c r="AL189" s="21" t="s">
        <v>190</v>
      </c>
      <c r="AM189" s="123" t="s">
        <v>1546</v>
      </c>
      <c r="AN189" s="22">
        <v>182</v>
      </c>
      <c r="AO189" s="22">
        <v>4</v>
      </c>
      <c r="AP189" s="22">
        <v>0</v>
      </c>
      <c r="AQ189" s="22">
        <v>0</v>
      </c>
      <c r="AR189" s="22">
        <v>0</v>
      </c>
      <c r="AS189" s="22">
        <v>7</v>
      </c>
      <c r="AT189" s="22">
        <v>10</v>
      </c>
      <c r="AU189" s="316">
        <f t="shared" si="23"/>
        <v>203</v>
      </c>
      <c r="AV189" s="22">
        <v>190</v>
      </c>
      <c r="AW189" s="22">
        <v>4</v>
      </c>
      <c r="AX189" s="22">
        <v>0</v>
      </c>
      <c r="AY189" s="22">
        <v>0</v>
      </c>
      <c r="AZ189" s="22">
        <v>0</v>
      </c>
      <c r="BA189" s="22">
        <v>7</v>
      </c>
      <c r="BB189" s="22">
        <v>10</v>
      </c>
      <c r="BC189" s="316">
        <f t="shared" si="24"/>
        <v>211</v>
      </c>
      <c r="BD189" s="58">
        <f t="shared" si="25"/>
        <v>8</v>
      </c>
      <c r="BE189" s="58">
        <f t="shared" si="26"/>
        <v>0</v>
      </c>
      <c r="BF189" s="58">
        <f t="shared" si="27"/>
        <v>0</v>
      </c>
      <c r="BG189" s="58">
        <f t="shared" si="28"/>
        <v>0</v>
      </c>
      <c r="BH189" s="58">
        <f t="shared" si="29"/>
        <v>0</v>
      </c>
      <c r="BI189" s="58">
        <f t="shared" si="30"/>
        <v>0</v>
      </c>
      <c r="BJ189" s="58">
        <f t="shared" si="31"/>
        <v>0</v>
      </c>
      <c r="BK189" s="58">
        <f t="shared" si="32"/>
        <v>8</v>
      </c>
    </row>
    <row r="190" spans="1:63" ht="27" customHeight="1">
      <c r="A190" s="13">
        <f t="shared" si="33"/>
        <v>188</v>
      </c>
      <c r="B190" s="148" t="s">
        <v>1547</v>
      </c>
      <c r="C190" s="148">
        <v>1655</v>
      </c>
      <c r="D190" s="208" t="s">
        <v>1548</v>
      </c>
      <c r="E190" s="150">
        <v>90427624</v>
      </c>
      <c r="F190" s="151" t="s">
        <v>1549</v>
      </c>
      <c r="G190" s="152" t="s">
        <v>361</v>
      </c>
      <c r="H190" s="153" t="s">
        <v>1550</v>
      </c>
      <c r="I190" s="154" t="s">
        <v>1256</v>
      </c>
      <c r="J190" s="155" t="s">
        <v>178</v>
      </c>
      <c r="K190" s="156">
        <v>30385</v>
      </c>
      <c r="L190" s="157" t="s">
        <v>179</v>
      </c>
      <c r="M190" s="158">
        <v>42656</v>
      </c>
      <c r="N190" s="158"/>
      <c r="O190" s="159" t="s">
        <v>34</v>
      </c>
      <c r="P190" s="18" t="s">
        <v>301</v>
      </c>
      <c r="Q190" s="18" t="s">
        <v>181</v>
      </c>
      <c r="R190" s="159" t="s">
        <v>182</v>
      </c>
      <c r="S190" s="209" t="s">
        <v>1551</v>
      </c>
      <c r="T190" s="160"/>
      <c r="U190" s="160"/>
      <c r="V190" s="161" t="s">
        <v>184</v>
      </c>
      <c r="W190" s="161">
        <v>167</v>
      </c>
      <c r="X190" s="161">
        <v>5</v>
      </c>
      <c r="Y190" s="150" t="s">
        <v>1552</v>
      </c>
      <c r="Z190" s="162"/>
      <c r="AA190" s="162" t="s">
        <v>186</v>
      </c>
      <c r="AB190" s="161"/>
      <c r="AC190" s="183" t="s">
        <v>387</v>
      </c>
      <c r="AD190" s="184" t="s">
        <v>188</v>
      </c>
      <c r="AE190" s="184" t="s">
        <v>188</v>
      </c>
      <c r="AF190" s="164"/>
      <c r="AG190" s="163"/>
      <c r="AH190" s="165"/>
      <c r="AI190" s="165"/>
      <c r="AJ190" s="161" t="s">
        <v>203</v>
      </c>
      <c r="AK190" s="161" t="s">
        <v>190</v>
      </c>
      <c r="AL190" s="161" t="s">
        <v>190</v>
      </c>
      <c r="AM190" s="166" t="s">
        <v>1496</v>
      </c>
      <c r="AN190" s="22">
        <v>182</v>
      </c>
      <c r="AO190" s="22">
        <v>4</v>
      </c>
      <c r="AP190" s="22">
        <v>0</v>
      </c>
      <c r="AQ190" s="22">
        <v>0</v>
      </c>
      <c r="AR190" s="22">
        <v>0</v>
      </c>
      <c r="AS190" s="22">
        <v>7</v>
      </c>
      <c r="AT190" s="22">
        <v>10</v>
      </c>
      <c r="AU190" s="316">
        <f t="shared" si="23"/>
        <v>203</v>
      </c>
      <c r="AV190" s="22">
        <v>190</v>
      </c>
      <c r="AW190" s="22">
        <v>4</v>
      </c>
      <c r="AX190" s="22">
        <v>0</v>
      </c>
      <c r="AY190" s="22">
        <v>0</v>
      </c>
      <c r="AZ190" s="22">
        <v>0</v>
      </c>
      <c r="BA190" s="22">
        <v>7</v>
      </c>
      <c r="BB190" s="22">
        <v>10</v>
      </c>
      <c r="BC190" s="316">
        <f t="shared" si="24"/>
        <v>211</v>
      </c>
      <c r="BD190" s="58">
        <f t="shared" si="25"/>
        <v>8</v>
      </c>
      <c r="BE190" s="58">
        <f t="shared" si="26"/>
        <v>0</v>
      </c>
      <c r="BF190" s="58">
        <f t="shared" si="27"/>
        <v>0</v>
      </c>
      <c r="BG190" s="58">
        <f t="shared" si="28"/>
        <v>0</v>
      </c>
      <c r="BH190" s="58">
        <f t="shared" si="29"/>
        <v>0</v>
      </c>
      <c r="BI190" s="58">
        <f t="shared" si="30"/>
        <v>0</v>
      </c>
      <c r="BJ190" s="58">
        <f t="shared" si="31"/>
        <v>0</v>
      </c>
      <c r="BK190" s="58">
        <f t="shared" si="32"/>
        <v>8</v>
      </c>
    </row>
    <row r="191" spans="1:63" ht="27" customHeight="1">
      <c r="A191" s="13">
        <f t="shared" si="33"/>
        <v>189</v>
      </c>
      <c r="B191" s="14" t="s">
        <v>1553</v>
      </c>
      <c r="C191" s="10">
        <v>1657</v>
      </c>
      <c r="D191" s="90" t="s">
        <v>1554</v>
      </c>
      <c r="E191" s="85">
        <v>130208984</v>
      </c>
      <c r="F191" s="78" t="s">
        <v>963</v>
      </c>
      <c r="G191" s="79" t="s">
        <v>1555</v>
      </c>
      <c r="H191" s="15" t="s">
        <v>964</v>
      </c>
      <c r="I191" s="16" t="s">
        <v>1556</v>
      </c>
      <c r="J191" s="80" t="s">
        <v>178</v>
      </c>
      <c r="K191" s="24">
        <v>31058</v>
      </c>
      <c r="L191" s="82" t="s">
        <v>179</v>
      </c>
      <c r="M191" s="25">
        <v>42656</v>
      </c>
      <c r="N191" s="25"/>
      <c r="O191" s="17" t="s">
        <v>34</v>
      </c>
      <c r="P191" s="18" t="s">
        <v>1281</v>
      </c>
      <c r="Q191" s="18" t="s">
        <v>181</v>
      </c>
      <c r="R191" s="17" t="s">
        <v>182</v>
      </c>
      <c r="S191" s="17" t="s">
        <v>727</v>
      </c>
      <c r="T191" s="175"/>
      <c r="U191" s="175"/>
      <c r="V191" s="21" t="s">
        <v>184</v>
      </c>
      <c r="W191" s="21">
        <v>736</v>
      </c>
      <c r="X191" s="1" t="s">
        <v>184</v>
      </c>
      <c r="Y191" s="176" t="s">
        <v>184</v>
      </c>
      <c r="Z191" s="86" t="s">
        <v>186</v>
      </c>
      <c r="AA191" s="86"/>
      <c r="AB191" s="1"/>
      <c r="AC191" s="177"/>
      <c r="AD191" s="115"/>
      <c r="AE191" s="115"/>
      <c r="AF191" s="124"/>
      <c r="AG191" s="122"/>
      <c r="AH191" s="178"/>
      <c r="AI191" s="178"/>
      <c r="AJ191" s="21" t="s">
        <v>203</v>
      </c>
      <c r="AK191" s="21" t="s">
        <v>190</v>
      </c>
      <c r="AL191" s="21" t="s">
        <v>190</v>
      </c>
      <c r="AM191" s="123" t="s">
        <v>1489</v>
      </c>
      <c r="AN191" s="22">
        <v>182</v>
      </c>
      <c r="AO191" s="22">
        <v>4</v>
      </c>
      <c r="AP191" s="22">
        <v>20</v>
      </c>
      <c r="AQ191" s="22">
        <v>0</v>
      </c>
      <c r="AR191" s="22">
        <v>0</v>
      </c>
      <c r="AS191" s="22">
        <v>7</v>
      </c>
      <c r="AT191" s="22">
        <v>10</v>
      </c>
      <c r="AU191" s="316">
        <f t="shared" si="23"/>
        <v>223</v>
      </c>
      <c r="AV191" s="22">
        <v>190</v>
      </c>
      <c r="AW191" s="22">
        <v>4</v>
      </c>
      <c r="AX191" s="22">
        <v>20</v>
      </c>
      <c r="AY191" s="22">
        <v>0</v>
      </c>
      <c r="AZ191" s="22">
        <v>0</v>
      </c>
      <c r="BA191" s="22">
        <v>7</v>
      </c>
      <c r="BB191" s="22">
        <v>10</v>
      </c>
      <c r="BC191" s="316">
        <f t="shared" si="24"/>
        <v>231</v>
      </c>
      <c r="BD191" s="58">
        <f t="shared" si="25"/>
        <v>8</v>
      </c>
      <c r="BE191" s="58">
        <f t="shared" si="26"/>
        <v>0</v>
      </c>
      <c r="BF191" s="58">
        <f t="shared" si="27"/>
        <v>0</v>
      </c>
      <c r="BG191" s="58">
        <f t="shared" si="28"/>
        <v>0</v>
      </c>
      <c r="BH191" s="58">
        <f t="shared" si="29"/>
        <v>0</v>
      </c>
      <c r="BI191" s="58">
        <f t="shared" si="30"/>
        <v>0</v>
      </c>
      <c r="BJ191" s="58">
        <f t="shared" si="31"/>
        <v>0</v>
      </c>
      <c r="BK191" s="58">
        <f t="shared" si="32"/>
        <v>8</v>
      </c>
    </row>
    <row r="192" spans="1:63" ht="27" customHeight="1">
      <c r="A192" s="13">
        <f t="shared" si="33"/>
        <v>190</v>
      </c>
      <c r="B192" s="14" t="s">
        <v>1557</v>
      </c>
      <c r="C192" s="10">
        <v>1665</v>
      </c>
      <c r="D192" s="76" t="s">
        <v>1558</v>
      </c>
      <c r="E192" s="85">
        <v>130015349</v>
      </c>
      <c r="F192" s="78" t="s">
        <v>195</v>
      </c>
      <c r="G192" s="79" t="s">
        <v>1559</v>
      </c>
      <c r="H192" s="15" t="s">
        <v>699</v>
      </c>
      <c r="I192" s="16" t="s">
        <v>1560</v>
      </c>
      <c r="J192" s="80" t="s">
        <v>209</v>
      </c>
      <c r="K192" s="24">
        <v>22819</v>
      </c>
      <c r="L192" s="82" t="s">
        <v>179</v>
      </c>
      <c r="M192" s="25">
        <v>42657</v>
      </c>
      <c r="N192" s="25"/>
      <c r="O192" s="17" t="s">
        <v>34</v>
      </c>
      <c r="P192" s="18" t="s">
        <v>1561</v>
      </c>
      <c r="Q192" s="18" t="s">
        <v>181</v>
      </c>
      <c r="R192" s="17" t="s">
        <v>182</v>
      </c>
      <c r="S192" s="13" t="s">
        <v>331</v>
      </c>
      <c r="T192" s="175"/>
      <c r="U192" s="175"/>
      <c r="V192" s="21" t="s">
        <v>200</v>
      </c>
      <c r="W192" s="21">
        <v>4701</v>
      </c>
      <c r="X192" s="1">
        <v>6</v>
      </c>
      <c r="Y192" s="176" t="s">
        <v>184</v>
      </c>
      <c r="Z192" s="86"/>
      <c r="AA192" s="86" t="s">
        <v>186</v>
      </c>
      <c r="AB192" s="1"/>
      <c r="AC192" s="177" t="s">
        <v>138</v>
      </c>
      <c r="AD192" s="115"/>
      <c r="AE192" s="115"/>
      <c r="AF192" s="124"/>
      <c r="AG192" s="122"/>
      <c r="AH192" s="178"/>
      <c r="AI192" s="178"/>
      <c r="AJ192" s="21" t="s">
        <v>203</v>
      </c>
      <c r="AK192" s="21" t="s">
        <v>190</v>
      </c>
      <c r="AL192" s="21" t="s">
        <v>190</v>
      </c>
      <c r="AM192" s="123" t="s">
        <v>1562</v>
      </c>
      <c r="AN192" s="22">
        <v>182</v>
      </c>
      <c r="AO192" s="22">
        <v>4</v>
      </c>
      <c r="AP192" s="22">
        <v>0</v>
      </c>
      <c r="AQ192" s="22">
        <v>0</v>
      </c>
      <c r="AR192" s="22">
        <v>0</v>
      </c>
      <c r="AS192" s="22">
        <v>7</v>
      </c>
      <c r="AT192" s="22">
        <v>10</v>
      </c>
      <c r="AU192" s="316">
        <f t="shared" si="23"/>
        <v>203</v>
      </c>
      <c r="AV192" s="22">
        <v>190</v>
      </c>
      <c r="AW192" s="22">
        <v>4</v>
      </c>
      <c r="AX192" s="22">
        <v>0</v>
      </c>
      <c r="AY192" s="22">
        <v>0</v>
      </c>
      <c r="AZ192" s="22">
        <v>0</v>
      </c>
      <c r="BA192" s="22">
        <v>7</v>
      </c>
      <c r="BB192" s="22">
        <v>10</v>
      </c>
      <c r="BC192" s="316">
        <f t="shared" si="24"/>
        <v>211</v>
      </c>
      <c r="BD192" s="58">
        <f t="shared" si="25"/>
        <v>8</v>
      </c>
      <c r="BE192" s="58">
        <f t="shared" si="26"/>
        <v>0</v>
      </c>
      <c r="BF192" s="58">
        <f t="shared" si="27"/>
        <v>0</v>
      </c>
      <c r="BG192" s="58">
        <f t="shared" si="28"/>
        <v>0</v>
      </c>
      <c r="BH192" s="58">
        <f t="shared" si="29"/>
        <v>0</v>
      </c>
      <c r="BI192" s="58">
        <f t="shared" si="30"/>
        <v>0</v>
      </c>
      <c r="BJ192" s="58">
        <f t="shared" si="31"/>
        <v>0</v>
      </c>
      <c r="BK192" s="58">
        <f t="shared" si="32"/>
        <v>8</v>
      </c>
    </row>
    <row r="193" spans="1:63" ht="27" customHeight="1">
      <c r="A193" s="13">
        <f t="shared" si="33"/>
        <v>191</v>
      </c>
      <c r="B193" s="14" t="s">
        <v>1563</v>
      </c>
      <c r="C193" s="10">
        <v>1668</v>
      </c>
      <c r="D193" s="76" t="s">
        <v>1564</v>
      </c>
      <c r="E193" s="85">
        <v>90505352</v>
      </c>
      <c r="F193" s="78" t="s">
        <v>1565</v>
      </c>
      <c r="G193" s="79" t="s">
        <v>1566</v>
      </c>
      <c r="H193" s="15" t="s">
        <v>484</v>
      </c>
      <c r="I193" s="16" t="s">
        <v>1567</v>
      </c>
      <c r="J193" s="80" t="s">
        <v>178</v>
      </c>
      <c r="K193" s="24">
        <v>28927</v>
      </c>
      <c r="L193" s="82" t="s">
        <v>179</v>
      </c>
      <c r="M193" s="25">
        <v>42656</v>
      </c>
      <c r="N193" s="25"/>
      <c r="O193" s="17" t="s">
        <v>34</v>
      </c>
      <c r="P193" s="18" t="s">
        <v>301</v>
      </c>
      <c r="Q193" s="18" t="s">
        <v>181</v>
      </c>
      <c r="R193" s="17" t="s">
        <v>182</v>
      </c>
      <c r="S193" s="17" t="s">
        <v>727</v>
      </c>
      <c r="T193" s="175"/>
      <c r="U193" s="175"/>
      <c r="V193" s="21" t="s">
        <v>200</v>
      </c>
      <c r="W193" s="21">
        <v>958</v>
      </c>
      <c r="X193" s="1">
        <v>3</v>
      </c>
      <c r="Y193" s="176" t="s">
        <v>1568</v>
      </c>
      <c r="Z193" s="86"/>
      <c r="AA193" s="86" t="s">
        <v>186</v>
      </c>
      <c r="AB193" s="1"/>
      <c r="AC193" s="177" t="s">
        <v>1191</v>
      </c>
      <c r="AD193" s="115" t="s">
        <v>189</v>
      </c>
      <c r="AE193" s="115"/>
      <c r="AF193" s="124"/>
      <c r="AG193" s="122"/>
      <c r="AH193" s="178"/>
      <c r="AI193" s="178"/>
      <c r="AJ193" s="21" t="s">
        <v>203</v>
      </c>
      <c r="AK193" s="21" t="s">
        <v>190</v>
      </c>
      <c r="AL193" s="21" t="s">
        <v>190</v>
      </c>
      <c r="AM193" s="123" t="s">
        <v>1489</v>
      </c>
      <c r="AN193" s="22">
        <v>182</v>
      </c>
      <c r="AO193" s="22">
        <v>4</v>
      </c>
      <c r="AP193" s="22">
        <v>0</v>
      </c>
      <c r="AQ193" s="22">
        <v>0</v>
      </c>
      <c r="AR193" s="22">
        <v>0</v>
      </c>
      <c r="AS193" s="22">
        <v>7</v>
      </c>
      <c r="AT193" s="22">
        <v>10</v>
      </c>
      <c r="AU193" s="316">
        <f t="shared" si="23"/>
        <v>203</v>
      </c>
      <c r="AV193" s="22">
        <v>190</v>
      </c>
      <c r="AW193" s="22">
        <v>4</v>
      </c>
      <c r="AX193" s="22">
        <v>0</v>
      </c>
      <c r="AY193" s="22">
        <v>0</v>
      </c>
      <c r="AZ193" s="22">
        <v>0</v>
      </c>
      <c r="BA193" s="22">
        <v>7</v>
      </c>
      <c r="BB193" s="22">
        <v>10</v>
      </c>
      <c r="BC193" s="316">
        <f t="shared" si="24"/>
        <v>211</v>
      </c>
      <c r="BD193" s="58">
        <f t="shared" si="25"/>
        <v>8</v>
      </c>
      <c r="BE193" s="58">
        <f t="shared" si="26"/>
        <v>0</v>
      </c>
      <c r="BF193" s="58">
        <f t="shared" si="27"/>
        <v>0</v>
      </c>
      <c r="BG193" s="58">
        <f t="shared" si="28"/>
        <v>0</v>
      </c>
      <c r="BH193" s="58">
        <f t="shared" si="29"/>
        <v>0</v>
      </c>
      <c r="BI193" s="58">
        <f t="shared" si="30"/>
        <v>0</v>
      </c>
      <c r="BJ193" s="58">
        <f t="shared" si="31"/>
        <v>0</v>
      </c>
      <c r="BK193" s="58">
        <f t="shared" si="32"/>
        <v>8</v>
      </c>
    </row>
    <row r="194" spans="1:63" ht="27" customHeight="1">
      <c r="A194" s="13">
        <f t="shared" si="33"/>
        <v>192</v>
      </c>
      <c r="B194" s="14" t="s">
        <v>1569</v>
      </c>
      <c r="C194" s="10">
        <v>1653</v>
      </c>
      <c r="D194" s="76" t="s">
        <v>1570</v>
      </c>
      <c r="E194" s="85">
        <v>61461668</v>
      </c>
      <c r="F194" s="78" t="s">
        <v>360</v>
      </c>
      <c r="G194" s="79" t="s">
        <v>1571</v>
      </c>
      <c r="H194" s="15" t="s">
        <v>581</v>
      </c>
      <c r="I194" s="16" t="s">
        <v>1572</v>
      </c>
      <c r="J194" s="80" t="s">
        <v>178</v>
      </c>
      <c r="K194" s="24">
        <v>34588</v>
      </c>
      <c r="L194" s="82" t="s">
        <v>179</v>
      </c>
      <c r="M194" s="25">
        <v>42656</v>
      </c>
      <c r="N194" s="25"/>
      <c r="O194" s="17" t="s">
        <v>26</v>
      </c>
      <c r="P194" s="18" t="s">
        <v>27</v>
      </c>
      <c r="Q194" s="18" t="s">
        <v>181</v>
      </c>
      <c r="R194" s="17" t="s">
        <v>182</v>
      </c>
      <c r="S194" s="19" t="s">
        <v>183</v>
      </c>
      <c r="T194" s="175"/>
      <c r="U194" s="175"/>
      <c r="V194" s="21" t="s">
        <v>200</v>
      </c>
      <c r="W194" s="21">
        <v>527</v>
      </c>
      <c r="X194" s="1">
        <v>10</v>
      </c>
      <c r="Y194" s="176" t="s">
        <v>1573</v>
      </c>
      <c r="Z194" s="86"/>
      <c r="AA194" s="86" t="s">
        <v>186</v>
      </c>
      <c r="AB194" s="1"/>
      <c r="AC194" s="177" t="s">
        <v>1574</v>
      </c>
      <c r="AD194" s="115"/>
      <c r="AE194" s="115"/>
      <c r="AF194" s="124"/>
      <c r="AG194" s="122"/>
      <c r="AH194" s="178"/>
      <c r="AI194" s="178"/>
      <c r="AJ194" s="21" t="s">
        <v>203</v>
      </c>
      <c r="AK194" s="21" t="s">
        <v>190</v>
      </c>
      <c r="AL194" s="21" t="s">
        <v>190</v>
      </c>
      <c r="AM194" s="123" t="s">
        <v>1234</v>
      </c>
      <c r="AN194" s="22">
        <v>182</v>
      </c>
      <c r="AO194" s="22">
        <v>4</v>
      </c>
      <c r="AP194" s="22">
        <v>0</v>
      </c>
      <c r="AQ194" s="22">
        <v>20</v>
      </c>
      <c r="AR194" s="22">
        <v>0</v>
      </c>
      <c r="AS194" s="22">
        <v>7</v>
      </c>
      <c r="AT194" s="22">
        <v>10</v>
      </c>
      <c r="AU194" s="316">
        <f t="shared" si="23"/>
        <v>223</v>
      </c>
      <c r="AV194" s="22">
        <v>190</v>
      </c>
      <c r="AW194" s="22">
        <v>4</v>
      </c>
      <c r="AX194" s="22">
        <v>0</v>
      </c>
      <c r="AY194" s="22">
        <v>20</v>
      </c>
      <c r="AZ194" s="22">
        <v>0</v>
      </c>
      <c r="BA194" s="22">
        <v>7</v>
      </c>
      <c r="BB194" s="22">
        <v>10</v>
      </c>
      <c r="BC194" s="316">
        <f t="shared" si="24"/>
        <v>231</v>
      </c>
      <c r="BD194" s="58">
        <f t="shared" si="25"/>
        <v>8</v>
      </c>
      <c r="BE194" s="58">
        <f t="shared" si="26"/>
        <v>0</v>
      </c>
      <c r="BF194" s="58">
        <f t="shared" si="27"/>
        <v>0</v>
      </c>
      <c r="BG194" s="58">
        <f t="shared" si="28"/>
        <v>0</v>
      </c>
      <c r="BH194" s="58">
        <f t="shared" si="29"/>
        <v>0</v>
      </c>
      <c r="BI194" s="58">
        <f t="shared" si="30"/>
        <v>0</v>
      </c>
      <c r="BJ194" s="58">
        <f t="shared" si="31"/>
        <v>0</v>
      </c>
      <c r="BK194" s="58">
        <f t="shared" si="32"/>
        <v>8</v>
      </c>
    </row>
    <row r="195" spans="1:63" ht="27" customHeight="1">
      <c r="A195" s="13">
        <f t="shared" si="33"/>
        <v>193</v>
      </c>
      <c r="B195" s="14" t="s">
        <v>1575</v>
      </c>
      <c r="C195" s="10">
        <v>1666</v>
      </c>
      <c r="D195" s="76" t="s">
        <v>1576</v>
      </c>
      <c r="E195" s="85">
        <v>130107622</v>
      </c>
      <c r="F195" s="78" t="s">
        <v>860</v>
      </c>
      <c r="G195" s="79" t="s">
        <v>1577</v>
      </c>
      <c r="H195" s="15" t="s">
        <v>1578</v>
      </c>
      <c r="I195" s="16" t="s">
        <v>1579</v>
      </c>
      <c r="J195" s="80" t="s">
        <v>178</v>
      </c>
      <c r="K195" s="24">
        <v>29900</v>
      </c>
      <c r="L195" s="82" t="s">
        <v>179</v>
      </c>
      <c r="M195" s="25">
        <v>42656</v>
      </c>
      <c r="N195" s="25"/>
      <c r="O195" s="17" t="s">
        <v>34</v>
      </c>
      <c r="P195" s="18" t="s">
        <v>512</v>
      </c>
      <c r="Q195" s="18" t="s">
        <v>181</v>
      </c>
      <c r="R195" s="17" t="s">
        <v>182</v>
      </c>
      <c r="S195" s="19" t="s">
        <v>256</v>
      </c>
      <c r="T195" s="175"/>
      <c r="U195" s="175"/>
      <c r="V195" s="21" t="s">
        <v>200</v>
      </c>
      <c r="W195" s="21" t="s">
        <v>184</v>
      </c>
      <c r="X195" s="1">
        <v>5</v>
      </c>
      <c r="Y195" s="176" t="s">
        <v>1580</v>
      </c>
      <c r="Z195" s="86"/>
      <c r="AA195" s="86" t="s">
        <v>186</v>
      </c>
      <c r="AB195" s="1"/>
      <c r="AC195" s="177" t="s">
        <v>1581</v>
      </c>
      <c r="AD195" s="115"/>
      <c r="AE195" s="115"/>
      <c r="AF195" s="124"/>
      <c r="AG195" s="122"/>
      <c r="AH195" s="178"/>
      <c r="AI195" s="178"/>
      <c r="AJ195" s="21" t="s">
        <v>203</v>
      </c>
      <c r="AK195" s="21" t="s">
        <v>190</v>
      </c>
      <c r="AL195" s="21" t="s">
        <v>190</v>
      </c>
      <c r="AM195" s="123" t="s">
        <v>1582</v>
      </c>
      <c r="AN195" s="22">
        <v>182</v>
      </c>
      <c r="AO195" s="22">
        <v>4</v>
      </c>
      <c r="AP195" s="22">
        <v>0</v>
      </c>
      <c r="AQ195" s="22">
        <v>0</v>
      </c>
      <c r="AR195" s="22">
        <v>0</v>
      </c>
      <c r="AS195" s="22">
        <v>7</v>
      </c>
      <c r="AT195" s="22">
        <v>10</v>
      </c>
      <c r="AU195" s="316">
        <f t="shared" si="23"/>
        <v>203</v>
      </c>
      <c r="AV195" s="22">
        <v>190</v>
      </c>
      <c r="AW195" s="22">
        <v>4</v>
      </c>
      <c r="AX195" s="22">
        <v>0</v>
      </c>
      <c r="AY195" s="22">
        <v>0</v>
      </c>
      <c r="AZ195" s="22">
        <v>0</v>
      </c>
      <c r="BA195" s="22">
        <v>7</v>
      </c>
      <c r="BB195" s="22">
        <v>10</v>
      </c>
      <c r="BC195" s="316">
        <f t="shared" si="24"/>
        <v>211</v>
      </c>
      <c r="BD195" s="58">
        <f t="shared" si="25"/>
        <v>8</v>
      </c>
      <c r="BE195" s="58">
        <f t="shared" si="26"/>
        <v>0</v>
      </c>
      <c r="BF195" s="58">
        <f t="shared" si="27"/>
        <v>0</v>
      </c>
      <c r="BG195" s="58">
        <f t="shared" si="28"/>
        <v>0</v>
      </c>
      <c r="BH195" s="58">
        <f t="shared" si="29"/>
        <v>0</v>
      </c>
      <c r="BI195" s="58">
        <f t="shared" si="30"/>
        <v>0</v>
      </c>
      <c r="BJ195" s="58">
        <f t="shared" si="31"/>
        <v>0</v>
      </c>
      <c r="BK195" s="58">
        <f t="shared" si="32"/>
        <v>8</v>
      </c>
    </row>
    <row r="196" spans="1:63" ht="27" customHeight="1">
      <c r="A196" s="13">
        <f t="shared" si="33"/>
        <v>194</v>
      </c>
      <c r="B196" s="14" t="s">
        <v>1583</v>
      </c>
      <c r="C196" s="10">
        <v>1654</v>
      </c>
      <c r="D196" s="119" t="s">
        <v>1584</v>
      </c>
      <c r="E196" s="85">
        <v>110417581</v>
      </c>
      <c r="F196" s="78" t="s">
        <v>1585</v>
      </c>
      <c r="G196" s="79" t="s">
        <v>1586</v>
      </c>
      <c r="H196" s="15" t="s">
        <v>1587</v>
      </c>
      <c r="I196" s="16" t="s">
        <v>1419</v>
      </c>
      <c r="J196" s="80" t="s">
        <v>178</v>
      </c>
      <c r="K196" s="24">
        <v>34462</v>
      </c>
      <c r="L196" s="82" t="s">
        <v>179</v>
      </c>
      <c r="M196" s="25">
        <v>42657</v>
      </c>
      <c r="N196" s="25"/>
      <c r="O196" s="17" t="s">
        <v>34</v>
      </c>
      <c r="P196" s="18" t="s">
        <v>1281</v>
      </c>
      <c r="Q196" s="18" t="s">
        <v>181</v>
      </c>
      <c r="R196" s="17" t="s">
        <v>182</v>
      </c>
      <c r="S196" s="13" t="s">
        <v>228</v>
      </c>
      <c r="T196" s="175"/>
      <c r="U196" s="175"/>
      <c r="V196" s="21" t="s">
        <v>184</v>
      </c>
      <c r="W196" s="21" t="s">
        <v>184</v>
      </c>
      <c r="X196" s="1">
        <v>7</v>
      </c>
      <c r="Y196" s="176" t="s">
        <v>1588</v>
      </c>
      <c r="Z196" s="86"/>
      <c r="AA196" s="86" t="s">
        <v>186</v>
      </c>
      <c r="AB196" s="1"/>
      <c r="AC196" s="177" t="s">
        <v>1589</v>
      </c>
      <c r="AD196" s="115"/>
      <c r="AE196" s="115"/>
      <c r="AF196" s="124"/>
      <c r="AG196" s="122"/>
      <c r="AH196" s="178"/>
      <c r="AI196" s="178"/>
      <c r="AJ196" s="21" t="s">
        <v>203</v>
      </c>
      <c r="AK196" s="21" t="s">
        <v>190</v>
      </c>
      <c r="AL196" s="21" t="s">
        <v>190</v>
      </c>
      <c r="AM196" s="123" t="s">
        <v>1234</v>
      </c>
      <c r="AN196" s="22">
        <v>182</v>
      </c>
      <c r="AO196" s="22">
        <v>4</v>
      </c>
      <c r="AP196" s="22">
        <v>20</v>
      </c>
      <c r="AQ196" s="22">
        <v>0</v>
      </c>
      <c r="AR196" s="22">
        <v>0</v>
      </c>
      <c r="AS196" s="22">
        <v>7</v>
      </c>
      <c r="AT196" s="22">
        <v>10</v>
      </c>
      <c r="AU196" s="316">
        <f t="shared" ref="AU196:AU259" si="34">SUM(AN196:AT196)</f>
        <v>223</v>
      </c>
      <c r="AV196" s="22">
        <v>190</v>
      </c>
      <c r="AW196" s="22">
        <v>4</v>
      </c>
      <c r="AX196" s="22">
        <v>20</v>
      </c>
      <c r="AY196" s="22">
        <v>0</v>
      </c>
      <c r="AZ196" s="22">
        <v>0</v>
      </c>
      <c r="BA196" s="22">
        <v>7</v>
      </c>
      <c r="BB196" s="22">
        <v>10</v>
      </c>
      <c r="BC196" s="316">
        <f t="shared" ref="BC196:BC259" si="35">SUM(AV196:BB196)</f>
        <v>231</v>
      </c>
      <c r="BD196" s="58">
        <f t="shared" ref="BD196:BD259" si="36">AV196-AN196</f>
        <v>8</v>
      </c>
      <c r="BE196" s="58">
        <f t="shared" ref="BE196:BE259" si="37">AW196-AO196</f>
        <v>0</v>
      </c>
      <c r="BF196" s="58">
        <f t="shared" ref="BF196:BF259" si="38">AX196-AP196</f>
        <v>0</v>
      </c>
      <c r="BG196" s="58">
        <f t="shared" ref="BG196:BG259" si="39">AY196-AQ196</f>
        <v>0</v>
      </c>
      <c r="BH196" s="58">
        <f t="shared" ref="BH196:BH259" si="40">AZ196-AR196</f>
        <v>0</v>
      </c>
      <c r="BI196" s="58">
        <f t="shared" ref="BI196:BI259" si="41">BA196-AS196</f>
        <v>0</v>
      </c>
      <c r="BJ196" s="58">
        <f t="shared" ref="BJ196:BJ259" si="42">BB196-AT196</f>
        <v>0</v>
      </c>
      <c r="BK196" s="58">
        <f t="shared" ref="BK196:BK259" si="43">BC196-AU196</f>
        <v>8</v>
      </c>
    </row>
    <row r="197" spans="1:63" ht="27" customHeight="1">
      <c r="A197" s="13">
        <f t="shared" ref="A197:A260" si="44">1+A196</f>
        <v>195</v>
      </c>
      <c r="B197" s="14" t="s">
        <v>1590</v>
      </c>
      <c r="C197" s="10">
        <v>1689</v>
      </c>
      <c r="D197" s="76" t="s">
        <v>1591</v>
      </c>
      <c r="E197" s="85">
        <v>130113789</v>
      </c>
      <c r="F197" s="78" t="s">
        <v>1123</v>
      </c>
      <c r="G197" s="79" t="s">
        <v>1592</v>
      </c>
      <c r="H197" s="15" t="s">
        <v>1125</v>
      </c>
      <c r="I197" s="16" t="s">
        <v>1593</v>
      </c>
      <c r="J197" s="80" t="s">
        <v>178</v>
      </c>
      <c r="K197" s="24">
        <v>31417</v>
      </c>
      <c r="L197" s="82" t="s">
        <v>179</v>
      </c>
      <c r="M197" s="25">
        <v>42657</v>
      </c>
      <c r="N197" s="25"/>
      <c r="O197" s="17" t="s">
        <v>34</v>
      </c>
      <c r="P197" s="18" t="s">
        <v>301</v>
      </c>
      <c r="Q197" s="18" t="s">
        <v>181</v>
      </c>
      <c r="R197" s="19" t="s">
        <v>182</v>
      </c>
      <c r="S197" s="19" t="s">
        <v>183</v>
      </c>
      <c r="T197" s="20"/>
      <c r="U197" s="20"/>
      <c r="V197" s="84" t="s">
        <v>200</v>
      </c>
      <c r="W197" s="84" t="s">
        <v>184</v>
      </c>
      <c r="X197" s="84" t="s">
        <v>184</v>
      </c>
      <c r="Y197" s="85" t="s">
        <v>1594</v>
      </c>
      <c r="Z197" s="86"/>
      <c r="AA197" s="86" t="s">
        <v>186</v>
      </c>
      <c r="AB197" s="1"/>
      <c r="AC197" s="177" t="s">
        <v>1574</v>
      </c>
      <c r="AD197" s="115"/>
      <c r="AE197" s="115"/>
      <c r="AF197" s="124"/>
      <c r="AG197" s="122"/>
      <c r="AH197" s="178"/>
      <c r="AI197" s="178"/>
      <c r="AJ197" s="21" t="s">
        <v>203</v>
      </c>
      <c r="AK197" s="21" t="s">
        <v>190</v>
      </c>
      <c r="AL197" s="21" t="s">
        <v>190</v>
      </c>
      <c r="AM197" s="123" t="s">
        <v>1539</v>
      </c>
      <c r="AN197" s="22">
        <v>182</v>
      </c>
      <c r="AO197" s="22">
        <v>4</v>
      </c>
      <c r="AP197" s="22">
        <v>0</v>
      </c>
      <c r="AQ197" s="22">
        <v>30</v>
      </c>
      <c r="AR197" s="22">
        <v>0</v>
      </c>
      <c r="AS197" s="22">
        <v>7</v>
      </c>
      <c r="AT197" s="22">
        <v>10</v>
      </c>
      <c r="AU197" s="316">
        <f t="shared" si="34"/>
        <v>233</v>
      </c>
      <c r="AV197" s="22">
        <v>190</v>
      </c>
      <c r="AW197" s="22">
        <v>4</v>
      </c>
      <c r="AX197" s="22">
        <v>0</v>
      </c>
      <c r="AY197" s="22">
        <v>30</v>
      </c>
      <c r="AZ197" s="22">
        <v>0</v>
      </c>
      <c r="BA197" s="22">
        <v>7</v>
      </c>
      <c r="BB197" s="22">
        <v>10</v>
      </c>
      <c r="BC197" s="316">
        <f t="shared" si="35"/>
        <v>241</v>
      </c>
      <c r="BD197" s="58">
        <f t="shared" si="36"/>
        <v>8</v>
      </c>
      <c r="BE197" s="58">
        <f t="shared" si="37"/>
        <v>0</v>
      </c>
      <c r="BF197" s="58">
        <f t="shared" si="38"/>
        <v>0</v>
      </c>
      <c r="BG197" s="58">
        <f t="shared" si="39"/>
        <v>0</v>
      </c>
      <c r="BH197" s="58">
        <f t="shared" si="40"/>
        <v>0</v>
      </c>
      <c r="BI197" s="58">
        <f t="shared" si="41"/>
        <v>0</v>
      </c>
      <c r="BJ197" s="58">
        <f t="shared" si="42"/>
        <v>0</v>
      </c>
      <c r="BK197" s="58">
        <f t="shared" si="43"/>
        <v>8</v>
      </c>
    </row>
    <row r="198" spans="1:63" ht="27" customHeight="1">
      <c r="A198" s="13">
        <f t="shared" si="44"/>
        <v>196</v>
      </c>
      <c r="B198" s="14" t="s">
        <v>1595</v>
      </c>
      <c r="C198" s="10">
        <v>1659</v>
      </c>
      <c r="D198" s="76" t="s">
        <v>1596</v>
      </c>
      <c r="E198" s="85">
        <v>50645484</v>
      </c>
      <c r="F198" s="78" t="s">
        <v>1171</v>
      </c>
      <c r="G198" s="79" t="s">
        <v>1597</v>
      </c>
      <c r="H198" s="15" t="s">
        <v>1173</v>
      </c>
      <c r="I198" s="16" t="s">
        <v>1598</v>
      </c>
      <c r="J198" s="80" t="s">
        <v>178</v>
      </c>
      <c r="K198" s="24">
        <v>33027</v>
      </c>
      <c r="L198" s="82" t="s">
        <v>179</v>
      </c>
      <c r="M198" s="25">
        <v>42656</v>
      </c>
      <c r="N198" s="25"/>
      <c r="O198" s="17" t="s">
        <v>34</v>
      </c>
      <c r="P198" s="18" t="s">
        <v>512</v>
      </c>
      <c r="Q198" s="18" t="s">
        <v>181</v>
      </c>
      <c r="R198" s="17" t="s">
        <v>182</v>
      </c>
      <c r="S198" s="13" t="s">
        <v>219</v>
      </c>
      <c r="T198" s="175"/>
      <c r="U198" s="175"/>
      <c r="V198" s="21" t="s">
        <v>200</v>
      </c>
      <c r="W198" s="21">
        <v>4580</v>
      </c>
      <c r="X198" s="1">
        <v>6</v>
      </c>
      <c r="Y198" s="176" t="s">
        <v>1599</v>
      </c>
      <c r="Z198" s="86"/>
      <c r="AA198" s="86" t="s">
        <v>186</v>
      </c>
      <c r="AB198" s="1"/>
      <c r="AC198" s="177" t="s">
        <v>387</v>
      </c>
      <c r="AD198" s="115"/>
      <c r="AE198" s="115"/>
      <c r="AF198" s="124"/>
      <c r="AG198" s="122"/>
      <c r="AH198" s="178"/>
      <c r="AI198" s="178"/>
      <c r="AJ198" s="21" t="s">
        <v>203</v>
      </c>
      <c r="AK198" s="21" t="s">
        <v>190</v>
      </c>
      <c r="AL198" s="21" t="s">
        <v>190</v>
      </c>
      <c r="AM198" s="123" t="s">
        <v>1600</v>
      </c>
      <c r="AN198" s="22">
        <v>182</v>
      </c>
      <c r="AO198" s="22">
        <v>4</v>
      </c>
      <c r="AP198" s="22">
        <v>0</v>
      </c>
      <c r="AQ198" s="22">
        <v>0</v>
      </c>
      <c r="AR198" s="22">
        <v>0</v>
      </c>
      <c r="AS198" s="22">
        <v>7</v>
      </c>
      <c r="AT198" s="22">
        <v>10</v>
      </c>
      <c r="AU198" s="316">
        <f t="shared" si="34"/>
        <v>203</v>
      </c>
      <c r="AV198" s="22">
        <v>190</v>
      </c>
      <c r="AW198" s="22">
        <v>4</v>
      </c>
      <c r="AX198" s="22">
        <v>0</v>
      </c>
      <c r="AY198" s="22">
        <v>0</v>
      </c>
      <c r="AZ198" s="22">
        <v>0</v>
      </c>
      <c r="BA198" s="22">
        <v>7</v>
      </c>
      <c r="BB198" s="22">
        <v>10</v>
      </c>
      <c r="BC198" s="316">
        <f t="shared" si="35"/>
        <v>211</v>
      </c>
      <c r="BD198" s="58">
        <f t="shared" si="36"/>
        <v>8</v>
      </c>
      <c r="BE198" s="58">
        <f t="shared" si="37"/>
        <v>0</v>
      </c>
      <c r="BF198" s="58">
        <f t="shared" si="38"/>
        <v>0</v>
      </c>
      <c r="BG198" s="58">
        <f t="shared" si="39"/>
        <v>0</v>
      </c>
      <c r="BH198" s="58">
        <f t="shared" si="40"/>
        <v>0</v>
      </c>
      <c r="BI198" s="58">
        <f t="shared" si="41"/>
        <v>0</v>
      </c>
      <c r="BJ198" s="58">
        <f t="shared" si="42"/>
        <v>0</v>
      </c>
      <c r="BK198" s="58">
        <f t="shared" si="43"/>
        <v>8</v>
      </c>
    </row>
    <row r="199" spans="1:63" ht="27" customHeight="1">
      <c r="A199" s="13">
        <f t="shared" si="44"/>
        <v>197</v>
      </c>
      <c r="B199" s="14" t="s">
        <v>1601</v>
      </c>
      <c r="C199" s="10">
        <v>1696</v>
      </c>
      <c r="D199" s="90" t="s">
        <v>1602</v>
      </c>
      <c r="E199" s="85">
        <v>50105734</v>
      </c>
      <c r="F199" s="78" t="s">
        <v>1603</v>
      </c>
      <c r="G199" s="79" t="s">
        <v>1604</v>
      </c>
      <c r="H199" s="15" t="s">
        <v>1605</v>
      </c>
      <c r="I199" s="16" t="s">
        <v>1606</v>
      </c>
      <c r="J199" s="80" t="s">
        <v>178</v>
      </c>
      <c r="K199" s="24">
        <v>30377</v>
      </c>
      <c r="L199" s="82" t="s">
        <v>179</v>
      </c>
      <c r="M199" s="25">
        <v>42660</v>
      </c>
      <c r="N199" s="25"/>
      <c r="O199" s="17" t="s">
        <v>34</v>
      </c>
      <c r="P199" s="18" t="s">
        <v>265</v>
      </c>
      <c r="Q199" s="18" t="s">
        <v>181</v>
      </c>
      <c r="R199" s="17" t="s">
        <v>182</v>
      </c>
      <c r="S199" s="13" t="s">
        <v>219</v>
      </c>
      <c r="T199" s="175"/>
      <c r="U199" s="175"/>
      <c r="V199" s="21" t="s">
        <v>200</v>
      </c>
      <c r="W199" s="21" t="s">
        <v>184</v>
      </c>
      <c r="X199" s="1">
        <v>5</v>
      </c>
      <c r="Y199" s="176" t="s">
        <v>1607</v>
      </c>
      <c r="Z199" s="86"/>
      <c r="AA199" s="86"/>
      <c r="AB199" s="86" t="s">
        <v>186</v>
      </c>
      <c r="AC199" s="177"/>
      <c r="AD199" s="115" t="s">
        <v>189</v>
      </c>
      <c r="AE199" s="115" t="s">
        <v>189</v>
      </c>
      <c r="AF199" s="124"/>
      <c r="AG199" s="122"/>
      <c r="AH199" s="178"/>
      <c r="AI199" s="178"/>
      <c r="AJ199" s="21" t="s">
        <v>203</v>
      </c>
      <c r="AK199" s="21" t="s">
        <v>190</v>
      </c>
      <c r="AL199" s="21" t="s">
        <v>190</v>
      </c>
      <c r="AM199" s="123" t="s">
        <v>1546</v>
      </c>
      <c r="AN199" s="22">
        <v>182</v>
      </c>
      <c r="AO199" s="22">
        <v>0</v>
      </c>
      <c r="AP199" s="22">
        <v>0</v>
      </c>
      <c r="AQ199" s="22">
        <v>0</v>
      </c>
      <c r="AR199" s="22">
        <v>0</v>
      </c>
      <c r="AS199" s="22">
        <v>7</v>
      </c>
      <c r="AT199" s="22">
        <v>10</v>
      </c>
      <c r="AU199" s="316">
        <f t="shared" si="34"/>
        <v>199</v>
      </c>
      <c r="AV199" s="22">
        <v>190</v>
      </c>
      <c r="AW199" s="22">
        <v>0</v>
      </c>
      <c r="AX199" s="22">
        <v>0</v>
      </c>
      <c r="AY199" s="22">
        <v>0</v>
      </c>
      <c r="AZ199" s="22">
        <v>0</v>
      </c>
      <c r="BA199" s="22">
        <v>7</v>
      </c>
      <c r="BB199" s="22">
        <v>10</v>
      </c>
      <c r="BC199" s="316">
        <f t="shared" si="35"/>
        <v>207</v>
      </c>
      <c r="BD199" s="58">
        <f t="shared" si="36"/>
        <v>8</v>
      </c>
      <c r="BE199" s="58">
        <f t="shared" si="37"/>
        <v>0</v>
      </c>
      <c r="BF199" s="58">
        <f t="shared" si="38"/>
        <v>0</v>
      </c>
      <c r="BG199" s="58">
        <f t="shared" si="39"/>
        <v>0</v>
      </c>
      <c r="BH199" s="58">
        <f t="shared" si="40"/>
        <v>0</v>
      </c>
      <c r="BI199" s="58">
        <f t="shared" si="41"/>
        <v>0</v>
      </c>
      <c r="BJ199" s="58">
        <f t="shared" si="42"/>
        <v>0</v>
      </c>
      <c r="BK199" s="58">
        <f t="shared" si="43"/>
        <v>8</v>
      </c>
    </row>
    <row r="200" spans="1:63" ht="27" customHeight="1">
      <c r="A200" s="13">
        <f t="shared" si="44"/>
        <v>198</v>
      </c>
      <c r="B200" s="14" t="s">
        <v>1608</v>
      </c>
      <c r="C200" s="10">
        <v>1667</v>
      </c>
      <c r="D200" s="76" t="s">
        <v>1609</v>
      </c>
      <c r="E200" s="85">
        <v>51174117</v>
      </c>
      <c r="F200" s="78" t="s">
        <v>1610</v>
      </c>
      <c r="G200" s="79" t="s">
        <v>1611</v>
      </c>
      <c r="H200" s="15" t="s">
        <v>1612</v>
      </c>
      <c r="I200" s="16" t="s">
        <v>1613</v>
      </c>
      <c r="J200" s="80" t="s">
        <v>178</v>
      </c>
      <c r="K200" s="24">
        <v>31665</v>
      </c>
      <c r="L200" s="82" t="s">
        <v>179</v>
      </c>
      <c r="M200" s="25">
        <v>42657</v>
      </c>
      <c r="N200" s="25"/>
      <c r="O200" s="17" t="s">
        <v>34</v>
      </c>
      <c r="P200" s="18" t="s">
        <v>512</v>
      </c>
      <c r="Q200" s="18" t="s">
        <v>181</v>
      </c>
      <c r="R200" s="17" t="s">
        <v>182</v>
      </c>
      <c r="S200" s="13" t="s">
        <v>219</v>
      </c>
      <c r="T200" s="175"/>
      <c r="U200" s="175"/>
      <c r="V200" s="21" t="s">
        <v>200</v>
      </c>
      <c r="W200" s="21">
        <v>3505</v>
      </c>
      <c r="X200" s="1">
        <v>3</v>
      </c>
      <c r="Y200" s="176" t="s">
        <v>1614</v>
      </c>
      <c r="Z200" s="86"/>
      <c r="AA200" s="86" t="s">
        <v>186</v>
      </c>
      <c r="AB200" s="1"/>
      <c r="AC200" s="177" t="s">
        <v>1615</v>
      </c>
      <c r="AD200" s="115"/>
      <c r="AE200" s="115"/>
      <c r="AF200" s="124"/>
      <c r="AG200" s="122"/>
      <c r="AH200" s="178"/>
      <c r="AI200" s="178"/>
      <c r="AJ200" s="21" t="s">
        <v>203</v>
      </c>
      <c r="AK200" s="21" t="s">
        <v>190</v>
      </c>
      <c r="AL200" s="21" t="s">
        <v>190</v>
      </c>
      <c r="AM200" s="123" t="s">
        <v>1600</v>
      </c>
      <c r="AN200" s="22">
        <v>182</v>
      </c>
      <c r="AO200" s="22">
        <v>4</v>
      </c>
      <c r="AP200" s="22">
        <v>0</v>
      </c>
      <c r="AQ200" s="22">
        <v>0</v>
      </c>
      <c r="AR200" s="22">
        <v>0</v>
      </c>
      <c r="AS200" s="22">
        <v>7</v>
      </c>
      <c r="AT200" s="22">
        <v>10</v>
      </c>
      <c r="AU200" s="316">
        <f t="shared" si="34"/>
        <v>203</v>
      </c>
      <c r="AV200" s="22">
        <v>190</v>
      </c>
      <c r="AW200" s="22">
        <v>4</v>
      </c>
      <c r="AX200" s="22">
        <v>0</v>
      </c>
      <c r="AY200" s="22">
        <v>0</v>
      </c>
      <c r="AZ200" s="22">
        <v>0</v>
      </c>
      <c r="BA200" s="22">
        <v>7</v>
      </c>
      <c r="BB200" s="22">
        <v>10</v>
      </c>
      <c r="BC200" s="316">
        <f t="shared" si="35"/>
        <v>211</v>
      </c>
      <c r="BD200" s="58">
        <f t="shared" si="36"/>
        <v>8</v>
      </c>
      <c r="BE200" s="58">
        <f t="shared" si="37"/>
        <v>0</v>
      </c>
      <c r="BF200" s="58">
        <f t="shared" si="38"/>
        <v>0</v>
      </c>
      <c r="BG200" s="58">
        <f t="shared" si="39"/>
        <v>0</v>
      </c>
      <c r="BH200" s="58">
        <f t="shared" si="40"/>
        <v>0</v>
      </c>
      <c r="BI200" s="58">
        <f t="shared" si="41"/>
        <v>0</v>
      </c>
      <c r="BJ200" s="58">
        <f t="shared" si="42"/>
        <v>0</v>
      </c>
      <c r="BK200" s="58">
        <f t="shared" si="43"/>
        <v>8</v>
      </c>
    </row>
    <row r="201" spans="1:63" ht="27" customHeight="1">
      <c r="A201" s="13">
        <f t="shared" si="44"/>
        <v>199</v>
      </c>
      <c r="B201" s="14" t="s">
        <v>1616</v>
      </c>
      <c r="C201" s="10">
        <v>1700</v>
      </c>
      <c r="D201" s="90" t="s">
        <v>1617</v>
      </c>
      <c r="E201" s="85">
        <v>61725227</v>
      </c>
      <c r="F201" s="78" t="s">
        <v>1618</v>
      </c>
      <c r="G201" s="79" t="s">
        <v>1619</v>
      </c>
      <c r="H201" s="15" t="s">
        <v>22</v>
      </c>
      <c r="I201" s="16" t="s">
        <v>23</v>
      </c>
      <c r="J201" s="80" t="s">
        <v>209</v>
      </c>
      <c r="K201" s="24">
        <v>31093</v>
      </c>
      <c r="L201" s="82" t="s">
        <v>179</v>
      </c>
      <c r="M201" s="25">
        <v>42661</v>
      </c>
      <c r="N201" s="25"/>
      <c r="O201" s="17" t="s">
        <v>14</v>
      </c>
      <c r="P201" s="18" t="s">
        <v>15</v>
      </c>
      <c r="Q201" s="18" t="s">
        <v>181</v>
      </c>
      <c r="R201" s="17" t="s">
        <v>182</v>
      </c>
      <c r="S201" s="19" t="s">
        <v>183</v>
      </c>
      <c r="T201" s="175"/>
      <c r="U201" s="175"/>
      <c r="V201" s="21" t="s">
        <v>200</v>
      </c>
      <c r="W201" s="21">
        <v>1954</v>
      </c>
      <c r="X201" s="1">
        <v>7</v>
      </c>
      <c r="Y201" s="176" t="s">
        <v>1620</v>
      </c>
      <c r="Z201" s="86"/>
      <c r="AA201" s="86" t="s">
        <v>186</v>
      </c>
      <c r="AB201" s="1"/>
      <c r="AC201" s="177" t="s">
        <v>1621</v>
      </c>
      <c r="AD201" s="115"/>
      <c r="AE201" s="115"/>
      <c r="AF201" s="124"/>
      <c r="AG201" s="122"/>
      <c r="AH201" s="178"/>
      <c r="AI201" s="178"/>
      <c r="AJ201" s="21" t="s">
        <v>203</v>
      </c>
      <c r="AK201" s="21" t="s">
        <v>190</v>
      </c>
      <c r="AL201" s="21" t="s">
        <v>190</v>
      </c>
      <c r="AM201" s="123" t="s">
        <v>1539</v>
      </c>
      <c r="AN201" s="22">
        <v>182</v>
      </c>
      <c r="AO201" s="22">
        <v>4</v>
      </c>
      <c r="AP201" s="22">
        <v>0</v>
      </c>
      <c r="AQ201" s="22">
        <v>24</v>
      </c>
      <c r="AR201" s="22">
        <v>0</v>
      </c>
      <c r="AS201" s="22">
        <v>7</v>
      </c>
      <c r="AT201" s="22">
        <v>10</v>
      </c>
      <c r="AU201" s="316">
        <f t="shared" si="34"/>
        <v>227</v>
      </c>
      <c r="AV201" s="22">
        <v>190</v>
      </c>
      <c r="AW201" s="22">
        <v>4</v>
      </c>
      <c r="AX201" s="22">
        <v>0</v>
      </c>
      <c r="AY201" s="22">
        <v>24</v>
      </c>
      <c r="AZ201" s="22">
        <v>0</v>
      </c>
      <c r="BA201" s="22">
        <v>7</v>
      </c>
      <c r="BB201" s="22">
        <v>10</v>
      </c>
      <c r="BC201" s="316">
        <f t="shared" si="35"/>
        <v>235</v>
      </c>
      <c r="BD201" s="58">
        <f t="shared" si="36"/>
        <v>8</v>
      </c>
      <c r="BE201" s="58">
        <f t="shared" si="37"/>
        <v>0</v>
      </c>
      <c r="BF201" s="58">
        <f t="shared" si="38"/>
        <v>0</v>
      </c>
      <c r="BG201" s="58">
        <f t="shared" si="39"/>
        <v>0</v>
      </c>
      <c r="BH201" s="58">
        <f t="shared" si="40"/>
        <v>0</v>
      </c>
      <c r="BI201" s="58">
        <f t="shared" si="41"/>
        <v>0</v>
      </c>
      <c r="BJ201" s="58">
        <f t="shared" si="42"/>
        <v>0</v>
      </c>
      <c r="BK201" s="58">
        <f t="shared" si="43"/>
        <v>8</v>
      </c>
    </row>
    <row r="202" spans="1:63" ht="27" customHeight="1">
      <c r="A202" s="13">
        <f t="shared" si="44"/>
        <v>200</v>
      </c>
      <c r="B202" s="14" t="s">
        <v>1622</v>
      </c>
      <c r="C202" s="10">
        <v>1692</v>
      </c>
      <c r="D202" s="76" t="s">
        <v>1623</v>
      </c>
      <c r="E202" s="85">
        <v>61358412</v>
      </c>
      <c r="F202" s="78" t="s">
        <v>1624</v>
      </c>
      <c r="G202" s="79" t="s">
        <v>1625</v>
      </c>
      <c r="H202" s="15" t="s">
        <v>1626</v>
      </c>
      <c r="I202" s="16" t="s">
        <v>1627</v>
      </c>
      <c r="J202" s="80" t="s">
        <v>178</v>
      </c>
      <c r="K202" s="24">
        <v>34736</v>
      </c>
      <c r="L202" s="82" t="s">
        <v>179</v>
      </c>
      <c r="M202" s="25">
        <v>42657</v>
      </c>
      <c r="N202" s="25"/>
      <c r="O202" s="17" t="s">
        <v>34</v>
      </c>
      <c r="P202" s="18" t="s">
        <v>301</v>
      </c>
      <c r="Q202" s="18" t="s">
        <v>181</v>
      </c>
      <c r="R202" s="17" t="s">
        <v>182</v>
      </c>
      <c r="S202" s="19" t="s">
        <v>183</v>
      </c>
      <c r="T202" s="175"/>
      <c r="U202" s="175"/>
      <c r="V202" s="21" t="s">
        <v>184</v>
      </c>
      <c r="W202" s="21" t="s">
        <v>184</v>
      </c>
      <c r="X202" s="1">
        <v>8</v>
      </c>
      <c r="Y202" s="176" t="s">
        <v>1628</v>
      </c>
      <c r="Z202" s="86" t="s">
        <v>186</v>
      </c>
      <c r="AA202" s="86"/>
      <c r="AB202" s="1"/>
      <c r="AC202" s="177"/>
      <c r="AD202" s="115"/>
      <c r="AE202" s="115"/>
      <c r="AF202" s="124"/>
      <c r="AG202" s="122"/>
      <c r="AH202" s="178"/>
      <c r="AI202" s="178"/>
      <c r="AJ202" s="21" t="s">
        <v>203</v>
      </c>
      <c r="AK202" s="21" t="s">
        <v>190</v>
      </c>
      <c r="AL202" s="21" t="s">
        <v>190</v>
      </c>
      <c r="AM202" s="123" t="s">
        <v>1629</v>
      </c>
      <c r="AN202" s="22">
        <v>182</v>
      </c>
      <c r="AO202" s="22">
        <v>0</v>
      </c>
      <c r="AP202" s="22">
        <v>0</v>
      </c>
      <c r="AQ202" s="22">
        <v>0</v>
      </c>
      <c r="AR202" s="22">
        <v>0</v>
      </c>
      <c r="AS202" s="22">
        <v>7</v>
      </c>
      <c r="AT202" s="22">
        <v>10</v>
      </c>
      <c r="AU202" s="316">
        <f t="shared" si="34"/>
        <v>199</v>
      </c>
      <c r="AV202" s="22">
        <v>190</v>
      </c>
      <c r="AW202" s="22">
        <v>0</v>
      </c>
      <c r="AX202" s="22">
        <v>0</v>
      </c>
      <c r="AY202" s="22">
        <v>0</v>
      </c>
      <c r="AZ202" s="22">
        <v>0</v>
      </c>
      <c r="BA202" s="22">
        <v>7</v>
      </c>
      <c r="BB202" s="22">
        <v>10</v>
      </c>
      <c r="BC202" s="316">
        <f t="shared" si="35"/>
        <v>207</v>
      </c>
      <c r="BD202" s="58">
        <f t="shared" si="36"/>
        <v>8</v>
      </c>
      <c r="BE202" s="58">
        <f t="shared" si="37"/>
        <v>0</v>
      </c>
      <c r="BF202" s="58">
        <f t="shared" si="38"/>
        <v>0</v>
      </c>
      <c r="BG202" s="58">
        <f t="shared" si="39"/>
        <v>0</v>
      </c>
      <c r="BH202" s="58">
        <f t="shared" si="40"/>
        <v>0</v>
      </c>
      <c r="BI202" s="58">
        <f t="shared" si="41"/>
        <v>0</v>
      </c>
      <c r="BJ202" s="58">
        <f t="shared" si="42"/>
        <v>0</v>
      </c>
      <c r="BK202" s="58">
        <f t="shared" si="43"/>
        <v>8</v>
      </c>
    </row>
    <row r="203" spans="1:63" ht="27" customHeight="1">
      <c r="A203" s="13">
        <f t="shared" si="44"/>
        <v>201</v>
      </c>
      <c r="B203" s="14" t="s">
        <v>1630</v>
      </c>
      <c r="C203" s="10">
        <v>1710</v>
      </c>
      <c r="D203" s="90" t="s">
        <v>1631</v>
      </c>
      <c r="E203" s="85">
        <v>110182472</v>
      </c>
      <c r="F203" s="78" t="s">
        <v>261</v>
      </c>
      <c r="G203" s="79" t="s">
        <v>1124</v>
      </c>
      <c r="H203" s="15" t="s">
        <v>18</v>
      </c>
      <c r="I203" s="16" t="s">
        <v>1126</v>
      </c>
      <c r="J203" s="80" t="s">
        <v>178</v>
      </c>
      <c r="K203" s="24">
        <v>26342</v>
      </c>
      <c r="L203" s="82" t="s">
        <v>179</v>
      </c>
      <c r="M203" s="25">
        <v>42669</v>
      </c>
      <c r="N203" s="25"/>
      <c r="O203" s="17" t="s">
        <v>34</v>
      </c>
      <c r="P203" s="18" t="s">
        <v>1085</v>
      </c>
      <c r="Q203" s="18" t="s">
        <v>181</v>
      </c>
      <c r="R203" s="17" t="s">
        <v>182</v>
      </c>
      <c r="S203" s="13" t="s">
        <v>228</v>
      </c>
      <c r="T203" s="175"/>
      <c r="U203" s="175"/>
      <c r="V203" s="21" t="s">
        <v>184</v>
      </c>
      <c r="W203" s="21" t="s">
        <v>184</v>
      </c>
      <c r="X203" s="1">
        <v>3</v>
      </c>
      <c r="Y203" s="176" t="s">
        <v>1632</v>
      </c>
      <c r="Z203" s="86"/>
      <c r="AA203" s="86" t="s">
        <v>186</v>
      </c>
      <c r="AB203" s="1"/>
      <c r="AC203" s="177" t="s">
        <v>202</v>
      </c>
      <c r="AD203" s="115" t="s">
        <v>188</v>
      </c>
      <c r="AE203" s="115" t="s">
        <v>188</v>
      </c>
      <c r="AF203" s="115" t="s">
        <v>188</v>
      </c>
      <c r="AG203" s="122"/>
      <c r="AH203" s="178"/>
      <c r="AI203" s="178"/>
      <c r="AJ203" s="21" t="s">
        <v>203</v>
      </c>
      <c r="AK203" s="21" t="s">
        <v>190</v>
      </c>
      <c r="AL203" s="21" t="s">
        <v>190</v>
      </c>
      <c r="AM203" s="123" t="s">
        <v>1496</v>
      </c>
      <c r="AN203" s="22">
        <v>182</v>
      </c>
      <c r="AO203" s="22">
        <v>4</v>
      </c>
      <c r="AP203" s="22">
        <v>0</v>
      </c>
      <c r="AQ203" s="22">
        <v>0</v>
      </c>
      <c r="AR203" s="22">
        <v>0</v>
      </c>
      <c r="AS203" s="22">
        <v>7</v>
      </c>
      <c r="AT203" s="22">
        <v>10</v>
      </c>
      <c r="AU203" s="316">
        <f t="shared" si="34"/>
        <v>203</v>
      </c>
      <c r="AV203" s="22">
        <v>190</v>
      </c>
      <c r="AW203" s="22">
        <v>4</v>
      </c>
      <c r="AX203" s="22">
        <v>0</v>
      </c>
      <c r="AY203" s="22">
        <v>0</v>
      </c>
      <c r="AZ203" s="22">
        <v>0</v>
      </c>
      <c r="BA203" s="22">
        <v>7</v>
      </c>
      <c r="BB203" s="22">
        <v>10</v>
      </c>
      <c r="BC203" s="316">
        <f t="shared" si="35"/>
        <v>211</v>
      </c>
      <c r="BD203" s="58">
        <f t="shared" si="36"/>
        <v>8</v>
      </c>
      <c r="BE203" s="58">
        <f t="shared" si="37"/>
        <v>0</v>
      </c>
      <c r="BF203" s="58">
        <f t="shared" si="38"/>
        <v>0</v>
      </c>
      <c r="BG203" s="58">
        <f t="shared" si="39"/>
        <v>0</v>
      </c>
      <c r="BH203" s="58">
        <f t="shared" si="40"/>
        <v>0</v>
      </c>
      <c r="BI203" s="58">
        <f t="shared" si="41"/>
        <v>0</v>
      </c>
      <c r="BJ203" s="58">
        <f t="shared" si="42"/>
        <v>0</v>
      </c>
      <c r="BK203" s="58">
        <f t="shared" si="43"/>
        <v>8</v>
      </c>
    </row>
    <row r="204" spans="1:63" ht="27" customHeight="1">
      <c r="A204" s="13">
        <f t="shared" si="44"/>
        <v>202</v>
      </c>
      <c r="B204" s="14" t="s">
        <v>1633</v>
      </c>
      <c r="C204" s="10">
        <v>1711</v>
      </c>
      <c r="D204" s="90" t="s">
        <v>1634</v>
      </c>
      <c r="E204" s="85">
        <v>110311414</v>
      </c>
      <c r="F204" s="78" t="s">
        <v>1635</v>
      </c>
      <c r="G204" s="79" t="s">
        <v>135</v>
      </c>
      <c r="H204" s="15" t="s">
        <v>1636</v>
      </c>
      <c r="I204" s="16" t="s">
        <v>666</v>
      </c>
      <c r="J204" s="80" t="s">
        <v>178</v>
      </c>
      <c r="K204" s="24">
        <v>31446</v>
      </c>
      <c r="L204" s="82" t="s">
        <v>179</v>
      </c>
      <c r="M204" s="25">
        <v>42665</v>
      </c>
      <c r="N204" s="25"/>
      <c r="O204" s="17" t="s">
        <v>34</v>
      </c>
      <c r="P204" s="18" t="s">
        <v>1085</v>
      </c>
      <c r="Q204" s="18" t="s">
        <v>181</v>
      </c>
      <c r="R204" s="17" t="s">
        <v>182</v>
      </c>
      <c r="S204" s="13" t="s">
        <v>228</v>
      </c>
      <c r="T204" s="175"/>
      <c r="U204" s="175"/>
      <c r="V204" s="21" t="s">
        <v>184</v>
      </c>
      <c r="W204" s="21" t="s">
        <v>184</v>
      </c>
      <c r="X204" s="1">
        <v>4</v>
      </c>
      <c r="Y204" s="176" t="s">
        <v>1637</v>
      </c>
      <c r="Z204" s="86"/>
      <c r="AA204" s="86" t="s">
        <v>186</v>
      </c>
      <c r="AB204" s="1"/>
      <c r="AC204" s="177" t="s">
        <v>202</v>
      </c>
      <c r="AD204" s="115" t="s">
        <v>188</v>
      </c>
      <c r="AE204" s="115" t="s">
        <v>188</v>
      </c>
      <c r="AF204" s="124"/>
      <c r="AG204" s="122"/>
      <c r="AH204" s="178"/>
      <c r="AI204" s="178"/>
      <c r="AJ204" s="21" t="s">
        <v>203</v>
      </c>
      <c r="AK204" s="21" t="s">
        <v>190</v>
      </c>
      <c r="AL204" s="21" t="s">
        <v>190</v>
      </c>
      <c r="AM204" s="123" t="s">
        <v>1496</v>
      </c>
      <c r="AN204" s="22">
        <v>182</v>
      </c>
      <c r="AO204" s="22">
        <v>4</v>
      </c>
      <c r="AP204" s="22">
        <v>0</v>
      </c>
      <c r="AQ204" s="22">
        <v>15</v>
      </c>
      <c r="AR204" s="22">
        <v>0</v>
      </c>
      <c r="AS204" s="22">
        <v>7</v>
      </c>
      <c r="AT204" s="22">
        <v>10</v>
      </c>
      <c r="AU204" s="316">
        <f t="shared" si="34"/>
        <v>218</v>
      </c>
      <c r="AV204" s="22">
        <v>190</v>
      </c>
      <c r="AW204" s="22">
        <v>4</v>
      </c>
      <c r="AX204" s="22">
        <v>0</v>
      </c>
      <c r="AY204" s="22">
        <v>15</v>
      </c>
      <c r="AZ204" s="22">
        <v>0</v>
      </c>
      <c r="BA204" s="22">
        <v>7</v>
      </c>
      <c r="BB204" s="22">
        <v>10</v>
      </c>
      <c r="BC204" s="316">
        <f t="shared" si="35"/>
        <v>226</v>
      </c>
      <c r="BD204" s="58">
        <f t="shared" si="36"/>
        <v>8</v>
      </c>
      <c r="BE204" s="58">
        <f t="shared" si="37"/>
        <v>0</v>
      </c>
      <c r="BF204" s="58">
        <f t="shared" si="38"/>
        <v>0</v>
      </c>
      <c r="BG204" s="58">
        <f t="shared" si="39"/>
        <v>0</v>
      </c>
      <c r="BH204" s="58">
        <f t="shared" si="40"/>
        <v>0</v>
      </c>
      <c r="BI204" s="58">
        <f t="shared" si="41"/>
        <v>0</v>
      </c>
      <c r="BJ204" s="58">
        <f t="shared" si="42"/>
        <v>0</v>
      </c>
      <c r="BK204" s="58">
        <f t="shared" si="43"/>
        <v>8</v>
      </c>
    </row>
    <row r="205" spans="1:63" ht="27" customHeight="1">
      <c r="A205" s="13">
        <f t="shared" si="44"/>
        <v>203</v>
      </c>
      <c r="B205" s="14" t="s">
        <v>1638</v>
      </c>
      <c r="C205" s="10">
        <v>1719</v>
      </c>
      <c r="D205" s="90" t="s">
        <v>1639</v>
      </c>
      <c r="E205" s="85">
        <v>110424279</v>
      </c>
      <c r="F205" s="78" t="s">
        <v>1640</v>
      </c>
      <c r="G205" s="79" t="s">
        <v>1641</v>
      </c>
      <c r="H205" s="15" t="s">
        <v>1642</v>
      </c>
      <c r="I205" s="16" t="s">
        <v>1149</v>
      </c>
      <c r="J205" s="80" t="s">
        <v>178</v>
      </c>
      <c r="K205" s="24">
        <v>33394</v>
      </c>
      <c r="L205" s="82" t="s">
        <v>179</v>
      </c>
      <c r="M205" s="25">
        <v>42670</v>
      </c>
      <c r="N205" s="25"/>
      <c r="O205" s="17" t="s">
        <v>34</v>
      </c>
      <c r="P205" s="18" t="s">
        <v>339</v>
      </c>
      <c r="Q205" s="18" t="s">
        <v>181</v>
      </c>
      <c r="R205" s="17" t="s">
        <v>182</v>
      </c>
      <c r="S205" s="19" t="s">
        <v>211</v>
      </c>
      <c r="T205" s="175"/>
      <c r="U205" s="175"/>
      <c r="V205" s="21" t="s">
        <v>184</v>
      </c>
      <c r="W205" s="21" t="s">
        <v>184</v>
      </c>
      <c r="X205" s="1">
        <v>9</v>
      </c>
      <c r="Y205" s="176" t="s">
        <v>1643</v>
      </c>
      <c r="Z205" s="86"/>
      <c r="AA205" s="86" t="s">
        <v>186</v>
      </c>
      <c r="AB205" s="1"/>
      <c r="AC205" s="177" t="s">
        <v>138</v>
      </c>
      <c r="AD205" s="115"/>
      <c r="AE205" s="115"/>
      <c r="AF205" s="124"/>
      <c r="AG205" s="122"/>
      <c r="AH205" s="178"/>
      <c r="AI205" s="178"/>
      <c r="AJ205" s="21" t="s">
        <v>203</v>
      </c>
      <c r="AK205" s="21" t="s">
        <v>190</v>
      </c>
      <c r="AL205" s="21" t="s">
        <v>190</v>
      </c>
      <c r="AM205" s="123" t="s">
        <v>1234</v>
      </c>
      <c r="AN205" s="22">
        <v>182</v>
      </c>
      <c r="AO205" s="22">
        <v>4</v>
      </c>
      <c r="AP205" s="22">
        <v>0</v>
      </c>
      <c r="AQ205" s="22">
        <v>0</v>
      </c>
      <c r="AR205" s="22">
        <v>0</v>
      </c>
      <c r="AS205" s="22">
        <v>7</v>
      </c>
      <c r="AT205" s="22">
        <v>10</v>
      </c>
      <c r="AU205" s="316">
        <f t="shared" si="34"/>
        <v>203</v>
      </c>
      <c r="AV205" s="22">
        <v>190</v>
      </c>
      <c r="AW205" s="22">
        <v>4</v>
      </c>
      <c r="AX205" s="22">
        <v>0</v>
      </c>
      <c r="AY205" s="22">
        <v>0</v>
      </c>
      <c r="AZ205" s="22">
        <v>0</v>
      </c>
      <c r="BA205" s="22">
        <v>7</v>
      </c>
      <c r="BB205" s="22">
        <v>10</v>
      </c>
      <c r="BC205" s="316">
        <f t="shared" si="35"/>
        <v>211</v>
      </c>
      <c r="BD205" s="58">
        <f t="shared" si="36"/>
        <v>8</v>
      </c>
      <c r="BE205" s="58">
        <f t="shared" si="37"/>
        <v>0</v>
      </c>
      <c r="BF205" s="58">
        <f t="shared" si="38"/>
        <v>0</v>
      </c>
      <c r="BG205" s="58">
        <f t="shared" si="39"/>
        <v>0</v>
      </c>
      <c r="BH205" s="58">
        <f t="shared" si="40"/>
        <v>0</v>
      </c>
      <c r="BI205" s="58">
        <f t="shared" si="41"/>
        <v>0</v>
      </c>
      <c r="BJ205" s="58">
        <f t="shared" si="42"/>
        <v>0</v>
      </c>
      <c r="BK205" s="58">
        <f t="shared" si="43"/>
        <v>8</v>
      </c>
    </row>
    <row r="206" spans="1:63" ht="27" customHeight="1">
      <c r="A206" s="13">
        <f t="shared" si="44"/>
        <v>204</v>
      </c>
      <c r="B206" s="14" t="s">
        <v>1644</v>
      </c>
      <c r="C206" s="10">
        <v>1754</v>
      </c>
      <c r="D206" s="119" t="s">
        <v>1645</v>
      </c>
      <c r="E206" s="85">
        <v>240069624</v>
      </c>
      <c r="F206" s="78" t="s">
        <v>1646</v>
      </c>
      <c r="G206" s="79" t="s">
        <v>925</v>
      </c>
      <c r="H206" s="15" t="s">
        <v>1647</v>
      </c>
      <c r="I206" s="16" t="s">
        <v>1648</v>
      </c>
      <c r="J206" s="80" t="s">
        <v>178</v>
      </c>
      <c r="K206" s="24">
        <v>34700</v>
      </c>
      <c r="L206" s="82" t="s">
        <v>179</v>
      </c>
      <c r="M206" s="25">
        <v>42682</v>
      </c>
      <c r="N206" s="25"/>
      <c r="O206" s="17" t="s">
        <v>34</v>
      </c>
      <c r="P206" s="18" t="s">
        <v>339</v>
      </c>
      <c r="Q206" s="18" t="s">
        <v>181</v>
      </c>
      <c r="R206" s="17" t="s">
        <v>182</v>
      </c>
      <c r="S206" s="13" t="s">
        <v>1649</v>
      </c>
      <c r="T206" s="175"/>
      <c r="U206" s="175"/>
      <c r="V206" s="21" t="s">
        <v>184</v>
      </c>
      <c r="W206" s="21" t="s">
        <v>184</v>
      </c>
      <c r="X206" s="1">
        <v>4</v>
      </c>
      <c r="Y206" s="176" t="s">
        <v>1650</v>
      </c>
      <c r="Z206" s="86"/>
      <c r="AA206" s="86" t="s">
        <v>186</v>
      </c>
      <c r="AB206" s="1"/>
      <c r="AC206" s="177" t="s">
        <v>202</v>
      </c>
      <c r="AD206" s="115" t="s">
        <v>189</v>
      </c>
      <c r="AE206" s="115"/>
      <c r="AF206" s="124"/>
      <c r="AG206" s="122"/>
      <c r="AH206" s="178"/>
      <c r="AI206" s="178"/>
      <c r="AJ206" s="21" t="s">
        <v>203</v>
      </c>
      <c r="AK206" s="21" t="s">
        <v>190</v>
      </c>
      <c r="AL206" s="21" t="s">
        <v>190</v>
      </c>
      <c r="AM206" s="123" t="s">
        <v>1234</v>
      </c>
      <c r="AN206" s="22">
        <v>182</v>
      </c>
      <c r="AO206" s="22">
        <v>4</v>
      </c>
      <c r="AP206" s="22">
        <v>0</v>
      </c>
      <c r="AQ206" s="22">
        <v>0</v>
      </c>
      <c r="AR206" s="22">
        <v>0</v>
      </c>
      <c r="AS206" s="22">
        <v>7</v>
      </c>
      <c r="AT206" s="22">
        <v>10</v>
      </c>
      <c r="AU206" s="316">
        <f t="shared" si="34"/>
        <v>203</v>
      </c>
      <c r="AV206" s="22">
        <v>190</v>
      </c>
      <c r="AW206" s="22">
        <v>4</v>
      </c>
      <c r="AX206" s="22">
        <v>0</v>
      </c>
      <c r="AY206" s="22">
        <v>0</v>
      </c>
      <c r="AZ206" s="22">
        <v>0</v>
      </c>
      <c r="BA206" s="22">
        <v>7</v>
      </c>
      <c r="BB206" s="22">
        <v>10</v>
      </c>
      <c r="BC206" s="316">
        <f t="shared" si="35"/>
        <v>211</v>
      </c>
      <c r="BD206" s="58">
        <f t="shared" si="36"/>
        <v>8</v>
      </c>
      <c r="BE206" s="58">
        <f t="shared" si="37"/>
        <v>0</v>
      </c>
      <c r="BF206" s="58">
        <f t="shared" si="38"/>
        <v>0</v>
      </c>
      <c r="BG206" s="58">
        <f t="shared" si="39"/>
        <v>0</v>
      </c>
      <c r="BH206" s="58">
        <f t="shared" si="40"/>
        <v>0</v>
      </c>
      <c r="BI206" s="58">
        <f t="shared" si="41"/>
        <v>0</v>
      </c>
      <c r="BJ206" s="58">
        <f t="shared" si="42"/>
        <v>0</v>
      </c>
      <c r="BK206" s="58">
        <f t="shared" si="43"/>
        <v>8</v>
      </c>
    </row>
    <row r="207" spans="1:63" ht="27" customHeight="1">
      <c r="A207" s="13">
        <f t="shared" si="44"/>
        <v>205</v>
      </c>
      <c r="B207" s="14" t="s">
        <v>1651</v>
      </c>
      <c r="C207" s="10">
        <v>1727</v>
      </c>
      <c r="D207" s="119" t="s">
        <v>1652</v>
      </c>
      <c r="E207" s="85">
        <v>130198181</v>
      </c>
      <c r="F207" s="78" t="s">
        <v>1653</v>
      </c>
      <c r="G207" s="79" t="s">
        <v>705</v>
      </c>
      <c r="H207" s="15" t="s">
        <v>1605</v>
      </c>
      <c r="I207" s="16" t="s">
        <v>17</v>
      </c>
      <c r="J207" s="80" t="s">
        <v>178</v>
      </c>
      <c r="K207" s="24">
        <v>32694</v>
      </c>
      <c r="L207" s="82" t="s">
        <v>179</v>
      </c>
      <c r="M207" s="25">
        <v>42676</v>
      </c>
      <c r="N207" s="25"/>
      <c r="O207" s="17" t="s">
        <v>34</v>
      </c>
      <c r="P207" s="18" t="s">
        <v>339</v>
      </c>
      <c r="Q207" s="18" t="s">
        <v>181</v>
      </c>
      <c r="R207" s="17" t="s">
        <v>182</v>
      </c>
      <c r="S207" s="13" t="s">
        <v>228</v>
      </c>
      <c r="T207" s="175"/>
      <c r="U207" s="175"/>
      <c r="V207" s="21" t="s">
        <v>200</v>
      </c>
      <c r="W207" s="21">
        <v>3785</v>
      </c>
      <c r="X207" s="17" t="s">
        <v>1282</v>
      </c>
      <c r="Y207" s="176" t="s">
        <v>1654</v>
      </c>
      <c r="Z207" s="86"/>
      <c r="AA207" s="86" t="s">
        <v>186</v>
      </c>
      <c r="AB207" s="1"/>
      <c r="AC207" s="177" t="s">
        <v>1589</v>
      </c>
      <c r="AD207" s="115" t="s">
        <v>189</v>
      </c>
      <c r="AE207" s="115" t="s">
        <v>189</v>
      </c>
      <c r="AF207" s="124"/>
      <c r="AG207" s="122"/>
      <c r="AH207" s="178"/>
      <c r="AI207" s="178"/>
      <c r="AJ207" s="21" t="s">
        <v>203</v>
      </c>
      <c r="AK207" s="21" t="s">
        <v>190</v>
      </c>
      <c r="AL207" s="21" t="s">
        <v>190</v>
      </c>
      <c r="AM207" s="123" t="s">
        <v>1234</v>
      </c>
      <c r="AN207" s="22">
        <v>182</v>
      </c>
      <c r="AO207" s="22">
        <v>0</v>
      </c>
      <c r="AP207" s="22">
        <v>0</v>
      </c>
      <c r="AQ207" s="22">
        <v>0</v>
      </c>
      <c r="AR207" s="22">
        <v>0</v>
      </c>
      <c r="AS207" s="22">
        <v>7</v>
      </c>
      <c r="AT207" s="22">
        <v>10</v>
      </c>
      <c r="AU207" s="316">
        <f t="shared" si="34"/>
        <v>199</v>
      </c>
      <c r="AV207" s="22">
        <v>190</v>
      </c>
      <c r="AW207" s="22">
        <v>0</v>
      </c>
      <c r="AX207" s="22">
        <v>0</v>
      </c>
      <c r="AY207" s="22">
        <v>0</v>
      </c>
      <c r="AZ207" s="22">
        <v>0</v>
      </c>
      <c r="BA207" s="22">
        <v>7</v>
      </c>
      <c r="BB207" s="22">
        <v>10</v>
      </c>
      <c r="BC207" s="316">
        <f t="shared" si="35"/>
        <v>207</v>
      </c>
      <c r="BD207" s="58">
        <f t="shared" si="36"/>
        <v>8</v>
      </c>
      <c r="BE207" s="58">
        <f t="shared" si="37"/>
        <v>0</v>
      </c>
      <c r="BF207" s="58">
        <f t="shared" si="38"/>
        <v>0</v>
      </c>
      <c r="BG207" s="58">
        <f t="shared" si="39"/>
        <v>0</v>
      </c>
      <c r="BH207" s="58">
        <f t="shared" si="40"/>
        <v>0</v>
      </c>
      <c r="BI207" s="58">
        <f t="shared" si="41"/>
        <v>0</v>
      </c>
      <c r="BJ207" s="58">
        <f t="shared" si="42"/>
        <v>0</v>
      </c>
      <c r="BK207" s="58">
        <f t="shared" si="43"/>
        <v>8</v>
      </c>
    </row>
    <row r="208" spans="1:63" ht="27" customHeight="1">
      <c r="A208" s="13">
        <f t="shared" si="44"/>
        <v>206</v>
      </c>
      <c r="B208" s="14" t="s">
        <v>1655</v>
      </c>
      <c r="C208" s="10">
        <v>1743</v>
      </c>
      <c r="D208" s="119" t="s">
        <v>1656</v>
      </c>
      <c r="E208" s="85">
        <v>110526742</v>
      </c>
      <c r="F208" s="78" t="s">
        <v>1657</v>
      </c>
      <c r="G208" s="79" t="s">
        <v>1658</v>
      </c>
      <c r="H208" s="15" t="s">
        <v>1133</v>
      </c>
      <c r="I208" s="16" t="s">
        <v>1659</v>
      </c>
      <c r="J208" s="80" t="s">
        <v>178</v>
      </c>
      <c r="K208" s="24">
        <v>35827</v>
      </c>
      <c r="L208" s="82" t="s">
        <v>179</v>
      </c>
      <c r="M208" s="25">
        <v>42682</v>
      </c>
      <c r="N208" s="25"/>
      <c r="O208" s="17" t="s">
        <v>26</v>
      </c>
      <c r="P208" s="18" t="s">
        <v>636</v>
      </c>
      <c r="Q208" s="18" t="s">
        <v>181</v>
      </c>
      <c r="R208" s="17" t="s">
        <v>182</v>
      </c>
      <c r="S208" s="13" t="s">
        <v>228</v>
      </c>
      <c r="T208" s="175"/>
      <c r="U208" s="175"/>
      <c r="V208" s="21" t="s">
        <v>200</v>
      </c>
      <c r="W208" s="21">
        <v>2066</v>
      </c>
      <c r="X208" s="1">
        <v>6</v>
      </c>
      <c r="Y208" s="176" t="s">
        <v>1660</v>
      </c>
      <c r="Z208" s="86" t="s">
        <v>186</v>
      </c>
      <c r="AA208" s="86"/>
      <c r="AB208" s="1"/>
      <c r="AC208" s="177"/>
      <c r="AD208" s="115"/>
      <c r="AE208" s="115"/>
      <c r="AF208" s="124"/>
      <c r="AG208" s="122"/>
      <c r="AH208" s="178"/>
      <c r="AI208" s="178"/>
      <c r="AJ208" s="21" t="s">
        <v>203</v>
      </c>
      <c r="AK208" s="21" t="s">
        <v>190</v>
      </c>
      <c r="AL208" s="21" t="s">
        <v>190</v>
      </c>
      <c r="AM208" s="123" t="s">
        <v>1489</v>
      </c>
      <c r="AN208" s="22">
        <v>182</v>
      </c>
      <c r="AO208" s="22">
        <v>4</v>
      </c>
      <c r="AP208" s="22">
        <v>20</v>
      </c>
      <c r="AQ208" s="22">
        <v>0</v>
      </c>
      <c r="AR208" s="22">
        <v>0</v>
      </c>
      <c r="AS208" s="22">
        <v>7</v>
      </c>
      <c r="AT208" s="22">
        <v>10</v>
      </c>
      <c r="AU208" s="316">
        <f t="shared" si="34"/>
        <v>223</v>
      </c>
      <c r="AV208" s="22">
        <v>190</v>
      </c>
      <c r="AW208" s="22">
        <v>4</v>
      </c>
      <c r="AX208" s="22">
        <v>20</v>
      </c>
      <c r="AY208" s="22">
        <v>0</v>
      </c>
      <c r="AZ208" s="22">
        <v>0</v>
      </c>
      <c r="BA208" s="22">
        <v>7</v>
      </c>
      <c r="BB208" s="22">
        <v>10</v>
      </c>
      <c r="BC208" s="316">
        <f t="shared" si="35"/>
        <v>231</v>
      </c>
      <c r="BD208" s="58">
        <f t="shared" si="36"/>
        <v>8</v>
      </c>
      <c r="BE208" s="58">
        <f t="shared" si="37"/>
        <v>0</v>
      </c>
      <c r="BF208" s="58">
        <f t="shared" si="38"/>
        <v>0</v>
      </c>
      <c r="BG208" s="58">
        <f t="shared" si="39"/>
        <v>0</v>
      </c>
      <c r="BH208" s="58">
        <f t="shared" si="40"/>
        <v>0</v>
      </c>
      <c r="BI208" s="58">
        <f t="shared" si="41"/>
        <v>0</v>
      </c>
      <c r="BJ208" s="58">
        <f t="shared" si="42"/>
        <v>0</v>
      </c>
      <c r="BK208" s="58">
        <f t="shared" si="43"/>
        <v>8</v>
      </c>
    </row>
    <row r="209" spans="1:63" ht="27" customHeight="1">
      <c r="A209" s="13">
        <f t="shared" si="44"/>
        <v>207</v>
      </c>
      <c r="B209" s="14" t="s">
        <v>1661</v>
      </c>
      <c r="C209" s="10">
        <v>1726</v>
      </c>
      <c r="D209" s="119" t="s">
        <v>1662</v>
      </c>
      <c r="E209" s="85">
        <v>511793364</v>
      </c>
      <c r="F209" s="78" t="s">
        <v>1437</v>
      </c>
      <c r="G209" s="79" t="s">
        <v>1663</v>
      </c>
      <c r="H209" s="15" t="s">
        <v>1439</v>
      </c>
      <c r="I209" s="16" t="s">
        <v>1664</v>
      </c>
      <c r="J209" s="80" t="s">
        <v>178</v>
      </c>
      <c r="K209" s="24">
        <v>30319</v>
      </c>
      <c r="L209" s="82" t="s">
        <v>179</v>
      </c>
      <c r="M209" s="25">
        <v>42676</v>
      </c>
      <c r="N209" s="25"/>
      <c r="O209" s="17" t="s">
        <v>291</v>
      </c>
      <c r="P209" s="18" t="s">
        <v>561</v>
      </c>
      <c r="Q209" s="18" t="s">
        <v>181</v>
      </c>
      <c r="R209" s="17" t="s">
        <v>182</v>
      </c>
      <c r="S209" s="13" t="s">
        <v>219</v>
      </c>
      <c r="T209" s="175"/>
      <c r="U209" s="175"/>
      <c r="V209" s="21" t="s">
        <v>200</v>
      </c>
      <c r="W209" s="21">
        <v>2936</v>
      </c>
      <c r="X209" s="17" t="s">
        <v>1282</v>
      </c>
      <c r="Y209" s="176" t="s">
        <v>1665</v>
      </c>
      <c r="Z209" s="86"/>
      <c r="AA209" s="86" t="s">
        <v>186</v>
      </c>
      <c r="AB209" s="1"/>
      <c r="AC209" s="177" t="s">
        <v>1266</v>
      </c>
      <c r="AD209" s="115" t="s">
        <v>189</v>
      </c>
      <c r="AE209" s="115" t="s">
        <v>189</v>
      </c>
      <c r="AF209" s="124"/>
      <c r="AG209" s="122"/>
      <c r="AH209" s="178"/>
      <c r="AI209" s="178"/>
      <c r="AJ209" s="21" t="s">
        <v>203</v>
      </c>
      <c r="AK209" s="21" t="s">
        <v>190</v>
      </c>
      <c r="AL209" s="21" t="s">
        <v>190</v>
      </c>
      <c r="AM209" s="123" t="s">
        <v>1234</v>
      </c>
      <c r="AN209" s="22">
        <v>182</v>
      </c>
      <c r="AO209" s="22">
        <v>4</v>
      </c>
      <c r="AP209" s="22">
        <v>0</v>
      </c>
      <c r="AQ209" s="22">
        <v>0</v>
      </c>
      <c r="AR209" s="22">
        <v>0</v>
      </c>
      <c r="AS209" s="22">
        <v>7</v>
      </c>
      <c r="AT209" s="22">
        <v>10</v>
      </c>
      <c r="AU209" s="316">
        <f t="shared" si="34"/>
        <v>203</v>
      </c>
      <c r="AV209" s="22">
        <v>190</v>
      </c>
      <c r="AW209" s="22">
        <v>4</v>
      </c>
      <c r="AX209" s="22">
        <v>0</v>
      </c>
      <c r="AY209" s="22">
        <v>0</v>
      </c>
      <c r="AZ209" s="22">
        <v>0</v>
      </c>
      <c r="BA209" s="22">
        <v>7</v>
      </c>
      <c r="BB209" s="22">
        <v>10</v>
      </c>
      <c r="BC209" s="316">
        <f t="shared" si="35"/>
        <v>211</v>
      </c>
      <c r="BD209" s="58">
        <f t="shared" si="36"/>
        <v>8</v>
      </c>
      <c r="BE209" s="58">
        <f t="shared" si="37"/>
        <v>0</v>
      </c>
      <c r="BF209" s="58">
        <f t="shared" si="38"/>
        <v>0</v>
      </c>
      <c r="BG209" s="58">
        <f t="shared" si="39"/>
        <v>0</v>
      </c>
      <c r="BH209" s="58">
        <f t="shared" si="40"/>
        <v>0</v>
      </c>
      <c r="BI209" s="58">
        <f t="shared" si="41"/>
        <v>0</v>
      </c>
      <c r="BJ209" s="58">
        <f t="shared" si="42"/>
        <v>0</v>
      </c>
      <c r="BK209" s="58">
        <f t="shared" si="43"/>
        <v>8</v>
      </c>
    </row>
    <row r="210" spans="1:63" ht="27" customHeight="1">
      <c r="A210" s="13">
        <f t="shared" si="44"/>
        <v>208</v>
      </c>
      <c r="B210" s="14" t="s">
        <v>1666</v>
      </c>
      <c r="C210" s="10">
        <v>1747</v>
      </c>
      <c r="D210" s="90" t="s">
        <v>1667</v>
      </c>
      <c r="E210" s="85">
        <v>130199248</v>
      </c>
      <c r="F210" s="78" t="s">
        <v>1668</v>
      </c>
      <c r="G210" s="79" t="s">
        <v>1669</v>
      </c>
      <c r="H210" s="15" t="s">
        <v>1670</v>
      </c>
      <c r="I210" s="16" t="s">
        <v>1671</v>
      </c>
      <c r="J210" s="80" t="s">
        <v>178</v>
      </c>
      <c r="K210" s="24">
        <v>30688</v>
      </c>
      <c r="L210" s="82" t="s">
        <v>179</v>
      </c>
      <c r="M210" s="25">
        <v>42685</v>
      </c>
      <c r="N210" s="25"/>
      <c r="O210" s="17" t="s">
        <v>26</v>
      </c>
      <c r="P210" s="18" t="s">
        <v>636</v>
      </c>
      <c r="Q210" s="18" t="s">
        <v>181</v>
      </c>
      <c r="R210" s="17" t="s">
        <v>182</v>
      </c>
      <c r="S210" s="19" t="s">
        <v>211</v>
      </c>
      <c r="T210" s="175"/>
      <c r="U210" s="175"/>
      <c r="V210" s="21" t="s">
        <v>200</v>
      </c>
      <c r="W210" s="21">
        <v>14</v>
      </c>
      <c r="X210" s="1">
        <v>6</v>
      </c>
      <c r="Y210" s="176" t="s">
        <v>1672</v>
      </c>
      <c r="Z210" s="86"/>
      <c r="AA210" s="86" t="s">
        <v>186</v>
      </c>
      <c r="AB210" s="1"/>
      <c r="AC210" s="177" t="s">
        <v>138</v>
      </c>
      <c r="AD210" s="115" t="s">
        <v>189</v>
      </c>
      <c r="AE210" s="115"/>
      <c r="AF210" s="124"/>
      <c r="AG210" s="122"/>
      <c r="AH210" s="178"/>
      <c r="AI210" s="178"/>
      <c r="AJ210" s="21" t="s">
        <v>203</v>
      </c>
      <c r="AK210" s="21" t="s">
        <v>190</v>
      </c>
      <c r="AL210" s="21" t="s">
        <v>190</v>
      </c>
      <c r="AM210" s="123" t="s">
        <v>1489</v>
      </c>
      <c r="AN210" s="22">
        <v>182</v>
      </c>
      <c r="AO210" s="22">
        <v>4</v>
      </c>
      <c r="AP210" s="22">
        <v>20</v>
      </c>
      <c r="AQ210" s="22">
        <v>20</v>
      </c>
      <c r="AR210" s="22">
        <v>0</v>
      </c>
      <c r="AS210" s="22">
        <v>7</v>
      </c>
      <c r="AT210" s="22">
        <v>10</v>
      </c>
      <c r="AU210" s="316">
        <f t="shared" si="34"/>
        <v>243</v>
      </c>
      <c r="AV210" s="22">
        <v>190</v>
      </c>
      <c r="AW210" s="22">
        <v>4</v>
      </c>
      <c r="AX210" s="22">
        <v>20</v>
      </c>
      <c r="AY210" s="22">
        <v>20</v>
      </c>
      <c r="AZ210" s="22">
        <v>0</v>
      </c>
      <c r="BA210" s="22">
        <v>7</v>
      </c>
      <c r="BB210" s="22">
        <v>10</v>
      </c>
      <c r="BC210" s="316">
        <f t="shared" si="35"/>
        <v>251</v>
      </c>
      <c r="BD210" s="58">
        <f t="shared" si="36"/>
        <v>8</v>
      </c>
      <c r="BE210" s="58">
        <f t="shared" si="37"/>
        <v>0</v>
      </c>
      <c r="BF210" s="58">
        <f t="shared" si="38"/>
        <v>0</v>
      </c>
      <c r="BG210" s="58">
        <f t="shared" si="39"/>
        <v>0</v>
      </c>
      <c r="BH210" s="58">
        <f t="shared" si="40"/>
        <v>0</v>
      </c>
      <c r="BI210" s="58">
        <f t="shared" si="41"/>
        <v>0</v>
      </c>
      <c r="BJ210" s="58">
        <f t="shared" si="42"/>
        <v>0</v>
      </c>
      <c r="BK210" s="58">
        <f t="shared" si="43"/>
        <v>8</v>
      </c>
    </row>
    <row r="211" spans="1:63" ht="27" customHeight="1">
      <c r="A211" s="13">
        <f t="shared" si="44"/>
        <v>209</v>
      </c>
      <c r="B211" s="14" t="s">
        <v>1673</v>
      </c>
      <c r="C211" s="10">
        <v>1755</v>
      </c>
      <c r="D211" s="90" t="s">
        <v>1674</v>
      </c>
      <c r="E211" s="85">
        <v>110342005</v>
      </c>
      <c r="F211" s="78" t="s">
        <v>1066</v>
      </c>
      <c r="G211" s="79" t="s">
        <v>1675</v>
      </c>
      <c r="H211" s="15" t="s">
        <v>1068</v>
      </c>
      <c r="I211" s="16" t="s">
        <v>1676</v>
      </c>
      <c r="J211" s="80" t="s">
        <v>178</v>
      </c>
      <c r="K211" s="24">
        <v>33655</v>
      </c>
      <c r="L211" s="82" t="s">
        <v>179</v>
      </c>
      <c r="M211" s="25">
        <v>42692</v>
      </c>
      <c r="N211" s="25"/>
      <c r="O211" s="17" t="s">
        <v>34</v>
      </c>
      <c r="P211" s="18" t="s">
        <v>339</v>
      </c>
      <c r="Q211" s="18" t="s">
        <v>181</v>
      </c>
      <c r="R211" s="17" t="s">
        <v>182</v>
      </c>
      <c r="S211" s="13" t="s">
        <v>228</v>
      </c>
      <c r="T211" s="175"/>
      <c r="U211" s="175"/>
      <c r="V211" s="21" t="s">
        <v>184</v>
      </c>
      <c r="W211" s="21">
        <v>761</v>
      </c>
      <c r="X211" s="1">
        <v>7</v>
      </c>
      <c r="Y211" s="176" t="s">
        <v>1677</v>
      </c>
      <c r="Z211" s="86"/>
      <c r="AA211" s="86" t="s">
        <v>186</v>
      </c>
      <c r="AB211" s="1"/>
      <c r="AC211" s="177"/>
      <c r="AD211" s="115" t="s">
        <v>189</v>
      </c>
      <c r="AE211" s="115"/>
      <c r="AF211" s="124"/>
      <c r="AG211" s="122"/>
      <c r="AH211" s="178"/>
      <c r="AI211" s="178"/>
      <c r="AJ211" s="21" t="s">
        <v>203</v>
      </c>
      <c r="AK211" s="21" t="s">
        <v>190</v>
      </c>
      <c r="AL211" s="21" t="s">
        <v>190</v>
      </c>
      <c r="AM211" s="123" t="s">
        <v>1234</v>
      </c>
      <c r="AN211" s="22">
        <v>182</v>
      </c>
      <c r="AO211" s="22">
        <v>4</v>
      </c>
      <c r="AP211" s="22">
        <v>0</v>
      </c>
      <c r="AQ211" s="22">
        <v>0</v>
      </c>
      <c r="AR211" s="22">
        <v>0</v>
      </c>
      <c r="AS211" s="22">
        <v>7</v>
      </c>
      <c r="AT211" s="22">
        <v>10</v>
      </c>
      <c r="AU211" s="316">
        <f t="shared" si="34"/>
        <v>203</v>
      </c>
      <c r="AV211" s="22">
        <v>190</v>
      </c>
      <c r="AW211" s="22">
        <v>4</v>
      </c>
      <c r="AX211" s="22">
        <v>0</v>
      </c>
      <c r="AY211" s="22">
        <v>0</v>
      </c>
      <c r="AZ211" s="22">
        <v>0</v>
      </c>
      <c r="BA211" s="22">
        <v>7</v>
      </c>
      <c r="BB211" s="22">
        <v>10</v>
      </c>
      <c r="BC211" s="316">
        <f t="shared" si="35"/>
        <v>211</v>
      </c>
      <c r="BD211" s="58">
        <f t="shared" si="36"/>
        <v>8</v>
      </c>
      <c r="BE211" s="58">
        <f t="shared" si="37"/>
        <v>0</v>
      </c>
      <c r="BF211" s="58">
        <f t="shared" si="38"/>
        <v>0</v>
      </c>
      <c r="BG211" s="58">
        <f t="shared" si="39"/>
        <v>0</v>
      </c>
      <c r="BH211" s="58">
        <f t="shared" si="40"/>
        <v>0</v>
      </c>
      <c r="BI211" s="58">
        <f t="shared" si="41"/>
        <v>0</v>
      </c>
      <c r="BJ211" s="58">
        <f t="shared" si="42"/>
        <v>0</v>
      </c>
      <c r="BK211" s="58">
        <f t="shared" si="43"/>
        <v>8</v>
      </c>
    </row>
    <row r="212" spans="1:63" ht="27" customHeight="1">
      <c r="A212" s="13">
        <f t="shared" si="44"/>
        <v>210</v>
      </c>
      <c r="B212" s="14" t="s">
        <v>1678</v>
      </c>
      <c r="C212" s="10">
        <v>1766</v>
      </c>
      <c r="D212" s="76" t="s">
        <v>1679</v>
      </c>
      <c r="E212" s="85">
        <v>130060649</v>
      </c>
      <c r="F212" s="78" t="s">
        <v>874</v>
      </c>
      <c r="G212" s="79" t="s">
        <v>1423</v>
      </c>
      <c r="H212" s="15" t="s">
        <v>725</v>
      </c>
      <c r="I212" s="16" t="s">
        <v>1680</v>
      </c>
      <c r="J212" s="80" t="s">
        <v>178</v>
      </c>
      <c r="K212" s="24">
        <v>31264</v>
      </c>
      <c r="L212" s="82" t="s">
        <v>179</v>
      </c>
      <c r="M212" s="25">
        <v>42697</v>
      </c>
      <c r="N212" s="25"/>
      <c r="O212" s="17" t="s">
        <v>34</v>
      </c>
      <c r="P212" s="18" t="s">
        <v>301</v>
      </c>
      <c r="Q212" s="18" t="s">
        <v>181</v>
      </c>
      <c r="R212" s="17" t="s">
        <v>182</v>
      </c>
      <c r="S212" s="19" t="s">
        <v>256</v>
      </c>
      <c r="T212" s="175"/>
      <c r="U212" s="175"/>
      <c r="V212" s="21" t="s">
        <v>200</v>
      </c>
      <c r="W212" s="21" t="s">
        <v>184</v>
      </c>
      <c r="X212" s="1">
        <v>9</v>
      </c>
      <c r="Y212" s="176" t="s">
        <v>1681</v>
      </c>
      <c r="Z212" s="86"/>
      <c r="AA212" s="86" t="s">
        <v>186</v>
      </c>
      <c r="AB212" s="1"/>
      <c r="AC212" s="177" t="s">
        <v>138</v>
      </c>
      <c r="AD212" s="115"/>
      <c r="AE212" s="115"/>
      <c r="AF212" s="124"/>
      <c r="AG212" s="122"/>
      <c r="AH212" s="178"/>
      <c r="AI212" s="178"/>
      <c r="AJ212" s="21" t="s">
        <v>203</v>
      </c>
      <c r="AK212" s="21" t="s">
        <v>190</v>
      </c>
      <c r="AL212" s="21" t="s">
        <v>190</v>
      </c>
      <c r="AM212" s="123" t="s">
        <v>1562</v>
      </c>
      <c r="AN212" s="22">
        <v>182</v>
      </c>
      <c r="AO212" s="22">
        <v>4</v>
      </c>
      <c r="AP212" s="22">
        <v>0</v>
      </c>
      <c r="AQ212" s="22">
        <v>0</v>
      </c>
      <c r="AR212" s="22">
        <v>0</v>
      </c>
      <c r="AS212" s="22">
        <v>7</v>
      </c>
      <c r="AT212" s="22">
        <v>10</v>
      </c>
      <c r="AU212" s="316">
        <f t="shared" si="34"/>
        <v>203</v>
      </c>
      <c r="AV212" s="22">
        <v>190</v>
      </c>
      <c r="AW212" s="22">
        <v>4</v>
      </c>
      <c r="AX212" s="22">
        <v>0</v>
      </c>
      <c r="AY212" s="22">
        <v>0</v>
      </c>
      <c r="AZ212" s="22">
        <v>0</v>
      </c>
      <c r="BA212" s="22">
        <v>7</v>
      </c>
      <c r="BB212" s="22">
        <v>10</v>
      </c>
      <c r="BC212" s="316">
        <f t="shared" si="35"/>
        <v>211</v>
      </c>
      <c r="BD212" s="58">
        <f t="shared" si="36"/>
        <v>8</v>
      </c>
      <c r="BE212" s="58">
        <f t="shared" si="37"/>
        <v>0</v>
      </c>
      <c r="BF212" s="58">
        <f t="shared" si="38"/>
        <v>0</v>
      </c>
      <c r="BG212" s="58">
        <f t="shared" si="39"/>
        <v>0</v>
      </c>
      <c r="BH212" s="58">
        <f t="shared" si="40"/>
        <v>0</v>
      </c>
      <c r="BI212" s="58">
        <f t="shared" si="41"/>
        <v>0</v>
      </c>
      <c r="BJ212" s="58">
        <f t="shared" si="42"/>
        <v>0</v>
      </c>
      <c r="BK212" s="58">
        <f t="shared" si="43"/>
        <v>8</v>
      </c>
    </row>
    <row r="213" spans="1:63" ht="27" customHeight="1">
      <c r="A213" s="13">
        <f t="shared" si="44"/>
        <v>211</v>
      </c>
      <c r="B213" s="14" t="s">
        <v>1682</v>
      </c>
      <c r="C213" s="10">
        <v>1728</v>
      </c>
      <c r="D213" s="76" t="s">
        <v>1683</v>
      </c>
      <c r="E213" s="85">
        <v>130006869</v>
      </c>
      <c r="F213" s="78" t="s">
        <v>1684</v>
      </c>
      <c r="G213" s="79" t="s">
        <v>1685</v>
      </c>
      <c r="H213" s="15" t="s">
        <v>1686</v>
      </c>
      <c r="I213" s="16" t="s">
        <v>1687</v>
      </c>
      <c r="J213" s="80" t="s">
        <v>178</v>
      </c>
      <c r="K213" s="24">
        <v>27436</v>
      </c>
      <c r="L213" s="82" t="s">
        <v>179</v>
      </c>
      <c r="M213" s="25">
        <v>42677</v>
      </c>
      <c r="N213" s="25"/>
      <c r="O213" s="17" t="s">
        <v>26</v>
      </c>
      <c r="P213" s="18" t="s">
        <v>27</v>
      </c>
      <c r="Q213" s="18" t="s">
        <v>181</v>
      </c>
      <c r="R213" s="17" t="s">
        <v>182</v>
      </c>
      <c r="S213" s="19" t="s">
        <v>256</v>
      </c>
      <c r="T213" s="175"/>
      <c r="U213" s="175"/>
      <c r="V213" s="21" t="s">
        <v>200</v>
      </c>
      <c r="W213" s="21" t="s">
        <v>200</v>
      </c>
      <c r="X213" s="1">
        <v>6</v>
      </c>
      <c r="Y213" s="176" t="s">
        <v>1688</v>
      </c>
      <c r="Z213" s="86"/>
      <c r="AA213" s="86" t="s">
        <v>186</v>
      </c>
      <c r="AB213" s="1"/>
      <c r="AC213" s="177" t="s">
        <v>1689</v>
      </c>
      <c r="AD213" s="124" t="s">
        <v>1689</v>
      </c>
      <c r="AE213" s="115" t="s">
        <v>188</v>
      </c>
      <c r="AF213" s="115" t="s">
        <v>188</v>
      </c>
      <c r="AG213" s="122"/>
      <c r="AH213" s="178"/>
      <c r="AI213" s="178"/>
      <c r="AJ213" s="21" t="s">
        <v>203</v>
      </c>
      <c r="AK213" s="21" t="s">
        <v>190</v>
      </c>
      <c r="AL213" s="21" t="s">
        <v>190</v>
      </c>
      <c r="AM213" s="123" t="s">
        <v>1539</v>
      </c>
      <c r="AN213" s="22">
        <v>182</v>
      </c>
      <c r="AO213" s="22">
        <v>4</v>
      </c>
      <c r="AP213" s="22">
        <v>0</v>
      </c>
      <c r="AQ213" s="22">
        <v>0</v>
      </c>
      <c r="AR213" s="22">
        <v>0</v>
      </c>
      <c r="AS213" s="22">
        <v>7</v>
      </c>
      <c r="AT213" s="22">
        <v>10</v>
      </c>
      <c r="AU213" s="316">
        <f t="shared" si="34"/>
        <v>203</v>
      </c>
      <c r="AV213" s="22">
        <v>190</v>
      </c>
      <c r="AW213" s="22">
        <v>4</v>
      </c>
      <c r="AX213" s="22">
        <v>0</v>
      </c>
      <c r="AY213" s="22">
        <v>0</v>
      </c>
      <c r="AZ213" s="22">
        <v>0</v>
      </c>
      <c r="BA213" s="22">
        <v>7</v>
      </c>
      <c r="BB213" s="22">
        <v>10</v>
      </c>
      <c r="BC213" s="316">
        <f t="shared" si="35"/>
        <v>211</v>
      </c>
      <c r="BD213" s="58">
        <f t="shared" si="36"/>
        <v>8</v>
      </c>
      <c r="BE213" s="58">
        <f t="shared" si="37"/>
        <v>0</v>
      </c>
      <c r="BF213" s="58">
        <f t="shared" si="38"/>
        <v>0</v>
      </c>
      <c r="BG213" s="58">
        <f t="shared" si="39"/>
        <v>0</v>
      </c>
      <c r="BH213" s="58">
        <f t="shared" si="40"/>
        <v>0</v>
      </c>
      <c r="BI213" s="58">
        <f t="shared" si="41"/>
        <v>0</v>
      </c>
      <c r="BJ213" s="58">
        <f t="shared" si="42"/>
        <v>0</v>
      </c>
      <c r="BK213" s="58">
        <f t="shared" si="43"/>
        <v>8</v>
      </c>
    </row>
    <row r="214" spans="1:63" ht="27" customHeight="1">
      <c r="A214" s="13">
        <f t="shared" si="44"/>
        <v>212</v>
      </c>
      <c r="B214" s="14" t="s">
        <v>1690</v>
      </c>
      <c r="C214" s="10">
        <v>1779</v>
      </c>
      <c r="D214" s="119" t="s">
        <v>1691</v>
      </c>
      <c r="E214" s="85">
        <v>100295824</v>
      </c>
      <c r="F214" s="78" t="s">
        <v>1162</v>
      </c>
      <c r="G214" s="79" t="s">
        <v>1692</v>
      </c>
      <c r="H214" s="15" t="s">
        <v>1693</v>
      </c>
      <c r="I214" s="16" t="s">
        <v>99</v>
      </c>
      <c r="J214" s="80" t="s">
        <v>178</v>
      </c>
      <c r="K214" s="24">
        <v>30650</v>
      </c>
      <c r="L214" s="82" t="s">
        <v>179</v>
      </c>
      <c r="M214" s="25">
        <v>42712</v>
      </c>
      <c r="N214" s="25"/>
      <c r="O214" s="17" t="s">
        <v>34</v>
      </c>
      <c r="P214" s="18" t="s">
        <v>339</v>
      </c>
      <c r="Q214" s="18" t="s">
        <v>181</v>
      </c>
      <c r="R214" s="17" t="s">
        <v>182</v>
      </c>
      <c r="S214" s="19" t="s">
        <v>211</v>
      </c>
      <c r="T214" s="175"/>
      <c r="U214" s="175"/>
      <c r="V214" s="21" t="s">
        <v>200</v>
      </c>
      <c r="W214" s="21" t="s">
        <v>200</v>
      </c>
      <c r="X214" s="1">
        <v>7</v>
      </c>
      <c r="Y214" s="176" t="s">
        <v>1694</v>
      </c>
      <c r="Z214" s="86"/>
      <c r="AA214" s="86" t="s">
        <v>186</v>
      </c>
      <c r="AB214" s="1"/>
      <c r="AC214" s="177"/>
      <c r="AD214" s="115"/>
      <c r="AE214" s="115"/>
      <c r="AF214" s="124"/>
      <c r="AG214" s="122"/>
      <c r="AH214" s="178"/>
      <c r="AI214" s="178"/>
      <c r="AJ214" s="21" t="s">
        <v>203</v>
      </c>
      <c r="AK214" s="21" t="s">
        <v>190</v>
      </c>
      <c r="AL214" s="21" t="s">
        <v>190</v>
      </c>
      <c r="AM214" s="123" t="s">
        <v>1514</v>
      </c>
      <c r="AN214" s="22">
        <v>182</v>
      </c>
      <c r="AO214" s="22">
        <v>4</v>
      </c>
      <c r="AP214" s="22">
        <v>0</v>
      </c>
      <c r="AQ214" s="22">
        <v>0</v>
      </c>
      <c r="AR214" s="22">
        <v>0</v>
      </c>
      <c r="AS214" s="22">
        <v>7</v>
      </c>
      <c r="AT214" s="22">
        <v>10</v>
      </c>
      <c r="AU214" s="316">
        <f t="shared" si="34"/>
        <v>203</v>
      </c>
      <c r="AV214" s="22">
        <v>190</v>
      </c>
      <c r="AW214" s="22">
        <v>4</v>
      </c>
      <c r="AX214" s="22">
        <v>0</v>
      </c>
      <c r="AY214" s="22">
        <v>0</v>
      </c>
      <c r="AZ214" s="22">
        <v>0</v>
      </c>
      <c r="BA214" s="22">
        <v>7</v>
      </c>
      <c r="BB214" s="22">
        <v>10</v>
      </c>
      <c r="BC214" s="316">
        <f t="shared" si="35"/>
        <v>211</v>
      </c>
      <c r="BD214" s="58">
        <f t="shared" si="36"/>
        <v>8</v>
      </c>
      <c r="BE214" s="58">
        <f t="shared" si="37"/>
        <v>0</v>
      </c>
      <c r="BF214" s="58">
        <f t="shared" si="38"/>
        <v>0</v>
      </c>
      <c r="BG214" s="58">
        <f t="shared" si="39"/>
        <v>0</v>
      </c>
      <c r="BH214" s="58">
        <f t="shared" si="40"/>
        <v>0</v>
      </c>
      <c r="BI214" s="58">
        <f t="shared" si="41"/>
        <v>0</v>
      </c>
      <c r="BJ214" s="58">
        <f t="shared" si="42"/>
        <v>0</v>
      </c>
      <c r="BK214" s="58">
        <f t="shared" si="43"/>
        <v>8</v>
      </c>
    </row>
    <row r="215" spans="1:63" ht="27" customHeight="1">
      <c r="A215" s="13">
        <f t="shared" si="44"/>
        <v>213</v>
      </c>
      <c r="B215" s="14" t="s">
        <v>1695</v>
      </c>
      <c r="C215" s="10">
        <v>1793</v>
      </c>
      <c r="D215" s="76" t="s">
        <v>1696</v>
      </c>
      <c r="E215" s="85">
        <v>11061452</v>
      </c>
      <c r="F215" s="78" t="s">
        <v>1697</v>
      </c>
      <c r="G215" s="79" t="s">
        <v>1698</v>
      </c>
      <c r="H215" s="15" t="s">
        <v>1699</v>
      </c>
      <c r="I215" s="16" t="s">
        <v>1299</v>
      </c>
      <c r="J215" s="80" t="s">
        <v>178</v>
      </c>
      <c r="K215" s="24">
        <v>32725</v>
      </c>
      <c r="L215" s="82" t="s">
        <v>179</v>
      </c>
      <c r="M215" s="25">
        <v>42744</v>
      </c>
      <c r="N215" s="25"/>
      <c r="O215" s="17" t="s">
        <v>26</v>
      </c>
      <c r="P215" s="18" t="s">
        <v>27</v>
      </c>
      <c r="Q215" s="18" t="s">
        <v>181</v>
      </c>
      <c r="R215" s="17" t="s">
        <v>182</v>
      </c>
      <c r="S215" s="13" t="s">
        <v>228</v>
      </c>
      <c r="T215" s="175"/>
      <c r="U215" s="175"/>
      <c r="V215" s="21" t="s">
        <v>200</v>
      </c>
      <c r="W215" s="21" t="s">
        <v>200</v>
      </c>
      <c r="X215" s="1">
        <v>7</v>
      </c>
      <c r="Y215" s="176" t="s">
        <v>1700</v>
      </c>
      <c r="Z215" s="86"/>
      <c r="AA215" s="86" t="s">
        <v>186</v>
      </c>
      <c r="AB215" s="1"/>
      <c r="AC215" s="177" t="s">
        <v>138</v>
      </c>
      <c r="AD215" s="115" t="s">
        <v>1701</v>
      </c>
      <c r="AE215" s="115"/>
      <c r="AF215" s="124"/>
      <c r="AG215" s="122"/>
      <c r="AH215" s="178"/>
      <c r="AI215" s="178"/>
      <c r="AJ215" s="21" t="s">
        <v>203</v>
      </c>
      <c r="AK215" s="21" t="s">
        <v>190</v>
      </c>
      <c r="AL215" s="21" t="s">
        <v>190</v>
      </c>
      <c r="AM215" s="123" t="s">
        <v>1539</v>
      </c>
      <c r="AN215" s="22">
        <v>182</v>
      </c>
      <c r="AO215" s="22">
        <v>3</v>
      </c>
      <c r="AP215" s="22">
        <v>0</v>
      </c>
      <c r="AQ215" s="22">
        <v>20</v>
      </c>
      <c r="AR215" s="22">
        <v>0</v>
      </c>
      <c r="AS215" s="22">
        <v>7</v>
      </c>
      <c r="AT215" s="22">
        <v>10</v>
      </c>
      <c r="AU215" s="316">
        <f t="shared" si="34"/>
        <v>222</v>
      </c>
      <c r="AV215" s="22">
        <v>190</v>
      </c>
      <c r="AW215" s="22">
        <v>3</v>
      </c>
      <c r="AX215" s="22">
        <v>0</v>
      </c>
      <c r="AY215" s="22">
        <v>20</v>
      </c>
      <c r="AZ215" s="22">
        <v>0</v>
      </c>
      <c r="BA215" s="22">
        <v>7</v>
      </c>
      <c r="BB215" s="22">
        <v>10</v>
      </c>
      <c r="BC215" s="316">
        <f t="shared" si="35"/>
        <v>230</v>
      </c>
      <c r="BD215" s="58">
        <f t="shared" si="36"/>
        <v>8</v>
      </c>
      <c r="BE215" s="58">
        <f t="shared" si="37"/>
        <v>0</v>
      </c>
      <c r="BF215" s="58">
        <f t="shared" si="38"/>
        <v>0</v>
      </c>
      <c r="BG215" s="58">
        <f t="shared" si="39"/>
        <v>0</v>
      </c>
      <c r="BH215" s="58">
        <f t="shared" si="40"/>
        <v>0</v>
      </c>
      <c r="BI215" s="58">
        <f t="shared" si="41"/>
        <v>0</v>
      </c>
      <c r="BJ215" s="58">
        <f t="shared" si="42"/>
        <v>0</v>
      </c>
      <c r="BK215" s="58">
        <f t="shared" si="43"/>
        <v>8</v>
      </c>
    </row>
    <row r="216" spans="1:63" ht="27" customHeight="1">
      <c r="A216" s="13">
        <f t="shared" si="44"/>
        <v>214</v>
      </c>
      <c r="B216" s="14" t="s">
        <v>1702</v>
      </c>
      <c r="C216" s="10">
        <v>1795</v>
      </c>
      <c r="D216" s="90" t="s">
        <v>1703</v>
      </c>
      <c r="E216" s="85">
        <v>61725230</v>
      </c>
      <c r="F216" s="78" t="s">
        <v>1312</v>
      </c>
      <c r="G216" s="79" t="s">
        <v>1704</v>
      </c>
      <c r="H216" s="15" t="s">
        <v>1705</v>
      </c>
      <c r="I216" s="16" t="s">
        <v>1706</v>
      </c>
      <c r="J216" s="80" t="s">
        <v>209</v>
      </c>
      <c r="K216" s="24">
        <v>29426</v>
      </c>
      <c r="L216" s="82" t="s">
        <v>179</v>
      </c>
      <c r="M216" s="25">
        <v>42745</v>
      </c>
      <c r="N216" s="25"/>
      <c r="O216" s="17" t="s">
        <v>34</v>
      </c>
      <c r="P216" s="18" t="s">
        <v>1561</v>
      </c>
      <c r="Q216" s="18" t="s">
        <v>181</v>
      </c>
      <c r="R216" s="17" t="s">
        <v>182</v>
      </c>
      <c r="S216" s="19" t="s">
        <v>183</v>
      </c>
      <c r="T216" s="175"/>
      <c r="U216" s="175"/>
      <c r="V216" s="21" t="s">
        <v>200</v>
      </c>
      <c r="W216" s="21" t="s">
        <v>200</v>
      </c>
      <c r="X216" s="1">
        <v>12</v>
      </c>
      <c r="Y216" s="176" t="s">
        <v>1707</v>
      </c>
      <c r="Z216" s="86"/>
      <c r="AA216" s="86" t="s">
        <v>186</v>
      </c>
      <c r="AB216" s="1"/>
      <c r="AC216" s="177" t="s">
        <v>138</v>
      </c>
      <c r="AD216" s="115"/>
      <c r="AE216" s="115"/>
      <c r="AF216" s="124"/>
      <c r="AG216" s="122"/>
      <c r="AH216" s="178"/>
      <c r="AI216" s="178"/>
      <c r="AJ216" s="21" t="s">
        <v>203</v>
      </c>
      <c r="AK216" s="21" t="s">
        <v>190</v>
      </c>
      <c r="AL216" s="21" t="s">
        <v>190</v>
      </c>
      <c r="AM216" s="123" t="s">
        <v>1539</v>
      </c>
      <c r="AN216" s="22">
        <v>182</v>
      </c>
      <c r="AO216" s="22">
        <v>3</v>
      </c>
      <c r="AP216" s="22">
        <v>0</v>
      </c>
      <c r="AQ216" s="22">
        <v>0</v>
      </c>
      <c r="AR216" s="22">
        <v>0</v>
      </c>
      <c r="AS216" s="22">
        <v>7</v>
      </c>
      <c r="AT216" s="22">
        <v>10</v>
      </c>
      <c r="AU216" s="316">
        <f t="shared" si="34"/>
        <v>202</v>
      </c>
      <c r="AV216" s="22">
        <v>190</v>
      </c>
      <c r="AW216" s="22">
        <v>3</v>
      </c>
      <c r="AX216" s="22">
        <v>0</v>
      </c>
      <c r="AY216" s="22">
        <v>0</v>
      </c>
      <c r="AZ216" s="22">
        <v>0</v>
      </c>
      <c r="BA216" s="22">
        <v>7</v>
      </c>
      <c r="BB216" s="22">
        <v>10</v>
      </c>
      <c r="BC216" s="316">
        <f t="shared" si="35"/>
        <v>210</v>
      </c>
      <c r="BD216" s="58">
        <f t="shared" si="36"/>
        <v>8</v>
      </c>
      <c r="BE216" s="58">
        <f t="shared" si="37"/>
        <v>0</v>
      </c>
      <c r="BF216" s="58">
        <f t="shared" si="38"/>
        <v>0</v>
      </c>
      <c r="BG216" s="58">
        <f t="shared" si="39"/>
        <v>0</v>
      </c>
      <c r="BH216" s="58">
        <f t="shared" si="40"/>
        <v>0</v>
      </c>
      <c r="BI216" s="58">
        <f t="shared" si="41"/>
        <v>0</v>
      </c>
      <c r="BJ216" s="58">
        <f t="shared" si="42"/>
        <v>0</v>
      </c>
      <c r="BK216" s="58">
        <f t="shared" si="43"/>
        <v>8</v>
      </c>
    </row>
    <row r="217" spans="1:63" ht="27" customHeight="1">
      <c r="A217" s="13">
        <f t="shared" si="44"/>
        <v>215</v>
      </c>
      <c r="B217" s="14" t="s">
        <v>1708</v>
      </c>
      <c r="C217" s="10">
        <v>1800</v>
      </c>
      <c r="D217" s="119" t="s">
        <v>1709</v>
      </c>
      <c r="E217" s="85">
        <v>130193681</v>
      </c>
      <c r="F217" s="78" t="s">
        <v>963</v>
      </c>
      <c r="G217" s="79" t="s">
        <v>1710</v>
      </c>
      <c r="H217" s="15" t="s">
        <v>964</v>
      </c>
      <c r="I217" s="16" t="s">
        <v>1711</v>
      </c>
      <c r="J217" s="80" t="s">
        <v>178</v>
      </c>
      <c r="K217" s="24">
        <v>35374</v>
      </c>
      <c r="L217" s="82" t="s">
        <v>179</v>
      </c>
      <c r="M217" s="25">
        <v>42748</v>
      </c>
      <c r="N217" s="25"/>
      <c r="O217" s="17" t="s">
        <v>34</v>
      </c>
      <c r="P217" s="18" t="s">
        <v>604</v>
      </c>
      <c r="Q217" s="18" t="s">
        <v>181</v>
      </c>
      <c r="R217" s="17" t="s">
        <v>182</v>
      </c>
      <c r="S217" s="19" t="s">
        <v>256</v>
      </c>
      <c r="T217" s="175"/>
      <c r="U217" s="175"/>
      <c r="V217" s="21" t="s">
        <v>200</v>
      </c>
      <c r="W217" s="21" t="s">
        <v>200</v>
      </c>
      <c r="X217" s="1" t="s">
        <v>1712</v>
      </c>
      <c r="Y217" s="176" t="s">
        <v>1713</v>
      </c>
      <c r="Z217" s="86" t="s">
        <v>186</v>
      </c>
      <c r="AA217" s="86"/>
      <c r="AB217" s="1"/>
      <c r="AC217" s="177"/>
      <c r="AD217" s="115"/>
      <c r="AE217" s="115"/>
      <c r="AF217" s="124"/>
      <c r="AG217" s="122"/>
      <c r="AH217" s="178"/>
      <c r="AI217" s="178"/>
      <c r="AJ217" s="21" t="s">
        <v>203</v>
      </c>
      <c r="AK217" s="21" t="s">
        <v>190</v>
      </c>
      <c r="AL217" s="21" t="s">
        <v>190</v>
      </c>
      <c r="AM217" s="123" t="s">
        <v>1539</v>
      </c>
      <c r="AN217" s="22">
        <v>182</v>
      </c>
      <c r="AO217" s="22">
        <v>3</v>
      </c>
      <c r="AP217" s="22">
        <v>0</v>
      </c>
      <c r="AQ217" s="22">
        <v>20</v>
      </c>
      <c r="AR217" s="22">
        <v>0</v>
      </c>
      <c r="AS217" s="22">
        <v>7</v>
      </c>
      <c r="AT217" s="22">
        <v>10</v>
      </c>
      <c r="AU217" s="316">
        <f t="shared" si="34"/>
        <v>222</v>
      </c>
      <c r="AV217" s="22">
        <v>190</v>
      </c>
      <c r="AW217" s="22">
        <v>3</v>
      </c>
      <c r="AX217" s="22">
        <v>0</v>
      </c>
      <c r="AY217" s="22">
        <v>20</v>
      </c>
      <c r="AZ217" s="22">
        <v>0</v>
      </c>
      <c r="BA217" s="22">
        <v>7</v>
      </c>
      <c r="BB217" s="22">
        <v>10</v>
      </c>
      <c r="BC217" s="316">
        <f t="shared" si="35"/>
        <v>230</v>
      </c>
      <c r="BD217" s="58">
        <f t="shared" si="36"/>
        <v>8</v>
      </c>
      <c r="BE217" s="58">
        <f t="shared" si="37"/>
        <v>0</v>
      </c>
      <c r="BF217" s="58">
        <f t="shared" si="38"/>
        <v>0</v>
      </c>
      <c r="BG217" s="58">
        <f t="shared" si="39"/>
        <v>0</v>
      </c>
      <c r="BH217" s="58">
        <f t="shared" si="40"/>
        <v>0</v>
      </c>
      <c r="BI217" s="58">
        <f t="shared" si="41"/>
        <v>0</v>
      </c>
      <c r="BJ217" s="58">
        <f t="shared" si="42"/>
        <v>0</v>
      </c>
      <c r="BK217" s="58">
        <f t="shared" si="43"/>
        <v>8</v>
      </c>
    </row>
    <row r="218" spans="1:63" ht="27" customHeight="1">
      <c r="A218" s="13">
        <f t="shared" si="44"/>
        <v>216</v>
      </c>
      <c r="B218" s="14" t="s">
        <v>1714</v>
      </c>
      <c r="C218" s="10">
        <v>1811</v>
      </c>
      <c r="D218" s="119" t="s">
        <v>1715</v>
      </c>
      <c r="E218" s="85">
        <v>61396067</v>
      </c>
      <c r="F218" s="78" t="s">
        <v>1716</v>
      </c>
      <c r="G218" s="79" t="s">
        <v>1717</v>
      </c>
      <c r="H218" s="15" t="s">
        <v>1718</v>
      </c>
      <c r="I218" s="16" t="s">
        <v>1719</v>
      </c>
      <c r="J218" s="80" t="s">
        <v>178</v>
      </c>
      <c r="K218" s="24">
        <v>35683</v>
      </c>
      <c r="L218" s="82" t="s">
        <v>179</v>
      </c>
      <c r="M218" s="25">
        <v>42753</v>
      </c>
      <c r="N218" s="25"/>
      <c r="O218" s="17" t="s">
        <v>34</v>
      </c>
      <c r="P218" s="18" t="s">
        <v>265</v>
      </c>
      <c r="Q218" s="18" t="s">
        <v>181</v>
      </c>
      <c r="R218" s="17" t="s">
        <v>182</v>
      </c>
      <c r="S218" s="19" t="s">
        <v>183</v>
      </c>
      <c r="T218" s="175"/>
      <c r="U218" s="175"/>
      <c r="V218" s="21" t="s">
        <v>200</v>
      </c>
      <c r="W218" s="21" t="s">
        <v>200</v>
      </c>
      <c r="X218" s="1">
        <v>12</v>
      </c>
      <c r="Y218" s="176" t="s">
        <v>1720</v>
      </c>
      <c r="Z218" s="86"/>
      <c r="AA218" s="86" t="s">
        <v>186</v>
      </c>
      <c r="AB218" s="1"/>
      <c r="AC218" s="177" t="s">
        <v>371</v>
      </c>
      <c r="AD218" s="115" t="s">
        <v>188</v>
      </c>
      <c r="AE218" s="115"/>
      <c r="AF218" s="124"/>
      <c r="AG218" s="122"/>
      <c r="AH218" s="178"/>
      <c r="AI218" s="178"/>
      <c r="AJ218" s="21" t="s">
        <v>203</v>
      </c>
      <c r="AK218" s="21" t="s">
        <v>190</v>
      </c>
      <c r="AL218" s="21" t="s">
        <v>190</v>
      </c>
      <c r="AM218" s="123" t="s">
        <v>1507</v>
      </c>
      <c r="AN218" s="22">
        <v>182</v>
      </c>
      <c r="AO218" s="22">
        <v>3</v>
      </c>
      <c r="AP218" s="22">
        <v>0</v>
      </c>
      <c r="AQ218" s="22">
        <v>0</v>
      </c>
      <c r="AR218" s="22">
        <v>0</v>
      </c>
      <c r="AS218" s="22">
        <v>7</v>
      </c>
      <c r="AT218" s="22">
        <v>10</v>
      </c>
      <c r="AU218" s="316">
        <f t="shared" si="34"/>
        <v>202</v>
      </c>
      <c r="AV218" s="22">
        <v>190</v>
      </c>
      <c r="AW218" s="22">
        <v>3</v>
      </c>
      <c r="AX218" s="22">
        <v>0</v>
      </c>
      <c r="AY218" s="22">
        <v>0</v>
      </c>
      <c r="AZ218" s="22">
        <v>0</v>
      </c>
      <c r="BA218" s="22">
        <v>7</v>
      </c>
      <c r="BB218" s="22">
        <v>10</v>
      </c>
      <c r="BC218" s="316">
        <f t="shared" si="35"/>
        <v>210</v>
      </c>
      <c r="BD218" s="58">
        <f t="shared" si="36"/>
        <v>8</v>
      </c>
      <c r="BE218" s="58">
        <f t="shared" si="37"/>
        <v>0</v>
      </c>
      <c r="BF218" s="58">
        <f t="shared" si="38"/>
        <v>0</v>
      </c>
      <c r="BG218" s="58">
        <f t="shared" si="39"/>
        <v>0</v>
      </c>
      <c r="BH218" s="58">
        <f t="shared" si="40"/>
        <v>0</v>
      </c>
      <c r="BI218" s="58">
        <f t="shared" si="41"/>
        <v>0</v>
      </c>
      <c r="BJ218" s="58">
        <f t="shared" si="42"/>
        <v>0</v>
      </c>
      <c r="BK218" s="58">
        <f t="shared" si="43"/>
        <v>8</v>
      </c>
    </row>
    <row r="219" spans="1:63" ht="27" customHeight="1">
      <c r="A219" s="13">
        <f t="shared" si="44"/>
        <v>217</v>
      </c>
      <c r="B219" s="14" t="s">
        <v>1721</v>
      </c>
      <c r="C219" s="10">
        <v>1819</v>
      </c>
      <c r="D219" s="119" t="s">
        <v>1722</v>
      </c>
      <c r="E219" s="85">
        <v>200188775</v>
      </c>
      <c r="F219" s="78" t="s">
        <v>1723</v>
      </c>
      <c r="G219" s="79" t="s">
        <v>1724</v>
      </c>
      <c r="H219" s="15" t="s">
        <v>1725</v>
      </c>
      <c r="I219" s="16" t="s">
        <v>1726</v>
      </c>
      <c r="J219" s="80" t="s">
        <v>178</v>
      </c>
      <c r="K219" s="24">
        <v>31536</v>
      </c>
      <c r="L219" s="82" t="s">
        <v>179</v>
      </c>
      <c r="M219" s="25">
        <v>42758</v>
      </c>
      <c r="N219" s="25"/>
      <c r="O219" s="17" t="s">
        <v>34</v>
      </c>
      <c r="P219" s="18" t="s">
        <v>604</v>
      </c>
      <c r="Q219" s="18" t="s">
        <v>181</v>
      </c>
      <c r="R219" s="17" t="s">
        <v>182</v>
      </c>
      <c r="S219" s="19" t="s">
        <v>183</v>
      </c>
      <c r="T219" s="175"/>
      <c r="U219" s="175"/>
      <c r="V219" s="21" t="s">
        <v>184</v>
      </c>
      <c r="W219" s="21" t="s">
        <v>184</v>
      </c>
      <c r="X219" s="1">
        <v>7</v>
      </c>
      <c r="Y219" s="176" t="s">
        <v>1727</v>
      </c>
      <c r="Z219" s="86"/>
      <c r="AA219" s="86" t="s">
        <v>186</v>
      </c>
      <c r="AB219" s="1"/>
      <c r="AC219" s="177" t="s">
        <v>387</v>
      </c>
      <c r="AD219" s="115"/>
      <c r="AE219" s="115"/>
      <c r="AF219" s="124"/>
      <c r="AG219" s="122"/>
      <c r="AH219" s="178"/>
      <c r="AI219" s="178"/>
      <c r="AJ219" s="21" t="s">
        <v>203</v>
      </c>
      <c r="AK219" s="21" t="s">
        <v>190</v>
      </c>
      <c r="AL219" s="21" t="s">
        <v>190</v>
      </c>
      <c r="AM219" s="123" t="s">
        <v>1514</v>
      </c>
      <c r="AN219" s="22">
        <v>182</v>
      </c>
      <c r="AO219" s="22">
        <v>3</v>
      </c>
      <c r="AP219" s="22">
        <v>0</v>
      </c>
      <c r="AQ219" s="22">
        <v>0</v>
      </c>
      <c r="AR219" s="22">
        <v>0</v>
      </c>
      <c r="AS219" s="22">
        <v>7</v>
      </c>
      <c r="AT219" s="22">
        <v>10</v>
      </c>
      <c r="AU219" s="316">
        <f t="shared" si="34"/>
        <v>202</v>
      </c>
      <c r="AV219" s="22">
        <v>190</v>
      </c>
      <c r="AW219" s="22">
        <v>3</v>
      </c>
      <c r="AX219" s="22">
        <v>0</v>
      </c>
      <c r="AY219" s="22">
        <v>0</v>
      </c>
      <c r="AZ219" s="22">
        <v>0</v>
      </c>
      <c r="BA219" s="22">
        <v>7</v>
      </c>
      <c r="BB219" s="22">
        <v>10</v>
      </c>
      <c r="BC219" s="316">
        <f t="shared" si="35"/>
        <v>210</v>
      </c>
      <c r="BD219" s="58">
        <f t="shared" si="36"/>
        <v>8</v>
      </c>
      <c r="BE219" s="58">
        <f t="shared" si="37"/>
        <v>0</v>
      </c>
      <c r="BF219" s="58">
        <f t="shared" si="38"/>
        <v>0</v>
      </c>
      <c r="BG219" s="58">
        <f t="shared" si="39"/>
        <v>0</v>
      </c>
      <c r="BH219" s="58">
        <f t="shared" si="40"/>
        <v>0</v>
      </c>
      <c r="BI219" s="58">
        <f t="shared" si="41"/>
        <v>0</v>
      </c>
      <c r="BJ219" s="58">
        <f t="shared" si="42"/>
        <v>0</v>
      </c>
      <c r="BK219" s="58">
        <f t="shared" si="43"/>
        <v>8</v>
      </c>
    </row>
    <row r="220" spans="1:63" ht="27" customHeight="1">
      <c r="A220" s="13">
        <f t="shared" si="44"/>
        <v>218</v>
      </c>
      <c r="B220" s="14" t="s">
        <v>1728</v>
      </c>
      <c r="C220" s="10">
        <v>1831</v>
      </c>
      <c r="D220" s="76" t="s">
        <v>1729</v>
      </c>
      <c r="E220" s="85">
        <v>130098218</v>
      </c>
      <c r="F220" s="78" t="s">
        <v>195</v>
      </c>
      <c r="G220" s="79" t="s">
        <v>1730</v>
      </c>
      <c r="H220" s="15" t="s">
        <v>699</v>
      </c>
      <c r="I220" s="16" t="s">
        <v>1731</v>
      </c>
      <c r="J220" s="80" t="s">
        <v>178</v>
      </c>
      <c r="K220" s="24">
        <v>29637</v>
      </c>
      <c r="L220" s="82" t="s">
        <v>179</v>
      </c>
      <c r="M220" s="25">
        <v>42768</v>
      </c>
      <c r="N220" s="25"/>
      <c r="O220" s="17" t="s">
        <v>26</v>
      </c>
      <c r="P220" s="18" t="s">
        <v>27</v>
      </c>
      <c r="Q220" s="18" t="s">
        <v>181</v>
      </c>
      <c r="R220" s="17" t="s">
        <v>182</v>
      </c>
      <c r="S220" s="19" t="s">
        <v>256</v>
      </c>
      <c r="T220" s="175"/>
      <c r="U220" s="175"/>
      <c r="V220" s="21" t="s">
        <v>200</v>
      </c>
      <c r="W220" s="21">
        <v>6047</v>
      </c>
      <c r="X220" s="1">
        <v>6</v>
      </c>
      <c r="Y220" s="176" t="s">
        <v>1732</v>
      </c>
      <c r="Z220" s="86"/>
      <c r="AA220" s="86" t="s">
        <v>186</v>
      </c>
      <c r="AB220" s="1"/>
      <c r="AC220" s="177" t="s">
        <v>387</v>
      </c>
      <c r="AD220" s="115"/>
      <c r="AE220" s="115"/>
      <c r="AF220" s="124"/>
      <c r="AG220" s="122"/>
      <c r="AH220" s="178"/>
      <c r="AI220" s="178"/>
      <c r="AJ220" s="21" t="s">
        <v>203</v>
      </c>
      <c r="AK220" s="21" t="s">
        <v>190</v>
      </c>
      <c r="AL220" s="21" t="s">
        <v>190</v>
      </c>
      <c r="AM220" s="123" t="s">
        <v>1539</v>
      </c>
      <c r="AN220" s="22">
        <v>182</v>
      </c>
      <c r="AO220" s="22">
        <v>3</v>
      </c>
      <c r="AP220" s="22">
        <v>0</v>
      </c>
      <c r="AQ220" s="22">
        <v>0</v>
      </c>
      <c r="AR220" s="22">
        <v>0</v>
      </c>
      <c r="AS220" s="22">
        <v>7</v>
      </c>
      <c r="AT220" s="22">
        <v>10</v>
      </c>
      <c r="AU220" s="316">
        <f t="shared" si="34"/>
        <v>202</v>
      </c>
      <c r="AV220" s="22">
        <v>190</v>
      </c>
      <c r="AW220" s="22">
        <v>3</v>
      </c>
      <c r="AX220" s="22">
        <v>0</v>
      </c>
      <c r="AY220" s="22">
        <v>0</v>
      </c>
      <c r="AZ220" s="22">
        <v>0</v>
      </c>
      <c r="BA220" s="22">
        <v>7</v>
      </c>
      <c r="BB220" s="22">
        <v>10</v>
      </c>
      <c r="BC220" s="316">
        <f t="shared" si="35"/>
        <v>210</v>
      </c>
      <c r="BD220" s="58">
        <f t="shared" si="36"/>
        <v>8</v>
      </c>
      <c r="BE220" s="58">
        <f t="shared" si="37"/>
        <v>0</v>
      </c>
      <c r="BF220" s="58">
        <f t="shared" si="38"/>
        <v>0</v>
      </c>
      <c r="BG220" s="58">
        <f t="shared" si="39"/>
        <v>0</v>
      </c>
      <c r="BH220" s="58">
        <f t="shared" si="40"/>
        <v>0</v>
      </c>
      <c r="BI220" s="58">
        <f t="shared" si="41"/>
        <v>0</v>
      </c>
      <c r="BJ220" s="58">
        <f t="shared" si="42"/>
        <v>0</v>
      </c>
      <c r="BK220" s="58">
        <f t="shared" si="43"/>
        <v>8</v>
      </c>
    </row>
    <row r="221" spans="1:63" ht="27" customHeight="1">
      <c r="A221" s="13">
        <f t="shared" si="44"/>
        <v>219</v>
      </c>
      <c r="B221" s="14" t="s">
        <v>1733</v>
      </c>
      <c r="C221" s="10">
        <v>1827</v>
      </c>
      <c r="D221" s="90" t="s">
        <v>1734</v>
      </c>
      <c r="E221" s="85">
        <v>130179144</v>
      </c>
      <c r="F221" s="78" t="s">
        <v>1735</v>
      </c>
      <c r="G221" s="79" t="s">
        <v>1736</v>
      </c>
      <c r="H221" s="15" t="s">
        <v>1737</v>
      </c>
      <c r="I221" s="16" t="s">
        <v>1738</v>
      </c>
      <c r="J221" s="80" t="s">
        <v>178</v>
      </c>
      <c r="K221" s="24">
        <v>31452</v>
      </c>
      <c r="L221" s="82" t="s">
        <v>179</v>
      </c>
      <c r="M221" s="25">
        <v>42768</v>
      </c>
      <c r="N221" s="25"/>
      <c r="O221" s="17" t="s">
        <v>34</v>
      </c>
      <c r="P221" s="18" t="s">
        <v>402</v>
      </c>
      <c r="Q221" s="18" t="s">
        <v>181</v>
      </c>
      <c r="R221" s="17" t="s">
        <v>182</v>
      </c>
      <c r="S221" s="19" t="s">
        <v>183</v>
      </c>
      <c r="T221" s="175"/>
      <c r="U221" s="175"/>
      <c r="V221" s="21" t="s">
        <v>200</v>
      </c>
      <c r="W221" s="21">
        <v>68</v>
      </c>
      <c r="X221" s="1">
        <v>9</v>
      </c>
      <c r="Y221" s="176" t="s">
        <v>1739</v>
      </c>
      <c r="Z221" s="86"/>
      <c r="AA221" s="86"/>
      <c r="AB221" s="86" t="s">
        <v>186</v>
      </c>
      <c r="AC221" s="177"/>
      <c r="AD221" s="115"/>
      <c r="AE221" s="115"/>
      <c r="AF221" s="124"/>
      <c r="AG221" s="122"/>
      <c r="AH221" s="178"/>
      <c r="AI221" s="178"/>
      <c r="AJ221" s="21" t="s">
        <v>203</v>
      </c>
      <c r="AK221" s="21" t="s">
        <v>190</v>
      </c>
      <c r="AL221" s="21" t="s">
        <v>190</v>
      </c>
      <c r="AM221" s="123" t="s">
        <v>1496</v>
      </c>
      <c r="AN221" s="22">
        <v>182</v>
      </c>
      <c r="AO221" s="22">
        <v>3</v>
      </c>
      <c r="AP221" s="22">
        <v>0</v>
      </c>
      <c r="AQ221" s="22">
        <v>10</v>
      </c>
      <c r="AR221" s="22">
        <v>0</v>
      </c>
      <c r="AS221" s="22">
        <v>7</v>
      </c>
      <c r="AT221" s="22">
        <v>10</v>
      </c>
      <c r="AU221" s="316">
        <f t="shared" si="34"/>
        <v>212</v>
      </c>
      <c r="AV221" s="22">
        <v>190</v>
      </c>
      <c r="AW221" s="22">
        <v>3</v>
      </c>
      <c r="AX221" s="22">
        <v>0</v>
      </c>
      <c r="AY221" s="22">
        <v>10</v>
      </c>
      <c r="AZ221" s="22">
        <v>0</v>
      </c>
      <c r="BA221" s="22">
        <v>7</v>
      </c>
      <c r="BB221" s="22">
        <v>10</v>
      </c>
      <c r="BC221" s="316">
        <f t="shared" si="35"/>
        <v>220</v>
      </c>
      <c r="BD221" s="58">
        <f t="shared" si="36"/>
        <v>8</v>
      </c>
      <c r="BE221" s="58">
        <f t="shared" si="37"/>
        <v>0</v>
      </c>
      <c r="BF221" s="58">
        <f t="shared" si="38"/>
        <v>0</v>
      </c>
      <c r="BG221" s="58">
        <f t="shared" si="39"/>
        <v>0</v>
      </c>
      <c r="BH221" s="58">
        <f t="shared" si="40"/>
        <v>0</v>
      </c>
      <c r="BI221" s="58">
        <f t="shared" si="41"/>
        <v>0</v>
      </c>
      <c r="BJ221" s="58">
        <f t="shared" si="42"/>
        <v>0</v>
      </c>
      <c r="BK221" s="58">
        <f t="shared" si="43"/>
        <v>8</v>
      </c>
    </row>
    <row r="222" spans="1:63" ht="27" customHeight="1">
      <c r="A222" s="13">
        <f t="shared" si="44"/>
        <v>220</v>
      </c>
      <c r="B222" s="14" t="s">
        <v>1740</v>
      </c>
      <c r="C222" s="10">
        <v>1848</v>
      </c>
      <c r="D222" s="119" t="s">
        <v>1741</v>
      </c>
      <c r="E222" s="85">
        <v>30634344</v>
      </c>
      <c r="F222" s="78" t="s">
        <v>1742</v>
      </c>
      <c r="G222" s="79" t="s">
        <v>799</v>
      </c>
      <c r="H222" s="15" t="s">
        <v>1743</v>
      </c>
      <c r="I222" s="16" t="s">
        <v>801</v>
      </c>
      <c r="J222" s="80" t="s">
        <v>178</v>
      </c>
      <c r="K222" s="24">
        <v>31413</v>
      </c>
      <c r="L222" s="82" t="s">
        <v>179</v>
      </c>
      <c r="M222" s="25">
        <v>42797</v>
      </c>
      <c r="N222" s="25"/>
      <c r="O222" s="17" t="s">
        <v>34</v>
      </c>
      <c r="P222" s="18" t="s">
        <v>265</v>
      </c>
      <c r="Q222" s="18" t="s">
        <v>181</v>
      </c>
      <c r="R222" s="17" t="s">
        <v>182</v>
      </c>
      <c r="S222" s="13" t="s">
        <v>310</v>
      </c>
      <c r="T222" s="175"/>
      <c r="U222" s="175"/>
      <c r="V222" s="21" t="s">
        <v>184</v>
      </c>
      <c r="W222" s="21" t="s">
        <v>184</v>
      </c>
      <c r="X222" s="1">
        <v>11</v>
      </c>
      <c r="Y222" s="176" t="s">
        <v>1744</v>
      </c>
      <c r="Z222" s="86"/>
      <c r="AA222" s="86" t="s">
        <v>186</v>
      </c>
      <c r="AB222" s="1"/>
      <c r="AC222" s="177" t="s">
        <v>202</v>
      </c>
      <c r="AD222" s="115"/>
      <c r="AE222" s="115"/>
      <c r="AF222" s="124"/>
      <c r="AG222" s="122"/>
      <c r="AH222" s="178"/>
      <c r="AI222" s="178"/>
      <c r="AJ222" s="21" t="s">
        <v>203</v>
      </c>
      <c r="AK222" s="21" t="s">
        <v>190</v>
      </c>
      <c r="AL222" s="21" t="s">
        <v>190</v>
      </c>
      <c r="AM222" s="123" t="s">
        <v>1234</v>
      </c>
      <c r="AN222" s="22">
        <v>182</v>
      </c>
      <c r="AO222" s="22">
        <v>3</v>
      </c>
      <c r="AP222" s="22">
        <v>0</v>
      </c>
      <c r="AQ222" s="22">
        <v>0</v>
      </c>
      <c r="AR222" s="22">
        <v>0</v>
      </c>
      <c r="AS222" s="22">
        <v>7</v>
      </c>
      <c r="AT222" s="22">
        <v>10</v>
      </c>
      <c r="AU222" s="316">
        <f t="shared" si="34"/>
        <v>202</v>
      </c>
      <c r="AV222" s="22">
        <v>190</v>
      </c>
      <c r="AW222" s="22">
        <v>3</v>
      </c>
      <c r="AX222" s="22">
        <v>0</v>
      </c>
      <c r="AY222" s="22">
        <v>0</v>
      </c>
      <c r="AZ222" s="22">
        <v>0</v>
      </c>
      <c r="BA222" s="22">
        <v>7</v>
      </c>
      <c r="BB222" s="22">
        <v>10</v>
      </c>
      <c r="BC222" s="316">
        <f t="shared" si="35"/>
        <v>210</v>
      </c>
      <c r="BD222" s="58">
        <f t="shared" si="36"/>
        <v>8</v>
      </c>
      <c r="BE222" s="58">
        <f t="shared" si="37"/>
        <v>0</v>
      </c>
      <c r="BF222" s="58">
        <f t="shared" si="38"/>
        <v>0</v>
      </c>
      <c r="BG222" s="58">
        <f t="shared" si="39"/>
        <v>0</v>
      </c>
      <c r="BH222" s="58">
        <f t="shared" si="40"/>
        <v>0</v>
      </c>
      <c r="BI222" s="58">
        <f t="shared" si="41"/>
        <v>0</v>
      </c>
      <c r="BJ222" s="58">
        <f t="shared" si="42"/>
        <v>0</v>
      </c>
      <c r="BK222" s="58">
        <f t="shared" si="43"/>
        <v>8</v>
      </c>
    </row>
    <row r="223" spans="1:63" ht="27" customHeight="1">
      <c r="A223" s="13">
        <f t="shared" si="44"/>
        <v>221</v>
      </c>
      <c r="B223" s="14" t="s">
        <v>1745</v>
      </c>
      <c r="C223" s="10">
        <v>1853</v>
      </c>
      <c r="D223" s="90" t="s">
        <v>1746</v>
      </c>
      <c r="E223" s="85">
        <v>101331109</v>
      </c>
      <c r="F223" s="78" t="s">
        <v>963</v>
      </c>
      <c r="G223" s="79" t="s">
        <v>1747</v>
      </c>
      <c r="H223" s="15" t="s">
        <v>964</v>
      </c>
      <c r="I223" s="16" t="s">
        <v>1748</v>
      </c>
      <c r="J223" s="80" t="s">
        <v>178</v>
      </c>
      <c r="K223" s="24">
        <v>34469</v>
      </c>
      <c r="L223" s="82" t="s">
        <v>179</v>
      </c>
      <c r="M223" s="25">
        <v>42797</v>
      </c>
      <c r="N223" s="25"/>
      <c r="O223" s="17" t="s">
        <v>34</v>
      </c>
      <c r="P223" s="18" t="s">
        <v>265</v>
      </c>
      <c r="Q223" s="18" t="s">
        <v>181</v>
      </c>
      <c r="R223" s="17" t="s">
        <v>182</v>
      </c>
      <c r="S223" s="19" t="s">
        <v>211</v>
      </c>
      <c r="T223" s="175"/>
      <c r="U223" s="175"/>
      <c r="V223" s="21" t="s">
        <v>184</v>
      </c>
      <c r="W223" s="21" t="s">
        <v>184</v>
      </c>
      <c r="X223" s="1">
        <v>12</v>
      </c>
      <c r="Y223" s="176" t="s">
        <v>1749</v>
      </c>
      <c r="Z223" s="86" t="s">
        <v>186</v>
      </c>
      <c r="AA223" s="86"/>
      <c r="AB223" s="1"/>
      <c r="AC223" s="177"/>
      <c r="AD223" s="115"/>
      <c r="AE223" s="115"/>
      <c r="AF223" s="124"/>
      <c r="AG223" s="122"/>
      <c r="AH223" s="178"/>
      <c r="AI223" s="178"/>
      <c r="AJ223" s="21" t="s">
        <v>203</v>
      </c>
      <c r="AK223" s="21" t="s">
        <v>190</v>
      </c>
      <c r="AL223" s="21" t="s">
        <v>190</v>
      </c>
      <c r="AM223" s="123" t="s">
        <v>1234</v>
      </c>
      <c r="AN223" s="22">
        <v>182</v>
      </c>
      <c r="AO223" s="22">
        <v>3</v>
      </c>
      <c r="AP223" s="22">
        <v>0</v>
      </c>
      <c r="AQ223" s="22">
        <v>0</v>
      </c>
      <c r="AR223" s="22">
        <v>0</v>
      </c>
      <c r="AS223" s="22">
        <v>7</v>
      </c>
      <c r="AT223" s="22">
        <v>10</v>
      </c>
      <c r="AU223" s="316">
        <f t="shared" si="34"/>
        <v>202</v>
      </c>
      <c r="AV223" s="22">
        <v>190</v>
      </c>
      <c r="AW223" s="22">
        <v>3</v>
      </c>
      <c r="AX223" s="22">
        <v>0</v>
      </c>
      <c r="AY223" s="22">
        <v>0</v>
      </c>
      <c r="AZ223" s="22">
        <v>0</v>
      </c>
      <c r="BA223" s="22">
        <v>7</v>
      </c>
      <c r="BB223" s="22">
        <v>10</v>
      </c>
      <c r="BC223" s="316">
        <f t="shared" si="35"/>
        <v>210</v>
      </c>
      <c r="BD223" s="58">
        <f t="shared" si="36"/>
        <v>8</v>
      </c>
      <c r="BE223" s="58">
        <f t="shared" si="37"/>
        <v>0</v>
      </c>
      <c r="BF223" s="58">
        <f t="shared" si="38"/>
        <v>0</v>
      </c>
      <c r="BG223" s="58">
        <f t="shared" si="39"/>
        <v>0</v>
      </c>
      <c r="BH223" s="58">
        <f t="shared" si="40"/>
        <v>0</v>
      </c>
      <c r="BI223" s="58">
        <f t="shared" si="41"/>
        <v>0</v>
      </c>
      <c r="BJ223" s="58">
        <f t="shared" si="42"/>
        <v>0</v>
      </c>
      <c r="BK223" s="58">
        <f t="shared" si="43"/>
        <v>8</v>
      </c>
    </row>
    <row r="224" spans="1:63" ht="27" customHeight="1">
      <c r="A224" s="13">
        <f t="shared" si="44"/>
        <v>222</v>
      </c>
      <c r="B224" s="14" t="s">
        <v>1750</v>
      </c>
      <c r="C224" s="10">
        <v>1855</v>
      </c>
      <c r="D224" s="119" t="s">
        <v>1751</v>
      </c>
      <c r="E224" s="85">
        <v>30546786</v>
      </c>
      <c r="F224" s="78" t="s">
        <v>1752</v>
      </c>
      <c r="G224" s="79" t="s">
        <v>1753</v>
      </c>
      <c r="H224" s="15" t="s">
        <v>1754</v>
      </c>
      <c r="I224" s="16" t="s">
        <v>1755</v>
      </c>
      <c r="J224" s="80" t="s">
        <v>178</v>
      </c>
      <c r="K224" s="24">
        <v>34004</v>
      </c>
      <c r="L224" s="82" t="s">
        <v>179</v>
      </c>
      <c r="M224" s="25">
        <v>42797</v>
      </c>
      <c r="N224" s="25"/>
      <c r="O224" s="17" t="s">
        <v>26</v>
      </c>
      <c r="P224" s="18" t="s">
        <v>1385</v>
      </c>
      <c r="Q224" s="18" t="s">
        <v>249</v>
      </c>
      <c r="R224" s="17" t="s">
        <v>182</v>
      </c>
      <c r="S224" s="13" t="s">
        <v>310</v>
      </c>
      <c r="T224" s="175"/>
      <c r="U224" s="175"/>
      <c r="V224" s="21" t="s">
        <v>184</v>
      </c>
      <c r="W224" s="21" t="s">
        <v>184</v>
      </c>
      <c r="X224" s="1">
        <v>10</v>
      </c>
      <c r="Y224" s="176" t="s">
        <v>1756</v>
      </c>
      <c r="Z224" s="86"/>
      <c r="AA224" s="86" t="s">
        <v>186</v>
      </c>
      <c r="AB224" s="1"/>
      <c r="AC224" s="177" t="s">
        <v>1258</v>
      </c>
      <c r="AD224" s="115"/>
      <c r="AE224" s="115"/>
      <c r="AF224" s="124"/>
      <c r="AG224" s="122"/>
      <c r="AH224" s="178"/>
      <c r="AI224" s="178"/>
      <c r="AJ224" s="21" t="s">
        <v>203</v>
      </c>
      <c r="AK224" s="21" t="s">
        <v>190</v>
      </c>
      <c r="AL224" s="21" t="s">
        <v>190</v>
      </c>
      <c r="AM224" s="123" t="s">
        <v>1209</v>
      </c>
      <c r="AN224" s="22">
        <v>182</v>
      </c>
      <c r="AO224" s="22">
        <v>3</v>
      </c>
      <c r="AP224" s="22">
        <v>20</v>
      </c>
      <c r="AQ224" s="22">
        <v>0</v>
      </c>
      <c r="AR224" s="22">
        <v>0</v>
      </c>
      <c r="AS224" s="22">
        <v>7</v>
      </c>
      <c r="AT224" s="22">
        <v>10</v>
      </c>
      <c r="AU224" s="316">
        <f t="shared" si="34"/>
        <v>222</v>
      </c>
      <c r="AV224" s="22">
        <v>190</v>
      </c>
      <c r="AW224" s="22">
        <v>3</v>
      </c>
      <c r="AX224" s="22">
        <v>20</v>
      </c>
      <c r="AY224" s="22">
        <v>0</v>
      </c>
      <c r="AZ224" s="22">
        <v>0</v>
      </c>
      <c r="BA224" s="22">
        <v>7</v>
      </c>
      <c r="BB224" s="22">
        <v>10</v>
      </c>
      <c r="BC224" s="316">
        <f t="shared" si="35"/>
        <v>230</v>
      </c>
      <c r="BD224" s="58">
        <f t="shared" si="36"/>
        <v>8</v>
      </c>
      <c r="BE224" s="58">
        <f t="shared" si="37"/>
        <v>0</v>
      </c>
      <c r="BF224" s="58">
        <f t="shared" si="38"/>
        <v>0</v>
      </c>
      <c r="BG224" s="58">
        <f t="shared" si="39"/>
        <v>0</v>
      </c>
      <c r="BH224" s="58">
        <f t="shared" si="40"/>
        <v>0</v>
      </c>
      <c r="BI224" s="58">
        <f t="shared" si="41"/>
        <v>0</v>
      </c>
      <c r="BJ224" s="58">
        <f t="shared" si="42"/>
        <v>0</v>
      </c>
      <c r="BK224" s="58">
        <f t="shared" si="43"/>
        <v>8</v>
      </c>
    </row>
    <row r="225" spans="1:63" ht="27" customHeight="1">
      <c r="A225" s="13">
        <f t="shared" si="44"/>
        <v>223</v>
      </c>
      <c r="B225" s="148" t="s">
        <v>1757</v>
      </c>
      <c r="C225" s="148">
        <v>1857</v>
      </c>
      <c r="D225" s="208" t="s">
        <v>1758</v>
      </c>
      <c r="E225" s="150">
        <v>130156616</v>
      </c>
      <c r="F225" s="151" t="s">
        <v>963</v>
      </c>
      <c r="G225" s="152" t="s">
        <v>1759</v>
      </c>
      <c r="H225" s="153" t="s">
        <v>964</v>
      </c>
      <c r="I225" s="154" t="s">
        <v>1760</v>
      </c>
      <c r="J225" s="155" t="s">
        <v>178</v>
      </c>
      <c r="K225" s="156">
        <v>31478</v>
      </c>
      <c r="L225" s="157" t="s">
        <v>179</v>
      </c>
      <c r="M225" s="158">
        <v>42796</v>
      </c>
      <c r="N225" s="158"/>
      <c r="O225" s="159" t="s">
        <v>34</v>
      </c>
      <c r="P225" s="18" t="s">
        <v>309</v>
      </c>
      <c r="Q225" s="18" t="s">
        <v>181</v>
      </c>
      <c r="R225" s="159" t="s">
        <v>182</v>
      </c>
      <c r="S225" s="19" t="s">
        <v>256</v>
      </c>
      <c r="T225" s="160"/>
      <c r="U225" s="160"/>
      <c r="V225" s="161" t="s">
        <v>184</v>
      </c>
      <c r="W225" s="161" t="s">
        <v>184</v>
      </c>
      <c r="X225" s="161">
        <v>5</v>
      </c>
      <c r="Y225" s="150" t="s">
        <v>184</v>
      </c>
      <c r="Z225" s="162"/>
      <c r="AA225" s="162" t="s">
        <v>186</v>
      </c>
      <c r="AB225" s="161"/>
      <c r="AC225" s="183" t="s">
        <v>425</v>
      </c>
      <c r="AD225" s="184"/>
      <c r="AE225" s="184"/>
      <c r="AF225" s="164"/>
      <c r="AG225" s="163"/>
      <c r="AH225" s="165"/>
      <c r="AI225" s="165"/>
      <c r="AJ225" s="161" t="s">
        <v>203</v>
      </c>
      <c r="AK225" s="161" t="s">
        <v>190</v>
      </c>
      <c r="AL225" s="161" t="s">
        <v>190</v>
      </c>
      <c r="AM225" s="166" t="s">
        <v>1489</v>
      </c>
      <c r="AN225" s="22">
        <v>182</v>
      </c>
      <c r="AO225" s="22">
        <v>3</v>
      </c>
      <c r="AP225" s="22">
        <v>0</v>
      </c>
      <c r="AQ225" s="22">
        <v>0</v>
      </c>
      <c r="AR225" s="22">
        <v>0</v>
      </c>
      <c r="AS225" s="22">
        <v>7</v>
      </c>
      <c r="AT225" s="22">
        <v>10</v>
      </c>
      <c r="AU225" s="316">
        <f t="shared" si="34"/>
        <v>202</v>
      </c>
      <c r="AV225" s="22">
        <v>190</v>
      </c>
      <c r="AW225" s="22">
        <v>3</v>
      </c>
      <c r="AX225" s="22">
        <v>0</v>
      </c>
      <c r="AY225" s="22">
        <v>0</v>
      </c>
      <c r="AZ225" s="22">
        <v>0</v>
      </c>
      <c r="BA225" s="22">
        <v>7</v>
      </c>
      <c r="BB225" s="22">
        <v>10</v>
      </c>
      <c r="BC225" s="316">
        <f t="shared" si="35"/>
        <v>210</v>
      </c>
      <c r="BD225" s="58">
        <f t="shared" si="36"/>
        <v>8</v>
      </c>
      <c r="BE225" s="58">
        <f t="shared" si="37"/>
        <v>0</v>
      </c>
      <c r="BF225" s="58">
        <f t="shared" si="38"/>
        <v>0</v>
      </c>
      <c r="BG225" s="58">
        <f t="shared" si="39"/>
        <v>0</v>
      </c>
      <c r="BH225" s="58">
        <f t="shared" si="40"/>
        <v>0</v>
      </c>
      <c r="BI225" s="58">
        <f t="shared" si="41"/>
        <v>0</v>
      </c>
      <c r="BJ225" s="58">
        <f t="shared" si="42"/>
        <v>0</v>
      </c>
      <c r="BK225" s="58">
        <f t="shared" si="43"/>
        <v>8</v>
      </c>
    </row>
    <row r="226" spans="1:63" ht="27" customHeight="1">
      <c r="A226" s="13">
        <f t="shared" si="44"/>
        <v>224</v>
      </c>
      <c r="B226" s="14" t="s">
        <v>1761</v>
      </c>
      <c r="C226" s="10">
        <v>1861</v>
      </c>
      <c r="D226" s="90" t="s">
        <v>1762</v>
      </c>
      <c r="E226" s="85">
        <v>130131617</v>
      </c>
      <c r="F226" s="78" t="s">
        <v>1763</v>
      </c>
      <c r="G226" s="79" t="s">
        <v>1037</v>
      </c>
      <c r="H226" s="15" t="s">
        <v>1764</v>
      </c>
      <c r="I226" s="16" t="s">
        <v>1765</v>
      </c>
      <c r="J226" s="80" t="s">
        <v>178</v>
      </c>
      <c r="K226" s="24">
        <v>33254</v>
      </c>
      <c r="L226" s="82" t="s">
        <v>179</v>
      </c>
      <c r="M226" s="25">
        <v>42797</v>
      </c>
      <c r="N226" s="25"/>
      <c r="O226" s="17" t="s">
        <v>34</v>
      </c>
      <c r="P226" s="18" t="s">
        <v>1085</v>
      </c>
      <c r="Q226" s="18" t="s">
        <v>181</v>
      </c>
      <c r="R226" s="17" t="s">
        <v>182</v>
      </c>
      <c r="S226" s="19" t="s">
        <v>256</v>
      </c>
      <c r="T226" s="175"/>
      <c r="U226" s="175"/>
      <c r="V226" s="21" t="s">
        <v>184</v>
      </c>
      <c r="W226" s="21" t="s">
        <v>184</v>
      </c>
      <c r="X226" s="1">
        <v>8</v>
      </c>
      <c r="Y226" s="176">
        <v>969275853</v>
      </c>
      <c r="Z226" s="86"/>
      <c r="AA226" s="86" t="s">
        <v>186</v>
      </c>
      <c r="AB226" s="1"/>
      <c r="AC226" s="177" t="s">
        <v>202</v>
      </c>
      <c r="AD226" s="115"/>
      <c r="AE226" s="115"/>
      <c r="AF226" s="124"/>
      <c r="AG226" s="122"/>
      <c r="AH226" s="178"/>
      <c r="AI226" s="178"/>
      <c r="AJ226" s="21" t="s">
        <v>203</v>
      </c>
      <c r="AK226" s="21" t="s">
        <v>190</v>
      </c>
      <c r="AL226" s="21" t="s">
        <v>190</v>
      </c>
      <c r="AM226" s="123" t="s">
        <v>1209</v>
      </c>
      <c r="AN226" s="22">
        <v>182</v>
      </c>
      <c r="AO226" s="22">
        <v>3</v>
      </c>
      <c r="AP226" s="22">
        <v>0</v>
      </c>
      <c r="AQ226" s="22">
        <v>0</v>
      </c>
      <c r="AR226" s="22">
        <v>0</v>
      </c>
      <c r="AS226" s="22">
        <v>7</v>
      </c>
      <c r="AT226" s="22">
        <v>10</v>
      </c>
      <c r="AU226" s="316">
        <f t="shared" si="34"/>
        <v>202</v>
      </c>
      <c r="AV226" s="22">
        <v>190</v>
      </c>
      <c r="AW226" s="22">
        <v>3</v>
      </c>
      <c r="AX226" s="22">
        <v>0</v>
      </c>
      <c r="AY226" s="22">
        <v>0</v>
      </c>
      <c r="AZ226" s="22">
        <v>0</v>
      </c>
      <c r="BA226" s="22">
        <v>7</v>
      </c>
      <c r="BB226" s="22">
        <v>10</v>
      </c>
      <c r="BC226" s="316">
        <f t="shared" si="35"/>
        <v>210</v>
      </c>
      <c r="BD226" s="58">
        <f t="shared" si="36"/>
        <v>8</v>
      </c>
      <c r="BE226" s="58">
        <f t="shared" si="37"/>
        <v>0</v>
      </c>
      <c r="BF226" s="58">
        <f t="shared" si="38"/>
        <v>0</v>
      </c>
      <c r="BG226" s="58">
        <f t="shared" si="39"/>
        <v>0</v>
      </c>
      <c r="BH226" s="58">
        <f t="shared" si="40"/>
        <v>0</v>
      </c>
      <c r="BI226" s="58">
        <f t="shared" si="41"/>
        <v>0</v>
      </c>
      <c r="BJ226" s="58">
        <f t="shared" si="42"/>
        <v>0</v>
      </c>
      <c r="BK226" s="58">
        <f t="shared" si="43"/>
        <v>8</v>
      </c>
    </row>
    <row r="227" spans="1:63" ht="27" customHeight="1">
      <c r="A227" s="13">
        <f t="shared" si="44"/>
        <v>225</v>
      </c>
      <c r="B227" s="125" t="s">
        <v>1766</v>
      </c>
      <c r="C227" s="125">
        <v>1864</v>
      </c>
      <c r="D227" s="210" t="s">
        <v>1767</v>
      </c>
      <c r="E227" s="127">
        <v>61524996</v>
      </c>
      <c r="F227" s="128" t="s">
        <v>1768</v>
      </c>
      <c r="G227" s="129" t="s">
        <v>1769</v>
      </c>
      <c r="H227" s="130" t="s">
        <v>1770</v>
      </c>
      <c r="I227" s="131" t="s">
        <v>1771</v>
      </c>
      <c r="J227" s="132" t="s">
        <v>178</v>
      </c>
      <c r="K227" s="133">
        <v>34766</v>
      </c>
      <c r="L227" s="134" t="s">
        <v>179</v>
      </c>
      <c r="M227" s="135">
        <v>42797</v>
      </c>
      <c r="N227" s="135"/>
      <c r="O227" s="136" t="s">
        <v>34</v>
      </c>
      <c r="P227" s="18" t="s">
        <v>512</v>
      </c>
      <c r="Q227" s="18" t="s">
        <v>181</v>
      </c>
      <c r="R227" s="136" t="s">
        <v>182</v>
      </c>
      <c r="S227" s="136" t="s">
        <v>256</v>
      </c>
      <c r="T227" s="138"/>
      <c r="U227" s="138"/>
      <c r="V227" s="139" t="s">
        <v>184</v>
      </c>
      <c r="W227" s="139" t="s">
        <v>184</v>
      </c>
      <c r="X227" s="139">
        <v>5</v>
      </c>
      <c r="Y227" s="127" t="s">
        <v>1772</v>
      </c>
      <c r="Z227" s="141" t="s">
        <v>186</v>
      </c>
      <c r="AA227" s="141"/>
      <c r="AB227" s="139"/>
      <c r="AC227" s="186"/>
      <c r="AD227" s="167"/>
      <c r="AE227" s="167"/>
      <c r="AF227" s="169"/>
      <c r="AG227" s="168"/>
      <c r="AH227" s="144"/>
      <c r="AI227" s="144"/>
      <c r="AJ227" s="139" t="s">
        <v>203</v>
      </c>
      <c r="AK227" s="139" t="s">
        <v>190</v>
      </c>
      <c r="AL227" s="139" t="s">
        <v>190</v>
      </c>
      <c r="AM227" s="145" t="s">
        <v>1773</v>
      </c>
      <c r="AN227" s="22">
        <v>182</v>
      </c>
      <c r="AO227" s="22">
        <v>3</v>
      </c>
      <c r="AP227" s="22">
        <v>0</v>
      </c>
      <c r="AQ227" s="22">
        <v>10</v>
      </c>
      <c r="AR227" s="22">
        <v>0</v>
      </c>
      <c r="AS227" s="22">
        <v>7</v>
      </c>
      <c r="AT227" s="22">
        <v>10</v>
      </c>
      <c r="AU227" s="316">
        <f t="shared" si="34"/>
        <v>212</v>
      </c>
      <c r="AV227" s="22">
        <v>190</v>
      </c>
      <c r="AW227" s="22">
        <v>3</v>
      </c>
      <c r="AX227" s="22">
        <v>0</v>
      </c>
      <c r="AY227" s="22">
        <v>10</v>
      </c>
      <c r="AZ227" s="22">
        <v>0</v>
      </c>
      <c r="BA227" s="22">
        <v>7</v>
      </c>
      <c r="BB227" s="22">
        <v>10</v>
      </c>
      <c r="BC227" s="316">
        <f t="shared" si="35"/>
        <v>220</v>
      </c>
      <c r="BD227" s="58">
        <f t="shared" si="36"/>
        <v>8</v>
      </c>
      <c r="BE227" s="58">
        <f t="shared" si="37"/>
        <v>0</v>
      </c>
      <c r="BF227" s="58">
        <f t="shared" si="38"/>
        <v>0</v>
      </c>
      <c r="BG227" s="58">
        <f t="shared" si="39"/>
        <v>0</v>
      </c>
      <c r="BH227" s="58">
        <f t="shared" si="40"/>
        <v>0</v>
      </c>
      <c r="BI227" s="58">
        <f t="shared" si="41"/>
        <v>0</v>
      </c>
      <c r="BJ227" s="58">
        <f t="shared" si="42"/>
        <v>0</v>
      </c>
      <c r="BK227" s="58">
        <f t="shared" si="43"/>
        <v>8</v>
      </c>
    </row>
    <row r="228" spans="1:63" ht="27" customHeight="1">
      <c r="A228" s="13">
        <f t="shared" si="44"/>
        <v>226</v>
      </c>
      <c r="B228" s="14" t="s">
        <v>1774</v>
      </c>
      <c r="C228" s="10">
        <v>1874</v>
      </c>
      <c r="D228" s="119" t="s">
        <v>1775</v>
      </c>
      <c r="E228" s="85">
        <v>130115501</v>
      </c>
      <c r="F228" s="78" t="s">
        <v>557</v>
      </c>
      <c r="G228" s="79" t="s">
        <v>1390</v>
      </c>
      <c r="H228" s="15" t="s">
        <v>1776</v>
      </c>
      <c r="I228" s="16" t="s">
        <v>1392</v>
      </c>
      <c r="J228" s="80" t="s">
        <v>178</v>
      </c>
      <c r="K228" s="24">
        <v>34982</v>
      </c>
      <c r="L228" s="82" t="s">
        <v>179</v>
      </c>
      <c r="M228" s="25">
        <v>42804</v>
      </c>
      <c r="N228" s="25"/>
      <c r="O228" s="17" t="s">
        <v>34</v>
      </c>
      <c r="P228" s="18" t="s">
        <v>301</v>
      </c>
      <c r="Q228" s="18" t="s">
        <v>181</v>
      </c>
      <c r="R228" s="17" t="s">
        <v>182</v>
      </c>
      <c r="S228" s="19" t="s">
        <v>256</v>
      </c>
      <c r="T228" s="175"/>
      <c r="U228" s="175"/>
      <c r="V228" s="21" t="s">
        <v>184</v>
      </c>
      <c r="W228" s="21" t="s">
        <v>184</v>
      </c>
      <c r="X228" s="1">
        <v>7</v>
      </c>
      <c r="Y228" s="176" t="s">
        <v>1777</v>
      </c>
      <c r="Z228" s="86"/>
      <c r="AA228" s="86" t="s">
        <v>186</v>
      </c>
      <c r="AB228" s="1"/>
      <c r="AC228" s="177" t="s">
        <v>425</v>
      </c>
      <c r="AD228" s="115"/>
      <c r="AE228" s="115"/>
      <c r="AF228" s="124"/>
      <c r="AG228" s="122"/>
      <c r="AH228" s="178"/>
      <c r="AI228" s="178"/>
      <c r="AJ228" s="21" t="s">
        <v>203</v>
      </c>
      <c r="AK228" s="21" t="s">
        <v>190</v>
      </c>
      <c r="AL228" s="21" t="s">
        <v>190</v>
      </c>
      <c r="AM228" s="123" t="s">
        <v>1514</v>
      </c>
      <c r="AN228" s="22">
        <v>182</v>
      </c>
      <c r="AO228" s="22">
        <v>3</v>
      </c>
      <c r="AP228" s="22">
        <v>0</v>
      </c>
      <c r="AQ228" s="22">
        <v>0</v>
      </c>
      <c r="AR228" s="22">
        <v>0</v>
      </c>
      <c r="AS228" s="22">
        <v>7</v>
      </c>
      <c r="AT228" s="22">
        <v>10</v>
      </c>
      <c r="AU228" s="316">
        <f t="shared" si="34"/>
        <v>202</v>
      </c>
      <c r="AV228" s="22">
        <v>190</v>
      </c>
      <c r="AW228" s="22">
        <v>3</v>
      </c>
      <c r="AX228" s="22">
        <v>0</v>
      </c>
      <c r="AY228" s="22">
        <v>0</v>
      </c>
      <c r="AZ228" s="22">
        <v>0</v>
      </c>
      <c r="BA228" s="22">
        <v>7</v>
      </c>
      <c r="BB228" s="22">
        <v>10</v>
      </c>
      <c r="BC228" s="316">
        <f t="shared" si="35"/>
        <v>210</v>
      </c>
      <c r="BD228" s="58">
        <f t="shared" si="36"/>
        <v>8</v>
      </c>
      <c r="BE228" s="58">
        <f t="shared" si="37"/>
        <v>0</v>
      </c>
      <c r="BF228" s="58">
        <f t="shared" si="38"/>
        <v>0</v>
      </c>
      <c r="BG228" s="58">
        <f t="shared" si="39"/>
        <v>0</v>
      </c>
      <c r="BH228" s="58">
        <f t="shared" si="40"/>
        <v>0</v>
      </c>
      <c r="BI228" s="58">
        <f t="shared" si="41"/>
        <v>0</v>
      </c>
      <c r="BJ228" s="58">
        <f t="shared" si="42"/>
        <v>0</v>
      </c>
      <c r="BK228" s="58">
        <f t="shared" si="43"/>
        <v>8</v>
      </c>
    </row>
    <row r="229" spans="1:63" ht="27" customHeight="1">
      <c r="A229" s="13">
        <f t="shared" si="44"/>
        <v>227</v>
      </c>
      <c r="B229" s="14" t="s">
        <v>1778</v>
      </c>
      <c r="C229" s="10">
        <v>1884</v>
      </c>
      <c r="D229" s="119" t="s">
        <v>1779</v>
      </c>
      <c r="E229" s="85">
        <v>61109889</v>
      </c>
      <c r="F229" s="78" t="s">
        <v>1780</v>
      </c>
      <c r="G229" s="79" t="s">
        <v>1781</v>
      </c>
      <c r="H229" s="15" t="s">
        <v>1782</v>
      </c>
      <c r="I229" s="16" t="s">
        <v>1783</v>
      </c>
      <c r="J229" s="80" t="s">
        <v>178</v>
      </c>
      <c r="K229" s="24">
        <v>32207</v>
      </c>
      <c r="L229" s="82" t="s">
        <v>179</v>
      </c>
      <c r="M229" s="25">
        <v>42810</v>
      </c>
      <c r="N229" s="25"/>
      <c r="O229" s="17" t="s">
        <v>34</v>
      </c>
      <c r="P229" s="18" t="s">
        <v>1281</v>
      </c>
      <c r="Q229" s="18" t="s">
        <v>181</v>
      </c>
      <c r="R229" s="17" t="s">
        <v>182</v>
      </c>
      <c r="S229" s="19" t="s">
        <v>256</v>
      </c>
      <c r="T229" s="175"/>
      <c r="U229" s="175"/>
      <c r="V229" s="21" t="s">
        <v>184</v>
      </c>
      <c r="W229" s="21" t="s">
        <v>184</v>
      </c>
      <c r="X229" s="1">
        <v>5</v>
      </c>
      <c r="Y229" s="176">
        <v>882398844</v>
      </c>
      <c r="Z229" s="86"/>
      <c r="AA229" s="86" t="s">
        <v>186</v>
      </c>
      <c r="AB229" s="1"/>
      <c r="AC229" s="177" t="s">
        <v>425</v>
      </c>
      <c r="AD229" s="115"/>
      <c r="AE229" s="115"/>
      <c r="AF229" s="124"/>
      <c r="AG229" s="122"/>
      <c r="AH229" s="178"/>
      <c r="AI229" s="178"/>
      <c r="AJ229" s="21" t="s">
        <v>203</v>
      </c>
      <c r="AK229" s="21" t="s">
        <v>190</v>
      </c>
      <c r="AL229" s="21" t="s">
        <v>190</v>
      </c>
      <c r="AM229" s="123" t="s">
        <v>1562</v>
      </c>
      <c r="AN229" s="22">
        <v>182</v>
      </c>
      <c r="AO229" s="22">
        <v>0</v>
      </c>
      <c r="AP229" s="22">
        <v>0</v>
      </c>
      <c r="AQ229" s="22">
        <v>0</v>
      </c>
      <c r="AR229" s="22">
        <v>0</v>
      </c>
      <c r="AS229" s="22">
        <v>7</v>
      </c>
      <c r="AT229" s="22">
        <v>10</v>
      </c>
      <c r="AU229" s="316">
        <f t="shared" si="34"/>
        <v>199</v>
      </c>
      <c r="AV229" s="22">
        <v>190</v>
      </c>
      <c r="AW229" s="22">
        <v>0</v>
      </c>
      <c r="AX229" s="22">
        <v>0</v>
      </c>
      <c r="AY229" s="22">
        <v>0</v>
      </c>
      <c r="AZ229" s="22">
        <v>0</v>
      </c>
      <c r="BA229" s="22">
        <v>7</v>
      </c>
      <c r="BB229" s="22">
        <v>10</v>
      </c>
      <c r="BC229" s="316">
        <f t="shared" si="35"/>
        <v>207</v>
      </c>
      <c r="BD229" s="58">
        <f t="shared" si="36"/>
        <v>8</v>
      </c>
      <c r="BE229" s="58">
        <f t="shared" si="37"/>
        <v>0</v>
      </c>
      <c r="BF229" s="58">
        <f t="shared" si="38"/>
        <v>0</v>
      </c>
      <c r="BG229" s="58">
        <f t="shared" si="39"/>
        <v>0</v>
      </c>
      <c r="BH229" s="58">
        <f t="shared" si="40"/>
        <v>0</v>
      </c>
      <c r="BI229" s="58">
        <f t="shared" si="41"/>
        <v>0</v>
      </c>
      <c r="BJ229" s="58">
        <f t="shared" si="42"/>
        <v>0</v>
      </c>
      <c r="BK229" s="58">
        <f t="shared" si="43"/>
        <v>8</v>
      </c>
    </row>
    <row r="230" spans="1:63" ht="27" customHeight="1">
      <c r="A230" s="13">
        <f t="shared" si="44"/>
        <v>228</v>
      </c>
      <c r="B230" s="14" t="s">
        <v>1784</v>
      </c>
      <c r="C230" s="10">
        <v>1886</v>
      </c>
      <c r="D230" s="119" t="s">
        <v>1785</v>
      </c>
      <c r="E230" s="85">
        <v>110504089</v>
      </c>
      <c r="F230" s="78" t="s">
        <v>742</v>
      </c>
      <c r="G230" s="79" t="s">
        <v>1786</v>
      </c>
      <c r="H230" s="15" t="s">
        <v>24</v>
      </c>
      <c r="I230" s="16" t="s">
        <v>25</v>
      </c>
      <c r="J230" s="80" t="s">
        <v>209</v>
      </c>
      <c r="K230" s="24">
        <v>32759</v>
      </c>
      <c r="L230" s="82" t="s">
        <v>179</v>
      </c>
      <c r="M230" s="25">
        <v>42811</v>
      </c>
      <c r="N230" s="25"/>
      <c r="O230" s="17" t="s">
        <v>26</v>
      </c>
      <c r="P230" s="18" t="s">
        <v>15</v>
      </c>
      <c r="Q230" s="18" t="s">
        <v>181</v>
      </c>
      <c r="R230" s="17" t="s">
        <v>182</v>
      </c>
      <c r="S230" s="13" t="s">
        <v>228</v>
      </c>
      <c r="T230" s="175"/>
      <c r="U230" s="175"/>
      <c r="V230" s="21" t="s">
        <v>184</v>
      </c>
      <c r="W230" s="21" t="s">
        <v>184</v>
      </c>
      <c r="X230" s="1">
        <v>9</v>
      </c>
      <c r="Y230" s="176">
        <v>966552580</v>
      </c>
      <c r="Z230" s="86" t="s">
        <v>186</v>
      </c>
      <c r="AA230" s="86"/>
      <c r="AB230" s="1"/>
      <c r="AC230" s="177"/>
      <c r="AD230" s="115"/>
      <c r="AE230" s="115"/>
      <c r="AF230" s="124"/>
      <c r="AG230" s="122"/>
      <c r="AH230" s="178"/>
      <c r="AI230" s="178"/>
      <c r="AJ230" s="21" t="s">
        <v>203</v>
      </c>
      <c r="AK230" s="21" t="s">
        <v>190</v>
      </c>
      <c r="AL230" s="21" t="s">
        <v>190</v>
      </c>
      <c r="AM230" s="123" t="s">
        <v>1234</v>
      </c>
      <c r="AN230" s="22">
        <v>182</v>
      </c>
      <c r="AO230" s="22">
        <v>3</v>
      </c>
      <c r="AP230" s="22">
        <v>0</v>
      </c>
      <c r="AQ230" s="22">
        <v>15</v>
      </c>
      <c r="AR230" s="22">
        <v>0</v>
      </c>
      <c r="AS230" s="22">
        <v>7</v>
      </c>
      <c r="AT230" s="22">
        <v>10</v>
      </c>
      <c r="AU230" s="316">
        <f t="shared" si="34"/>
        <v>217</v>
      </c>
      <c r="AV230" s="22">
        <v>190</v>
      </c>
      <c r="AW230" s="22">
        <v>3</v>
      </c>
      <c r="AX230" s="22">
        <v>0</v>
      </c>
      <c r="AY230" s="22">
        <v>15</v>
      </c>
      <c r="AZ230" s="22">
        <v>0</v>
      </c>
      <c r="BA230" s="22">
        <v>7</v>
      </c>
      <c r="BB230" s="22">
        <v>10</v>
      </c>
      <c r="BC230" s="316">
        <f t="shared" si="35"/>
        <v>225</v>
      </c>
      <c r="BD230" s="58">
        <f t="shared" si="36"/>
        <v>8</v>
      </c>
      <c r="BE230" s="58">
        <f t="shared" si="37"/>
        <v>0</v>
      </c>
      <c r="BF230" s="58">
        <f t="shared" si="38"/>
        <v>0</v>
      </c>
      <c r="BG230" s="58">
        <f t="shared" si="39"/>
        <v>0</v>
      </c>
      <c r="BH230" s="58">
        <f t="shared" si="40"/>
        <v>0</v>
      </c>
      <c r="BI230" s="58">
        <f t="shared" si="41"/>
        <v>0</v>
      </c>
      <c r="BJ230" s="58">
        <f t="shared" si="42"/>
        <v>0</v>
      </c>
      <c r="BK230" s="58">
        <f t="shared" si="43"/>
        <v>8</v>
      </c>
    </row>
    <row r="231" spans="1:63" ht="27" customHeight="1">
      <c r="A231" s="13">
        <f t="shared" si="44"/>
        <v>229</v>
      </c>
      <c r="B231" s="14" t="s">
        <v>1787</v>
      </c>
      <c r="C231" s="10">
        <v>1870</v>
      </c>
      <c r="D231" s="90" t="s">
        <v>1788</v>
      </c>
      <c r="E231" s="85">
        <v>30451199</v>
      </c>
      <c r="F231" s="78" t="s">
        <v>1789</v>
      </c>
      <c r="G231" s="79" t="s">
        <v>1790</v>
      </c>
      <c r="H231" s="15" t="s">
        <v>1791</v>
      </c>
      <c r="I231" s="16" t="s">
        <v>898</v>
      </c>
      <c r="J231" s="80" t="s">
        <v>178</v>
      </c>
      <c r="K231" s="24">
        <v>31598</v>
      </c>
      <c r="L231" s="82" t="s">
        <v>179</v>
      </c>
      <c r="M231" s="25">
        <v>42801</v>
      </c>
      <c r="N231" s="25"/>
      <c r="O231" s="17" t="s">
        <v>34</v>
      </c>
      <c r="P231" s="18" t="s">
        <v>292</v>
      </c>
      <c r="Q231" s="18" t="s">
        <v>181</v>
      </c>
      <c r="R231" s="17" t="s">
        <v>182</v>
      </c>
      <c r="S231" s="13" t="s">
        <v>310</v>
      </c>
      <c r="T231" s="175"/>
      <c r="U231" s="175"/>
      <c r="V231" s="21" t="s">
        <v>184</v>
      </c>
      <c r="W231" s="21" t="s">
        <v>184</v>
      </c>
      <c r="X231" s="1">
        <v>9</v>
      </c>
      <c r="Y231" s="176" t="s">
        <v>1792</v>
      </c>
      <c r="Z231" s="86"/>
      <c r="AA231" s="86" t="s">
        <v>186</v>
      </c>
      <c r="AB231" s="1"/>
      <c r="AC231" s="177" t="s">
        <v>1793</v>
      </c>
      <c r="AD231" s="115"/>
      <c r="AE231" s="115"/>
      <c r="AF231" s="124"/>
      <c r="AG231" s="122"/>
      <c r="AH231" s="178"/>
      <c r="AI231" s="178"/>
      <c r="AJ231" s="21" t="s">
        <v>203</v>
      </c>
      <c r="AK231" s="21" t="s">
        <v>190</v>
      </c>
      <c r="AL231" s="21" t="s">
        <v>190</v>
      </c>
      <c r="AM231" s="123" t="s">
        <v>1234</v>
      </c>
      <c r="AN231" s="22">
        <v>182</v>
      </c>
      <c r="AO231" s="22">
        <v>3</v>
      </c>
      <c r="AP231" s="22">
        <v>20</v>
      </c>
      <c r="AQ231" s="22">
        <v>0</v>
      </c>
      <c r="AR231" s="22">
        <v>0</v>
      </c>
      <c r="AS231" s="22">
        <v>7</v>
      </c>
      <c r="AT231" s="22">
        <v>10</v>
      </c>
      <c r="AU231" s="316">
        <f t="shared" si="34"/>
        <v>222</v>
      </c>
      <c r="AV231" s="22">
        <v>190</v>
      </c>
      <c r="AW231" s="22">
        <v>3</v>
      </c>
      <c r="AX231" s="22">
        <v>20</v>
      </c>
      <c r="AY231" s="22">
        <v>0</v>
      </c>
      <c r="AZ231" s="22">
        <v>0</v>
      </c>
      <c r="BA231" s="22">
        <v>7</v>
      </c>
      <c r="BB231" s="22">
        <v>10</v>
      </c>
      <c r="BC231" s="316">
        <f t="shared" si="35"/>
        <v>230</v>
      </c>
      <c r="BD231" s="58">
        <f t="shared" si="36"/>
        <v>8</v>
      </c>
      <c r="BE231" s="58">
        <f t="shared" si="37"/>
        <v>0</v>
      </c>
      <c r="BF231" s="58">
        <f t="shared" si="38"/>
        <v>0</v>
      </c>
      <c r="BG231" s="58">
        <f t="shared" si="39"/>
        <v>0</v>
      </c>
      <c r="BH231" s="58">
        <f t="shared" si="40"/>
        <v>0</v>
      </c>
      <c r="BI231" s="58">
        <f t="shared" si="41"/>
        <v>0</v>
      </c>
      <c r="BJ231" s="58">
        <f t="shared" si="42"/>
        <v>0</v>
      </c>
      <c r="BK231" s="58">
        <f t="shared" si="43"/>
        <v>8</v>
      </c>
    </row>
    <row r="232" spans="1:63" ht="27" customHeight="1">
      <c r="A232" s="13">
        <f t="shared" si="44"/>
        <v>230</v>
      </c>
      <c r="B232" s="14" t="s">
        <v>1794</v>
      </c>
      <c r="C232" s="10">
        <v>1910</v>
      </c>
      <c r="D232" s="211" t="s">
        <v>1795</v>
      </c>
      <c r="E232" s="85">
        <v>110430090</v>
      </c>
      <c r="F232" s="78" t="s">
        <v>1796</v>
      </c>
      <c r="G232" s="79" t="s">
        <v>1797</v>
      </c>
      <c r="H232" s="15" t="s">
        <v>1798</v>
      </c>
      <c r="I232" s="16" t="s">
        <v>1799</v>
      </c>
      <c r="J232" s="80" t="s">
        <v>178</v>
      </c>
      <c r="K232" s="24">
        <v>35107</v>
      </c>
      <c r="L232" s="82" t="s">
        <v>179</v>
      </c>
      <c r="M232" s="170">
        <v>42828</v>
      </c>
      <c r="N232" s="170"/>
      <c r="O232" s="17" t="s">
        <v>80</v>
      </c>
      <c r="P232" s="18" t="s">
        <v>102</v>
      </c>
      <c r="Q232" s="18" t="s">
        <v>249</v>
      </c>
      <c r="R232" s="17" t="s">
        <v>182</v>
      </c>
      <c r="S232" s="18" t="s">
        <v>228</v>
      </c>
      <c r="T232" s="20"/>
      <c r="U232" s="20"/>
      <c r="V232" s="21" t="s">
        <v>184</v>
      </c>
      <c r="W232" s="21" t="s">
        <v>184</v>
      </c>
      <c r="X232" s="21" t="s">
        <v>409</v>
      </c>
      <c r="Y232" s="85" t="s">
        <v>1800</v>
      </c>
      <c r="Z232" s="86" t="s">
        <v>186</v>
      </c>
      <c r="AA232" s="94"/>
      <c r="AB232" s="84"/>
      <c r="AC232" s="179"/>
      <c r="AD232" s="180"/>
      <c r="AE232" s="180"/>
      <c r="AF232" s="181"/>
      <c r="AG232" s="182"/>
      <c r="AH232" s="95"/>
      <c r="AI232" s="95"/>
      <c r="AJ232" s="21" t="s">
        <v>203</v>
      </c>
      <c r="AK232" s="21" t="s">
        <v>190</v>
      </c>
      <c r="AL232" s="21" t="s">
        <v>190</v>
      </c>
      <c r="AM232" s="123" t="s">
        <v>1234</v>
      </c>
      <c r="AN232" s="22">
        <v>182</v>
      </c>
      <c r="AO232" s="22">
        <v>3</v>
      </c>
      <c r="AP232" s="22">
        <v>0</v>
      </c>
      <c r="AQ232" s="22">
        <v>73</v>
      </c>
      <c r="AR232" s="22">
        <v>15</v>
      </c>
      <c r="AS232" s="22">
        <v>7</v>
      </c>
      <c r="AT232" s="22">
        <v>10</v>
      </c>
      <c r="AU232" s="316">
        <f t="shared" si="34"/>
        <v>290</v>
      </c>
      <c r="AV232" s="22">
        <v>190</v>
      </c>
      <c r="AW232" s="22">
        <v>3</v>
      </c>
      <c r="AX232" s="22">
        <v>0</v>
      </c>
      <c r="AY232" s="22">
        <v>73</v>
      </c>
      <c r="AZ232" s="22">
        <v>15</v>
      </c>
      <c r="BA232" s="22">
        <v>7</v>
      </c>
      <c r="BB232" s="22">
        <v>10</v>
      </c>
      <c r="BC232" s="316">
        <f t="shared" si="35"/>
        <v>298</v>
      </c>
      <c r="BD232" s="58">
        <f t="shared" si="36"/>
        <v>8</v>
      </c>
      <c r="BE232" s="58">
        <f t="shared" si="37"/>
        <v>0</v>
      </c>
      <c r="BF232" s="58">
        <f t="shared" si="38"/>
        <v>0</v>
      </c>
      <c r="BG232" s="58">
        <f t="shared" si="39"/>
        <v>0</v>
      </c>
      <c r="BH232" s="58">
        <f t="shared" si="40"/>
        <v>0</v>
      </c>
      <c r="BI232" s="58">
        <f t="shared" si="41"/>
        <v>0</v>
      </c>
      <c r="BJ232" s="58">
        <f t="shared" si="42"/>
        <v>0</v>
      </c>
      <c r="BK232" s="58">
        <f t="shared" si="43"/>
        <v>8</v>
      </c>
    </row>
    <row r="233" spans="1:63" ht="27" customHeight="1">
      <c r="A233" s="13">
        <f t="shared" si="44"/>
        <v>231</v>
      </c>
      <c r="B233" s="14" t="s">
        <v>1801</v>
      </c>
      <c r="C233" s="10">
        <v>1917</v>
      </c>
      <c r="D233" s="119" t="s">
        <v>1802</v>
      </c>
      <c r="E233" s="85">
        <v>110456416</v>
      </c>
      <c r="F233" s="78" t="s">
        <v>830</v>
      </c>
      <c r="G233" s="79" t="s">
        <v>1803</v>
      </c>
      <c r="H233" s="15" t="s">
        <v>1804</v>
      </c>
      <c r="I233" s="16" t="s">
        <v>1805</v>
      </c>
      <c r="J233" s="80" t="s">
        <v>178</v>
      </c>
      <c r="K233" s="24">
        <v>33727</v>
      </c>
      <c r="L233" s="82" t="s">
        <v>179</v>
      </c>
      <c r="M233" s="25">
        <v>42845</v>
      </c>
      <c r="N233" s="25"/>
      <c r="O233" s="17" t="s">
        <v>34</v>
      </c>
      <c r="P233" s="18" t="s">
        <v>1281</v>
      </c>
      <c r="Q233" s="18" t="s">
        <v>181</v>
      </c>
      <c r="R233" s="17" t="s">
        <v>182</v>
      </c>
      <c r="S233" s="13" t="s">
        <v>228</v>
      </c>
      <c r="T233" s="175"/>
      <c r="U233" s="175"/>
      <c r="V233" s="21" t="s">
        <v>184</v>
      </c>
      <c r="W233" s="21" t="s">
        <v>184</v>
      </c>
      <c r="X233" s="1">
        <v>6</v>
      </c>
      <c r="Y233" s="176" t="s">
        <v>1806</v>
      </c>
      <c r="Z233" s="86"/>
      <c r="AA233" s="86" t="s">
        <v>186</v>
      </c>
      <c r="AB233" s="1"/>
      <c r="AC233" s="177" t="s">
        <v>202</v>
      </c>
      <c r="AD233" s="115"/>
      <c r="AE233" s="115"/>
      <c r="AF233" s="124"/>
      <c r="AG233" s="122"/>
      <c r="AH233" s="178"/>
      <c r="AI233" s="178"/>
      <c r="AJ233" s="21" t="s">
        <v>203</v>
      </c>
      <c r="AK233" s="21" t="s">
        <v>190</v>
      </c>
      <c r="AL233" s="21" t="s">
        <v>190</v>
      </c>
      <c r="AM233" s="123" t="s">
        <v>1234</v>
      </c>
      <c r="AN233" s="22">
        <v>182</v>
      </c>
      <c r="AO233" s="22">
        <v>3</v>
      </c>
      <c r="AP233" s="22">
        <v>20</v>
      </c>
      <c r="AQ233" s="22">
        <v>0</v>
      </c>
      <c r="AR233" s="22">
        <v>0</v>
      </c>
      <c r="AS233" s="22">
        <v>7</v>
      </c>
      <c r="AT233" s="22">
        <v>10</v>
      </c>
      <c r="AU233" s="316">
        <f t="shared" si="34"/>
        <v>222</v>
      </c>
      <c r="AV233" s="22">
        <v>190</v>
      </c>
      <c r="AW233" s="22">
        <v>3</v>
      </c>
      <c r="AX233" s="22">
        <v>20</v>
      </c>
      <c r="AY233" s="22">
        <v>0</v>
      </c>
      <c r="AZ233" s="22">
        <v>0</v>
      </c>
      <c r="BA233" s="22">
        <v>7</v>
      </c>
      <c r="BB233" s="22">
        <v>10</v>
      </c>
      <c r="BC233" s="316">
        <f t="shared" si="35"/>
        <v>230</v>
      </c>
      <c r="BD233" s="58">
        <f t="shared" si="36"/>
        <v>8</v>
      </c>
      <c r="BE233" s="58">
        <f t="shared" si="37"/>
        <v>0</v>
      </c>
      <c r="BF233" s="58">
        <f t="shared" si="38"/>
        <v>0</v>
      </c>
      <c r="BG233" s="58">
        <f t="shared" si="39"/>
        <v>0</v>
      </c>
      <c r="BH233" s="58">
        <f t="shared" si="40"/>
        <v>0</v>
      </c>
      <c r="BI233" s="58">
        <f t="shared" si="41"/>
        <v>0</v>
      </c>
      <c r="BJ233" s="58">
        <f t="shared" si="42"/>
        <v>0</v>
      </c>
      <c r="BK233" s="58">
        <f t="shared" si="43"/>
        <v>8</v>
      </c>
    </row>
    <row r="234" spans="1:63" ht="27" customHeight="1">
      <c r="A234" s="13">
        <f t="shared" si="44"/>
        <v>232</v>
      </c>
      <c r="B234" s="14" t="s">
        <v>1807</v>
      </c>
      <c r="C234" s="10">
        <v>1920</v>
      </c>
      <c r="D234" s="119" t="s">
        <v>1808</v>
      </c>
      <c r="E234" s="85">
        <v>110530664</v>
      </c>
      <c r="F234" s="78" t="s">
        <v>1066</v>
      </c>
      <c r="G234" s="79" t="s">
        <v>1809</v>
      </c>
      <c r="H234" s="15" t="s">
        <v>1068</v>
      </c>
      <c r="I234" s="16" t="s">
        <v>1810</v>
      </c>
      <c r="J234" s="80" t="s">
        <v>178</v>
      </c>
      <c r="K234" s="24">
        <v>35999</v>
      </c>
      <c r="L234" s="82" t="s">
        <v>179</v>
      </c>
      <c r="M234" s="25">
        <v>42846</v>
      </c>
      <c r="N234" s="25"/>
      <c r="O234" s="17" t="s">
        <v>34</v>
      </c>
      <c r="P234" s="18" t="s">
        <v>1085</v>
      </c>
      <c r="Q234" s="18" t="s">
        <v>181</v>
      </c>
      <c r="R234" s="17" t="s">
        <v>182</v>
      </c>
      <c r="S234" s="13" t="s">
        <v>228</v>
      </c>
      <c r="T234" s="175"/>
      <c r="U234" s="175"/>
      <c r="V234" s="21" t="s">
        <v>184</v>
      </c>
      <c r="W234" s="21" t="s">
        <v>184</v>
      </c>
      <c r="X234" s="1">
        <v>7</v>
      </c>
      <c r="Y234" s="176" t="s">
        <v>1811</v>
      </c>
      <c r="Z234" s="86" t="s">
        <v>186</v>
      </c>
      <c r="AA234" s="86"/>
      <c r="AB234" s="1"/>
      <c r="AC234" s="177"/>
      <c r="AD234" s="115"/>
      <c r="AE234" s="115"/>
      <c r="AF234" s="124"/>
      <c r="AG234" s="122"/>
      <c r="AH234" s="178"/>
      <c r="AI234" s="178"/>
      <c r="AJ234" s="21" t="s">
        <v>203</v>
      </c>
      <c r="AK234" s="21" t="s">
        <v>190</v>
      </c>
      <c r="AL234" s="21" t="s">
        <v>190</v>
      </c>
      <c r="AM234" s="123" t="s">
        <v>1600</v>
      </c>
      <c r="AN234" s="22">
        <v>182</v>
      </c>
      <c r="AO234" s="22">
        <v>3</v>
      </c>
      <c r="AP234" s="22">
        <v>0</v>
      </c>
      <c r="AQ234" s="22">
        <v>0</v>
      </c>
      <c r="AR234" s="22">
        <v>0</v>
      </c>
      <c r="AS234" s="22">
        <v>7</v>
      </c>
      <c r="AT234" s="22">
        <v>10</v>
      </c>
      <c r="AU234" s="316">
        <f t="shared" si="34"/>
        <v>202</v>
      </c>
      <c r="AV234" s="22">
        <v>190</v>
      </c>
      <c r="AW234" s="22">
        <v>3</v>
      </c>
      <c r="AX234" s="22">
        <v>0</v>
      </c>
      <c r="AY234" s="22">
        <v>0</v>
      </c>
      <c r="AZ234" s="22">
        <v>0</v>
      </c>
      <c r="BA234" s="22">
        <v>7</v>
      </c>
      <c r="BB234" s="22">
        <v>10</v>
      </c>
      <c r="BC234" s="316">
        <f t="shared" si="35"/>
        <v>210</v>
      </c>
      <c r="BD234" s="58">
        <f t="shared" si="36"/>
        <v>8</v>
      </c>
      <c r="BE234" s="58">
        <f t="shared" si="37"/>
        <v>0</v>
      </c>
      <c r="BF234" s="58">
        <f t="shared" si="38"/>
        <v>0</v>
      </c>
      <c r="BG234" s="58">
        <f t="shared" si="39"/>
        <v>0</v>
      </c>
      <c r="BH234" s="58">
        <f t="shared" si="40"/>
        <v>0</v>
      </c>
      <c r="BI234" s="58">
        <f t="shared" si="41"/>
        <v>0</v>
      </c>
      <c r="BJ234" s="58">
        <f t="shared" si="42"/>
        <v>0</v>
      </c>
      <c r="BK234" s="58">
        <f t="shared" si="43"/>
        <v>8</v>
      </c>
    </row>
    <row r="235" spans="1:63" ht="27" customHeight="1">
      <c r="A235" s="13">
        <f t="shared" si="44"/>
        <v>233</v>
      </c>
      <c r="B235" s="14" t="s">
        <v>1812</v>
      </c>
      <c r="C235" s="10">
        <v>1923</v>
      </c>
      <c r="D235" s="119" t="s">
        <v>1813</v>
      </c>
      <c r="E235" s="85">
        <v>51164135</v>
      </c>
      <c r="F235" s="78" t="s">
        <v>1814</v>
      </c>
      <c r="G235" s="79" t="s">
        <v>1815</v>
      </c>
      <c r="H235" s="15" t="s">
        <v>1816</v>
      </c>
      <c r="I235" s="16" t="s">
        <v>1817</v>
      </c>
      <c r="J235" s="80" t="s">
        <v>178</v>
      </c>
      <c r="K235" s="24">
        <v>31233</v>
      </c>
      <c r="L235" s="82" t="s">
        <v>179</v>
      </c>
      <c r="M235" s="25">
        <v>42846</v>
      </c>
      <c r="N235" s="25"/>
      <c r="O235" s="17" t="s">
        <v>34</v>
      </c>
      <c r="P235" s="18" t="s">
        <v>309</v>
      </c>
      <c r="Q235" s="18" t="s">
        <v>181</v>
      </c>
      <c r="R235" s="17" t="s">
        <v>182</v>
      </c>
      <c r="S235" s="13" t="s">
        <v>219</v>
      </c>
      <c r="T235" s="175"/>
      <c r="U235" s="175"/>
      <c r="V235" s="21" t="s">
        <v>184</v>
      </c>
      <c r="W235" s="21" t="s">
        <v>184</v>
      </c>
      <c r="X235" s="1">
        <v>5</v>
      </c>
      <c r="Y235" s="176" t="s">
        <v>1818</v>
      </c>
      <c r="Z235" s="86"/>
      <c r="AA235" s="86" t="s">
        <v>186</v>
      </c>
      <c r="AB235" s="86"/>
      <c r="AC235" s="177" t="s">
        <v>202</v>
      </c>
      <c r="AD235" s="115"/>
      <c r="AE235" s="115"/>
      <c r="AF235" s="124"/>
      <c r="AG235" s="122"/>
      <c r="AH235" s="178"/>
      <c r="AI235" s="178"/>
      <c r="AJ235" s="21" t="s">
        <v>203</v>
      </c>
      <c r="AK235" s="21" t="s">
        <v>190</v>
      </c>
      <c r="AL235" s="21" t="s">
        <v>190</v>
      </c>
      <c r="AM235" s="123" t="s">
        <v>1819</v>
      </c>
      <c r="AN235" s="22">
        <v>182</v>
      </c>
      <c r="AO235" s="22">
        <v>3</v>
      </c>
      <c r="AP235" s="22">
        <v>0</v>
      </c>
      <c r="AQ235" s="22">
        <v>0</v>
      </c>
      <c r="AR235" s="22">
        <v>0</v>
      </c>
      <c r="AS235" s="22">
        <v>7</v>
      </c>
      <c r="AT235" s="22">
        <v>10</v>
      </c>
      <c r="AU235" s="316">
        <f t="shared" si="34"/>
        <v>202</v>
      </c>
      <c r="AV235" s="22">
        <v>190</v>
      </c>
      <c r="AW235" s="22">
        <v>3</v>
      </c>
      <c r="AX235" s="22">
        <v>0</v>
      </c>
      <c r="AY235" s="22">
        <v>0</v>
      </c>
      <c r="AZ235" s="22">
        <v>0</v>
      </c>
      <c r="BA235" s="22">
        <v>7</v>
      </c>
      <c r="BB235" s="22">
        <v>10</v>
      </c>
      <c r="BC235" s="316">
        <f t="shared" si="35"/>
        <v>210</v>
      </c>
      <c r="BD235" s="58">
        <f t="shared" si="36"/>
        <v>8</v>
      </c>
      <c r="BE235" s="58">
        <f t="shared" si="37"/>
        <v>0</v>
      </c>
      <c r="BF235" s="58">
        <f t="shared" si="38"/>
        <v>0</v>
      </c>
      <c r="BG235" s="58">
        <f t="shared" si="39"/>
        <v>0</v>
      </c>
      <c r="BH235" s="58">
        <f t="shared" si="40"/>
        <v>0</v>
      </c>
      <c r="BI235" s="58">
        <f t="shared" si="41"/>
        <v>0</v>
      </c>
      <c r="BJ235" s="58">
        <f t="shared" si="42"/>
        <v>0</v>
      </c>
      <c r="BK235" s="58">
        <f t="shared" si="43"/>
        <v>8</v>
      </c>
    </row>
    <row r="236" spans="1:63" ht="27" customHeight="1">
      <c r="A236" s="13">
        <f t="shared" si="44"/>
        <v>234</v>
      </c>
      <c r="B236" s="14" t="s">
        <v>1820</v>
      </c>
      <c r="C236" s="10">
        <v>1925</v>
      </c>
      <c r="D236" s="76" t="s">
        <v>1821</v>
      </c>
      <c r="E236" s="85">
        <v>130099860</v>
      </c>
      <c r="F236" s="78" t="s">
        <v>457</v>
      </c>
      <c r="G236" s="79" t="s">
        <v>1822</v>
      </c>
      <c r="H236" s="15" t="s">
        <v>459</v>
      </c>
      <c r="I236" s="16" t="s">
        <v>1823</v>
      </c>
      <c r="J236" s="80" t="s">
        <v>178</v>
      </c>
      <c r="K236" s="24">
        <v>32417</v>
      </c>
      <c r="L236" s="82" t="s">
        <v>179</v>
      </c>
      <c r="M236" s="25">
        <v>42846</v>
      </c>
      <c r="N236" s="25"/>
      <c r="O236" s="17" t="s">
        <v>34</v>
      </c>
      <c r="P236" s="18" t="s">
        <v>227</v>
      </c>
      <c r="Q236" s="18" t="s">
        <v>181</v>
      </c>
      <c r="R236" s="17" t="s">
        <v>182</v>
      </c>
      <c r="S236" s="19" t="s">
        <v>256</v>
      </c>
      <c r="T236" s="175"/>
      <c r="U236" s="175"/>
      <c r="V236" s="21" t="s">
        <v>184</v>
      </c>
      <c r="W236" s="21" t="s">
        <v>184</v>
      </c>
      <c r="X236" s="1">
        <v>7</v>
      </c>
      <c r="Y236" s="176" t="s">
        <v>1824</v>
      </c>
      <c r="Z236" s="86"/>
      <c r="AA236" s="86" t="s">
        <v>186</v>
      </c>
      <c r="AB236" s="86"/>
      <c r="AC236" s="177" t="s">
        <v>1825</v>
      </c>
      <c r="AD236" s="115"/>
      <c r="AE236" s="115"/>
      <c r="AF236" s="124"/>
      <c r="AG236" s="122"/>
      <c r="AH236" s="178"/>
      <c r="AI236" s="178"/>
      <c r="AJ236" s="21" t="s">
        <v>203</v>
      </c>
      <c r="AK236" s="21" t="s">
        <v>190</v>
      </c>
      <c r="AL236" s="21" t="s">
        <v>190</v>
      </c>
      <c r="AM236" s="123" t="s">
        <v>1514</v>
      </c>
      <c r="AN236" s="22">
        <v>182</v>
      </c>
      <c r="AO236" s="22">
        <v>3</v>
      </c>
      <c r="AP236" s="22">
        <v>0</v>
      </c>
      <c r="AQ236" s="22">
        <v>0</v>
      </c>
      <c r="AR236" s="22">
        <v>0</v>
      </c>
      <c r="AS236" s="22">
        <v>7</v>
      </c>
      <c r="AT236" s="22">
        <v>10</v>
      </c>
      <c r="AU236" s="316">
        <f t="shared" si="34"/>
        <v>202</v>
      </c>
      <c r="AV236" s="22">
        <v>190</v>
      </c>
      <c r="AW236" s="22">
        <v>3</v>
      </c>
      <c r="AX236" s="22">
        <v>0</v>
      </c>
      <c r="AY236" s="22">
        <v>0</v>
      </c>
      <c r="AZ236" s="22">
        <v>0</v>
      </c>
      <c r="BA236" s="22">
        <v>7</v>
      </c>
      <c r="BB236" s="22">
        <v>10</v>
      </c>
      <c r="BC236" s="316">
        <f t="shared" si="35"/>
        <v>210</v>
      </c>
      <c r="BD236" s="58">
        <f t="shared" si="36"/>
        <v>8</v>
      </c>
      <c r="BE236" s="58">
        <f t="shared" si="37"/>
        <v>0</v>
      </c>
      <c r="BF236" s="58">
        <f t="shared" si="38"/>
        <v>0</v>
      </c>
      <c r="BG236" s="58">
        <f t="shared" si="39"/>
        <v>0</v>
      </c>
      <c r="BH236" s="58">
        <f t="shared" si="40"/>
        <v>0</v>
      </c>
      <c r="BI236" s="58">
        <f t="shared" si="41"/>
        <v>0</v>
      </c>
      <c r="BJ236" s="58">
        <f t="shared" si="42"/>
        <v>0</v>
      </c>
      <c r="BK236" s="58">
        <f t="shared" si="43"/>
        <v>8</v>
      </c>
    </row>
    <row r="237" spans="1:63" ht="27" customHeight="1">
      <c r="A237" s="13">
        <f t="shared" si="44"/>
        <v>235</v>
      </c>
      <c r="B237" s="14" t="s">
        <v>1826</v>
      </c>
      <c r="C237" s="10">
        <v>1931</v>
      </c>
      <c r="D237" s="119" t="s">
        <v>1827</v>
      </c>
      <c r="E237" s="85">
        <v>130175060</v>
      </c>
      <c r="F237" s="78" t="s">
        <v>1828</v>
      </c>
      <c r="G237" s="79" t="s">
        <v>279</v>
      </c>
      <c r="H237" s="15" t="s">
        <v>1829</v>
      </c>
      <c r="I237" s="16" t="s">
        <v>1830</v>
      </c>
      <c r="J237" s="80" t="s">
        <v>178</v>
      </c>
      <c r="K237" s="24">
        <v>29465</v>
      </c>
      <c r="L237" s="82" t="s">
        <v>179</v>
      </c>
      <c r="M237" s="25">
        <v>42846</v>
      </c>
      <c r="N237" s="25"/>
      <c r="O237" s="17" t="s">
        <v>34</v>
      </c>
      <c r="P237" s="18" t="s">
        <v>339</v>
      </c>
      <c r="Q237" s="18" t="s">
        <v>181</v>
      </c>
      <c r="R237" s="17" t="s">
        <v>182</v>
      </c>
      <c r="S237" s="19" t="s">
        <v>256</v>
      </c>
      <c r="T237" s="175"/>
      <c r="U237" s="175"/>
      <c r="V237" s="21" t="s">
        <v>184</v>
      </c>
      <c r="W237" s="21" t="s">
        <v>184</v>
      </c>
      <c r="X237" s="1">
        <v>6</v>
      </c>
      <c r="Y237" s="176" t="s">
        <v>1831</v>
      </c>
      <c r="Z237" s="86"/>
      <c r="AA237" s="86" t="s">
        <v>186</v>
      </c>
      <c r="AB237" s="86"/>
      <c r="AC237" s="177" t="s">
        <v>202</v>
      </c>
      <c r="AD237" s="115"/>
      <c r="AE237" s="115"/>
      <c r="AF237" s="124"/>
      <c r="AG237" s="122"/>
      <c r="AH237" s="178"/>
      <c r="AI237" s="178"/>
      <c r="AJ237" s="21" t="s">
        <v>203</v>
      </c>
      <c r="AK237" s="21" t="s">
        <v>190</v>
      </c>
      <c r="AL237" s="21" t="s">
        <v>190</v>
      </c>
      <c r="AM237" s="123" t="s">
        <v>1234</v>
      </c>
      <c r="AN237" s="22">
        <v>182</v>
      </c>
      <c r="AO237" s="22">
        <v>3</v>
      </c>
      <c r="AP237" s="22">
        <v>0</v>
      </c>
      <c r="AQ237" s="22">
        <v>0</v>
      </c>
      <c r="AR237" s="22">
        <v>0</v>
      </c>
      <c r="AS237" s="22">
        <v>7</v>
      </c>
      <c r="AT237" s="22">
        <v>10</v>
      </c>
      <c r="AU237" s="316">
        <f t="shared" si="34"/>
        <v>202</v>
      </c>
      <c r="AV237" s="22">
        <v>190</v>
      </c>
      <c r="AW237" s="22">
        <v>3</v>
      </c>
      <c r="AX237" s="22">
        <v>0</v>
      </c>
      <c r="AY237" s="22">
        <v>0</v>
      </c>
      <c r="AZ237" s="22">
        <v>0</v>
      </c>
      <c r="BA237" s="22">
        <v>7</v>
      </c>
      <c r="BB237" s="22">
        <v>10</v>
      </c>
      <c r="BC237" s="316">
        <f t="shared" si="35"/>
        <v>210</v>
      </c>
      <c r="BD237" s="58">
        <f t="shared" si="36"/>
        <v>8</v>
      </c>
      <c r="BE237" s="58">
        <f t="shared" si="37"/>
        <v>0</v>
      </c>
      <c r="BF237" s="58">
        <f t="shared" si="38"/>
        <v>0</v>
      </c>
      <c r="BG237" s="58">
        <f t="shared" si="39"/>
        <v>0</v>
      </c>
      <c r="BH237" s="58">
        <f t="shared" si="40"/>
        <v>0</v>
      </c>
      <c r="BI237" s="58">
        <f t="shared" si="41"/>
        <v>0</v>
      </c>
      <c r="BJ237" s="58">
        <f t="shared" si="42"/>
        <v>0</v>
      </c>
      <c r="BK237" s="58">
        <f t="shared" si="43"/>
        <v>8</v>
      </c>
    </row>
    <row r="238" spans="1:63" ht="27" customHeight="1">
      <c r="A238" s="13">
        <f t="shared" si="44"/>
        <v>236</v>
      </c>
      <c r="B238" s="14" t="s">
        <v>1832</v>
      </c>
      <c r="C238" s="10">
        <v>1939</v>
      </c>
      <c r="D238" s="76" t="s">
        <v>1833</v>
      </c>
      <c r="E238" s="85">
        <v>30550587</v>
      </c>
      <c r="F238" s="78" t="s">
        <v>335</v>
      </c>
      <c r="G238" s="79" t="s">
        <v>1320</v>
      </c>
      <c r="H238" s="15" t="s">
        <v>1220</v>
      </c>
      <c r="I238" s="16" t="s">
        <v>1834</v>
      </c>
      <c r="J238" s="80" t="s">
        <v>178</v>
      </c>
      <c r="K238" s="24">
        <v>33977</v>
      </c>
      <c r="L238" s="82" t="s">
        <v>179</v>
      </c>
      <c r="M238" s="25">
        <v>42849</v>
      </c>
      <c r="N238" s="25"/>
      <c r="O238" s="17" t="s">
        <v>34</v>
      </c>
      <c r="P238" s="18" t="s">
        <v>227</v>
      </c>
      <c r="Q238" s="18" t="s">
        <v>181</v>
      </c>
      <c r="R238" s="17" t="s">
        <v>182</v>
      </c>
      <c r="S238" s="13" t="s">
        <v>310</v>
      </c>
      <c r="T238" s="175"/>
      <c r="U238" s="175"/>
      <c r="V238" s="21" t="s">
        <v>184</v>
      </c>
      <c r="W238" s="21" t="s">
        <v>184</v>
      </c>
      <c r="X238" s="1">
        <v>5</v>
      </c>
      <c r="Y238" s="176" t="s">
        <v>1835</v>
      </c>
      <c r="Z238" s="86" t="s">
        <v>186</v>
      </c>
      <c r="AA238" s="86"/>
      <c r="AB238" s="1"/>
      <c r="AC238" s="177"/>
      <c r="AD238" s="115"/>
      <c r="AE238" s="115"/>
      <c r="AF238" s="124"/>
      <c r="AG238" s="122"/>
      <c r="AH238" s="178"/>
      <c r="AI238" s="178"/>
      <c r="AJ238" s="21" t="s">
        <v>203</v>
      </c>
      <c r="AK238" s="21" t="s">
        <v>190</v>
      </c>
      <c r="AL238" s="21" t="s">
        <v>190</v>
      </c>
      <c r="AM238" s="123" t="s">
        <v>1234</v>
      </c>
      <c r="AN238" s="22">
        <v>182</v>
      </c>
      <c r="AO238" s="22">
        <v>3</v>
      </c>
      <c r="AP238" s="22">
        <v>0</v>
      </c>
      <c r="AQ238" s="22">
        <v>0</v>
      </c>
      <c r="AR238" s="22">
        <v>0</v>
      </c>
      <c r="AS238" s="22">
        <v>7</v>
      </c>
      <c r="AT238" s="22">
        <v>10</v>
      </c>
      <c r="AU238" s="316">
        <f t="shared" si="34"/>
        <v>202</v>
      </c>
      <c r="AV238" s="22">
        <v>190</v>
      </c>
      <c r="AW238" s="22">
        <v>3</v>
      </c>
      <c r="AX238" s="22">
        <v>0</v>
      </c>
      <c r="AY238" s="22">
        <v>0</v>
      </c>
      <c r="AZ238" s="22">
        <v>0</v>
      </c>
      <c r="BA238" s="22">
        <v>7</v>
      </c>
      <c r="BB238" s="22">
        <v>10</v>
      </c>
      <c r="BC238" s="316">
        <f t="shared" si="35"/>
        <v>210</v>
      </c>
      <c r="BD238" s="58">
        <f t="shared" si="36"/>
        <v>8</v>
      </c>
      <c r="BE238" s="58">
        <f t="shared" si="37"/>
        <v>0</v>
      </c>
      <c r="BF238" s="58">
        <f t="shared" si="38"/>
        <v>0</v>
      </c>
      <c r="BG238" s="58">
        <f t="shared" si="39"/>
        <v>0</v>
      </c>
      <c r="BH238" s="58">
        <f t="shared" si="40"/>
        <v>0</v>
      </c>
      <c r="BI238" s="58">
        <f t="shared" si="41"/>
        <v>0</v>
      </c>
      <c r="BJ238" s="58">
        <f t="shared" si="42"/>
        <v>0</v>
      </c>
      <c r="BK238" s="58">
        <f t="shared" si="43"/>
        <v>8</v>
      </c>
    </row>
    <row r="239" spans="1:63" ht="27" customHeight="1">
      <c r="A239" s="13">
        <f t="shared" si="44"/>
        <v>237</v>
      </c>
      <c r="B239" s="14" t="s">
        <v>1836</v>
      </c>
      <c r="C239" s="10">
        <v>1942</v>
      </c>
      <c r="D239" s="119" t="s">
        <v>1837</v>
      </c>
      <c r="E239" s="85">
        <v>130101777</v>
      </c>
      <c r="F239" s="78" t="s">
        <v>976</v>
      </c>
      <c r="G239" s="79" t="s">
        <v>1838</v>
      </c>
      <c r="H239" s="15" t="s">
        <v>977</v>
      </c>
      <c r="I239" s="16" t="s">
        <v>1839</v>
      </c>
      <c r="J239" s="80" t="s">
        <v>178</v>
      </c>
      <c r="K239" s="24">
        <v>33361</v>
      </c>
      <c r="L239" s="82" t="s">
        <v>179</v>
      </c>
      <c r="M239" s="25">
        <v>42847</v>
      </c>
      <c r="N239" s="25"/>
      <c r="O239" s="17" t="s">
        <v>34</v>
      </c>
      <c r="P239" s="18" t="s">
        <v>604</v>
      </c>
      <c r="Q239" s="18" t="s">
        <v>181</v>
      </c>
      <c r="R239" s="17" t="s">
        <v>182</v>
      </c>
      <c r="S239" s="19" t="s">
        <v>256</v>
      </c>
      <c r="T239" s="175"/>
      <c r="U239" s="175"/>
      <c r="V239" s="21" t="s">
        <v>184</v>
      </c>
      <c r="W239" s="21" t="s">
        <v>184</v>
      </c>
      <c r="X239" s="1">
        <v>7</v>
      </c>
      <c r="Y239" s="77" t="s">
        <v>184</v>
      </c>
      <c r="Z239" s="86" t="s">
        <v>186</v>
      </c>
      <c r="AA239" s="86"/>
      <c r="AB239" s="1"/>
      <c r="AC239" s="177"/>
      <c r="AD239" s="115"/>
      <c r="AE239" s="115"/>
      <c r="AF239" s="124"/>
      <c r="AG239" s="122"/>
      <c r="AH239" s="178"/>
      <c r="AI239" s="178"/>
      <c r="AJ239" s="21" t="s">
        <v>203</v>
      </c>
      <c r="AK239" s="21" t="s">
        <v>190</v>
      </c>
      <c r="AL239" s="21" t="s">
        <v>190</v>
      </c>
      <c r="AM239" s="123" t="s">
        <v>1773</v>
      </c>
      <c r="AN239" s="22">
        <v>182</v>
      </c>
      <c r="AO239" s="22">
        <v>3</v>
      </c>
      <c r="AP239" s="22">
        <v>0</v>
      </c>
      <c r="AQ239" s="22">
        <v>0</v>
      </c>
      <c r="AR239" s="22">
        <v>0</v>
      </c>
      <c r="AS239" s="22">
        <v>7</v>
      </c>
      <c r="AT239" s="22">
        <v>10</v>
      </c>
      <c r="AU239" s="316">
        <f t="shared" si="34"/>
        <v>202</v>
      </c>
      <c r="AV239" s="22">
        <v>190</v>
      </c>
      <c r="AW239" s="22">
        <v>3</v>
      </c>
      <c r="AX239" s="22">
        <v>0</v>
      </c>
      <c r="AY239" s="22">
        <v>0</v>
      </c>
      <c r="AZ239" s="22">
        <v>0</v>
      </c>
      <c r="BA239" s="22">
        <v>7</v>
      </c>
      <c r="BB239" s="22">
        <v>10</v>
      </c>
      <c r="BC239" s="316">
        <f t="shared" si="35"/>
        <v>210</v>
      </c>
      <c r="BD239" s="58">
        <f t="shared" si="36"/>
        <v>8</v>
      </c>
      <c r="BE239" s="58">
        <f t="shared" si="37"/>
        <v>0</v>
      </c>
      <c r="BF239" s="58">
        <f t="shared" si="38"/>
        <v>0</v>
      </c>
      <c r="BG239" s="58">
        <f t="shared" si="39"/>
        <v>0</v>
      </c>
      <c r="BH239" s="58">
        <f t="shared" si="40"/>
        <v>0</v>
      </c>
      <c r="BI239" s="58">
        <f t="shared" si="41"/>
        <v>0</v>
      </c>
      <c r="BJ239" s="58">
        <f t="shared" si="42"/>
        <v>0</v>
      </c>
      <c r="BK239" s="58">
        <f t="shared" si="43"/>
        <v>8</v>
      </c>
    </row>
    <row r="240" spans="1:63" ht="27" customHeight="1">
      <c r="A240" s="13">
        <f t="shared" si="44"/>
        <v>238</v>
      </c>
      <c r="B240" s="14" t="s">
        <v>1840</v>
      </c>
      <c r="C240" s="10">
        <v>1943</v>
      </c>
      <c r="D240" s="119" t="s">
        <v>1841</v>
      </c>
      <c r="E240" s="85">
        <v>110450870</v>
      </c>
      <c r="F240" s="78" t="s">
        <v>1842</v>
      </c>
      <c r="G240" s="79" t="s">
        <v>1843</v>
      </c>
      <c r="H240" s="15" t="s">
        <v>1844</v>
      </c>
      <c r="I240" s="16" t="s">
        <v>1845</v>
      </c>
      <c r="J240" s="80" t="s">
        <v>178</v>
      </c>
      <c r="K240" s="24">
        <v>34995</v>
      </c>
      <c r="L240" s="82" t="s">
        <v>179</v>
      </c>
      <c r="M240" s="25">
        <v>42849</v>
      </c>
      <c r="N240" s="25"/>
      <c r="O240" s="17" t="s">
        <v>34</v>
      </c>
      <c r="P240" s="18" t="s">
        <v>348</v>
      </c>
      <c r="Q240" s="18" t="s">
        <v>181</v>
      </c>
      <c r="R240" s="17" t="s">
        <v>182</v>
      </c>
      <c r="S240" s="13" t="s">
        <v>228</v>
      </c>
      <c r="T240" s="175"/>
      <c r="U240" s="175"/>
      <c r="V240" s="21" t="s">
        <v>184</v>
      </c>
      <c r="W240" s="21" t="s">
        <v>184</v>
      </c>
      <c r="X240" s="1">
        <v>5</v>
      </c>
      <c r="Y240" s="176" t="s">
        <v>1846</v>
      </c>
      <c r="Z240" s="86"/>
      <c r="AA240" s="86"/>
      <c r="AB240" s="86" t="s">
        <v>186</v>
      </c>
      <c r="AC240" s="177"/>
      <c r="AD240" s="115"/>
      <c r="AE240" s="115"/>
      <c r="AF240" s="124"/>
      <c r="AG240" s="122"/>
      <c r="AH240" s="178"/>
      <c r="AI240" s="178"/>
      <c r="AJ240" s="21" t="s">
        <v>203</v>
      </c>
      <c r="AK240" s="21" t="s">
        <v>190</v>
      </c>
      <c r="AL240" s="21" t="s">
        <v>190</v>
      </c>
      <c r="AM240" s="123" t="s">
        <v>1539</v>
      </c>
      <c r="AN240" s="22">
        <v>182</v>
      </c>
      <c r="AO240" s="22">
        <v>3</v>
      </c>
      <c r="AP240" s="22">
        <v>0</v>
      </c>
      <c r="AQ240" s="22">
        <v>0</v>
      </c>
      <c r="AR240" s="22">
        <v>0</v>
      </c>
      <c r="AS240" s="22">
        <v>7</v>
      </c>
      <c r="AT240" s="22">
        <v>10</v>
      </c>
      <c r="AU240" s="316">
        <f t="shared" si="34"/>
        <v>202</v>
      </c>
      <c r="AV240" s="22">
        <v>190</v>
      </c>
      <c r="AW240" s="22">
        <v>3</v>
      </c>
      <c r="AX240" s="22">
        <v>0</v>
      </c>
      <c r="AY240" s="22">
        <v>0</v>
      </c>
      <c r="AZ240" s="22">
        <v>0</v>
      </c>
      <c r="BA240" s="22">
        <v>7</v>
      </c>
      <c r="BB240" s="22">
        <v>10</v>
      </c>
      <c r="BC240" s="316">
        <f t="shared" si="35"/>
        <v>210</v>
      </c>
      <c r="BD240" s="58">
        <f t="shared" si="36"/>
        <v>8</v>
      </c>
      <c r="BE240" s="58">
        <f t="shared" si="37"/>
        <v>0</v>
      </c>
      <c r="BF240" s="58">
        <f t="shared" si="38"/>
        <v>0</v>
      </c>
      <c r="BG240" s="58">
        <f t="shared" si="39"/>
        <v>0</v>
      </c>
      <c r="BH240" s="58">
        <f t="shared" si="40"/>
        <v>0</v>
      </c>
      <c r="BI240" s="58">
        <f t="shared" si="41"/>
        <v>0</v>
      </c>
      <c r="BJ240" s="58">
        <f t="shared" si="42"/>
        <v>0</v>
      </c>
      <c r="BK240" s="58">
        <f t="shared" si="43"/>
        <v>8</v>
      </c>
    </row>
    <row r="241" spans="1:63" ht="27" customHeight="1">
      <c r="A241" s="13">
        <f t="shared" si="44"/>
        <v>239</v>
      </c>
      <c r="B241" s="14" t="s">
        <v>1847</v>
      </c>
      <c r="C241" s="10">
        <v>1944</v>
      </c>
      <c r="D241" s="119" t="s">
        <v>1848</v>
      </c>
      <c r="E241" s="85">
        <v>51479326</v>
      </c>
      <c r="F241" s="78" t="s">
        <v>732</v>
      </c>
      <c r="G241" s="79" t="s">
        <v>1849</v>
      </c>
      <c r="H241" s="15" t="s">
        <v>1850</v>
      </c>
      <c r="I241" s="16" t="s">
        <v>1851</v>
      </c>
      <c r="J241" s="80" t="s">
        <v>178</v>
      </c>
      <c r="K241" s="24">
        <v>31853</v>
      </c>
      <c r="L241" s="82" t="s">
        <v>179</v>
      </c>
      <c r="M241" s="25">
        <v>42849</v>
      </c>
      <c r="N241" s="25"/>
      <c r="O241" s="17" t="s">
        <v>34</v>
      </c>
      <c r="P241" s="18" t="s">
        <v>282</v>
      </c>
      <c r="Q241" s="18" t="s">
        <v>249</v>
      </c>
      <c r="R241" s="17" t="s">
        <v>182</v>
      </c>
      <c r="S241" s="13" t="s">
        <v>219</v>
      </c>
      <c r="T241" s="175"/>
      <c r="U241" s="175"/>
      <c r="V241" s="21" t="s">
        <v>184</v>
      </c>
      <c r="W241" s="21" t="s">
        <v>184</v>
      </c>
      <c r="X241" s="1">
        <v>8</v>
      </c>
      <c r="Y241" s="176" t="s">
        <v>1852</v>
      </c>
      <c r="Z241" s="86"/>
      <c r="AA241" s="86" t="s">
        <v>186</v>
      </c>
      <c r="AB241" s="1"/>
      <c r="AC241" s="177" t="s">
        <v>202</v>
      </c>
      <c r="AD241" s="115"/>
      <c r="AE241" s="115"/>
      <c r="AF241" s="124"/>
      <c r="AG241" s="122"/>
      <c r="AH241" s="178"/>
      <c r="AI241" s="178"/>
      <c r="AJ241" s="21" t="s">
        <v>203</v>
      </c>
      <c r="AK241" s="21" t="s">
        <v>190</v>
      </c>
      <c r="AL241" s="21" t="s">
        <v>190</v>
      </c>
      <c r="AM241" s="123" t="s">
        <v>1234</v>
      </c>
      <c r="AN241" s="22">
        <v>182</v>
      </c>
      <c r="AO241" s="22">
        <v>3</v>
      </c>
      <c r="AP241" s="22">
        <v>20</v>
      </c>
      <c r="AQ241" s="22">
        <v>0</v>
      </c>
      <c r="AR241" s="22">
        <v>0</v>
      </c>
      <c r="AS241" s="22">
        <v>7</v>
      </c>
      <c r="AT241" s="22">
        <v>10</v>
      </c>
      <c r="AU241" s="316">
        <f t="shared" si="34"/>
        <v>222</v>
      </c>
      <c r="AV241" s="22">
        <v>190</v>
      </c>
      <c r="AW241" s="22">
        <v>3</v>
      </c>
      <c r="AX241" s="22">
        <v>20</v>
      </c>
      <c r="AY241" s="22">
        <v>0</v>
      </c>
      <c r="AZ241" s="22">
        <v>0</v>
      </c>
      <c r="BA241" s="22">
        <v>7</v>
      </c>
      <c r="BB241" s="22">
        <v>10</v>
      </c>
      <c r="BC241" s="316">
        <f t="shared" si="35"/>
        <v>230</v>
      </c>
      <c r="BD241" s="58">
        <f t="shared" si="36"/>
        <v>8</v>
      </c>
      <c r="BE241" s="58">
        <f t="shared" si="37"/>
        <v>0</v>
      </c>
      <c r="BF241" s="58">
        <f t="shared" si="38"/>
        <v>0</v>
      </c>
      <c r="BG241" s="58">
        <f t="shared" si="39"/>
        <v>0</v>
      </c>
      <c r="BH241" s="58">
        <f t="shared" si="40"/>
        <v>0</v>
      </c>
      <c r="BI241" s="58">
        <f t="shared" si="41"/>
        <v>0</v>
      </c>
      <c r="BJ241" s="58">
        <f t="shared" si="42"/>
        <v>0</v>
      </c>
      <c r="BK241" s="58">
        <f t="shared" si="43"/>
        <v>8</v>
      </c>
    </row>
    <row r="242" spans="1:63" ht="27" customHeight="1">
      <c r="A242" s="13">
        <f t="shared" si="44"/>
        <v>240</v>
      </c>
      <c r="B242" s="14" t="s">
        <v>1853</v>
      </c>
      <c r="C242" s="10">
        <v>1945</v>
      </c>
      <c r="D242" s="119" t="s">
        <v>1854</v>
      </c>
      <c r="E242" s="85">
        <v>120034850</v>
      </c>
      <c r="F242" s="78" t="s">
        <v>481</v>
      </c>
      <c r="G242" s="79" t="s">
        <v>1029</v>
      </c>
      <c r="H242" s="15" t="s">
        <v>1061</v>
      </c>
      <c r="I242" s="16" t="s">
        <v>1031</v>
      </c>
      <c r="J242" s="80" t="s">
        <v>178</v>
      </c>
      <c r="K242" s="24">
        <v>35285</v>
      </c>
      <c r="L242" s="82" t="s">
        <v>179</v>
      </c>
      <c r="M242" s="25">
        <v>42849</v>
      </c>
      <c r="N242" s="25"/>
      <c r="O242" s="17" t="s">
        <v>26</v>
      </c>
      <c r="P242" s="18" t="s">
        <v>636</v>
      </c>
      <c r="Q242" s="18" t="s">
        <v>181</v>
      </c>
      <c r="R242" s="17" t="s">
        <v>182</v>
      </c>
      <c r="S242" s="13" t="s">
        <v>706</v>
      </c>
      <c r="T242" s="175"/>
      <c r="U242" s="175"/>
      <c r="V242" s="21" t="s">
        <v>184</v>
      </c>
      <c r="W242" s="21" t="s">
        <v>184</v>
      </c>
      <c r="X242" s="1">
        <v>5</v>
      </c>
      <c r="Y242" s="176" t="s">
        <v>1855</v>
      </c>
      <c r="Z242" s="86"/>
      <c r="AA242" s="86" t="s">
        <v>186</v>
      </c>
      <c r="AB242" s="1"/>
      <c r="AC242" s="177" t="s">
        <v>1095</v>
      </c>
      <c r="AD242" s="115"/>
      <c r="AE242" s="115"/>
      <c r="AF242" s="124"/>
      <c r="AG242" s="122"/>
      <c r="AH242" s="178"/>
      <c r="AI242" s="178"/>
      <c r="AJ242" s="21" t="s">
        <v>203</v>
      </c>
      <c r="AK242" s="21" t="s">
        <v>190</v>
      </c>
      <c r="AL242" s="21" t="s">
        <v>190</v>
      </c>
      <c r="AM242" s="123" t="s">
        <v>1234</v>
      </c>
      <c r="AN242" s="22">
        <v>182</v>
      </c>
      <c r="AO242" s="22">
        <v>3</v>
      </c>
      <c r="AP242" s="22">
        <v>0</v>
      </c>
      <c r="AQ242" s="22">
        <v>0</v>
      </c>
      <c r="AR242" s="22">
        <v>0</v>
      </c>
      <c r="AS242" s="22">
        <v>7</v>
      </c>
      <c r="AT242" s="22">
        <v>10</v>
      </c>
      <c r="AU242" s="316">
        <f t="shared" si="34"/>
        <v>202</v>
      </c>
      <c r="AV242" s="22">
        <v>190</v>
      </c>
      <c r="AW242" s="22">
        <v>3</v>
      </c>
      <c r="AX242" s="22">
        <v>0</v>
      </c>
      <c r="AY242" s="22">
        <v>0</v>
      </c>
      <c r="AZ242" s="22">
        <v>0</v>
      </c>
      <c r="BA242" s="22">
        <v>7</v>
      </c>
      <c r="BB242" s="22">
        <v>10</v>
      </c>
      <c r="BC242" s="316">
        <f t="shared" si="35"/>
        <v>210</v>
      </c>
      <c r="BD242" s="58">
        <f t="shared" si="36"/>
        <v>8</v>
      </c>
      <c r="BE242" s="58">
        <f t="shared" si="37"/>
        <v>0</v>
      </c>
      <c r="BF242" s="58">
        <f t="shared" si="38"/>
        <v>0</v>
      </c>
      <c r="BG242" s="58">
        <f t="shared" si="39"/>
        <v>0</v>
      </c>
      <c r="BH242" s="58">
        <f t="shared" si="40"/>
        <v>0</v>
      </c>
      <c r="BI242" s="58">
        <f t="shared" si="41"/>
        <v>0</v>
      </c>
      <c r="BJ242" s="58">
        <f t="shared" si="42"/>
        <v>0</v>
      </c>
      <c r="BK242" s="58">
        <f t="shared" si="43"/>
        <v>8</v>
      </c>
    </row>
    <row r="243" spans="1:63" ht="27" customHeight="1">
      <c r="A243" s="13">
        <f t="shared" si="44"/>
        <v>241</v>
      </c>
      <c r="B243" s="14" t="s">
        <v>1856</v>
      </c>
      <c r="C243" s="10">
        <v>1948</v>
      </c>
      <c r="D243" s="119" t="s">
        <v>1857</v>
      </c>
      <c r="E243" s="85">
        <v>130205220</v>
      </c>
      <c r="F243" s="78" t="s">
        <v>527</v>
      </c>
      <c r="G243" s="79" t="s">
        <v>1858</v>
      </c>
      <c r="H243" s="15" t="s">
        <v>529</v>
      </c>
      <c r="I243" s="16" t="s">
        <v>1859</v>
      </c>
      <c r="J243" s="80" t="s">
        <v>178</v>
      </c>
      <c r="K243" s="24">
        <v>32357</v>
      </c>
      <c r="L243" s="82" t="s">
        <v>179</v>
      </c>
      <c r="M243" s="25">
        <v>42850</v>
      </c>
      <c r="N243" s="25"/>
      <c r="O243" s="17" t="s">
        <v>34</v>
      </c>
      <c r="P243" s="18" t="s">
        <v>301</v>
      </c>
      <c r="Q243" s="18" t="s">
        <v>181</v>
      </c>
      <c r="R243" s="17" t="s">
        <v>182</v>
      </c>
      <c r="S243" s="19" t="s">
        <v>256</v>
      </c>
      <c r="T243" s="175"/>
      <c r="U243" s="175"/>
      <c r="V243" s="21" t="s">
        <v>184</v>
      </c>
      <c r="W243" s="21" t="s">
        <v>184</v>
      </c>
      <c r="X243" s="1">
        <v>6</v>
      </c>
      <c r="Y243" s="176">
        <v>70863446</v>
      </c>
      <c r="Z243" s="86"/>
      <c r="AA243" s="86" t="s">
        <v>186</v>
      </c>
      <c r="AB243" s="86"/>
      <c r="AC243" s="177" t="s">
        <v>425</v>
      </c>
      <c r="AD243" s="115"/>
      <c r="AE243" s="115"/>
      <c r="AF243" s="124"/>
      <c r="AG243" s="122"/>
      <c r="AH243" s="178"/>
      <c r="AI243" s="178"/>
      <c r="AJ243" s="21" t="s">
        <v>203</v>
      </c>
      <c r="AK243" s="21" t="s">
        <v>190</v>
      </c>
      <c r="AL243" s="21" t="s">
        <v>190</v>
      </c>
      <c r="AM243" s="123" t="s">
        <v>1562</v>
      </c>
      <c r="AN243" s="22">
        <v>182</v>
      </c>
      <c r="AO243" s="22">
        <v>0</v>
      </c>
      <c r="AP243" s="22">
        <v>0</v>
      </c>
      <c r="AQ243" s="22">
        <v>0</v>
      </c>
      <c r="AR243" s="22">
        <v>0</v>
      </c>
      <c r="AS243" s="22">
        <v>7</v>
      </c>
      <c r="AT243" s="22">
        <v>10</v>
      </c>
      <c r="AU243" s="316">
        <f t="shared" si="34"/>
        <v>199</v>
      </c>
      <c r="AV243" s="22">
        <v>190</v>
      </c>
      <c r="AW243" s="22">
        <v>0</v>
      </c>
      <c r="AX243" s="22">
        <v>0</v>
      </c>
      <c r="AY243" s="22">
        <v>0</v>
      </c>
      <c r="AZ243" s="22">
        <v>0</v>
      </c>
      <c r="BA243" s="22">
        <v>7</v>
      </c>
      <c r="BB243" s="22">
        <v>10</v>
      </c>
      <c r="BC243" s="316">
        <f t="shared" si="35"/>
        <v>207</v>
      </c>
      <c r="BD243" s="58">
        <f t="shared" si="36"/>
        <v>8</v>
      </c>
      <c r="BE243" s="58">
        <f t="shared" si="37"/>
        <v>0</v>
      </c>
      <c r="BF243" s="58">
        <f t="shared" si="38"/>
        <v>0</v>
      </c>
      <c r="BG243" s="58">
        <f t="shared" si="39"/>
        <v>0</v>
      </c>
      <c r="BH243" s="58">
        <f t="shared" si="40"/>
        <v>0</v>
      </c>
      <c r="BI243" s="58">
        <f t="shared" si="41"/>
        <v>0</v>
      </c>
      <c r="BJ243" s="58">
        <f t="shared" si="42"/>
        <v>0</v>
      </c>
      <c r="BK243" s="58">
        <f t="shared" si="43"/>
        <v>8</v>
      </c>
    </row>
    <row r="244" spans="1:63" ht="27" customHeight="1">
      <c r="A244" s="13">
        <f t="shared" si="44"/>
        <v>242</v>
      </c>
      <c r="B244" s="14" t="s">
        <v>1860</v>
      </c>
      <c r="C244" s="10">
        <v>1980</v>
      </c>
      <c r="D244" s="119" t="s">
        <v>1861</v>
      </c>
      <c r="E244" s="85">
        <v>130134621</v>
      </c>
      <c r="F244" s="78" t="s">
        <v>1862</v>
      </c>
      <c r="G244" s="79" t="s">
        <v>1863</v>
      </c>
      <c r="H244" s="15" t="s">
        <v>1864</v>
      </c>
      <c r="I244" s="16" t="s">
        <v>1865</v>
      </c>
      <c r="J244" s="80" t="s">
        <v>178</v>
      </c>
      <c r="K244" s="24">
        <v>35659</v>
      </c>
      <c r="L244" s="82" t="s">
        <v>179</v>
      </c>
      <c r="M244" s="25">
        <v>43709</v>
      </c>
      <c r="N244" s="212">
        <v>42860</v>
      </c>
      <c r="O244" s="17" t="s">
        <v>291</v>
      </c>
      <c r="P244" s="18" t="s">
        <v>561</v>
      </c>
      <c r="Q244" s="18" t="s">
        <v>181</v>
      </c>
      <c r="R244" s="17" t="s">
        <v>182</v>
      </c>
      <c r="S244" s="13" t="s">
        <v>219</v>
      </c>
      <c r="T244" s="175"/>
      <c r="U244" s="175"/>
      <c r="V244" s="21" t="s">
        <v>200</v>
      </c>
      <c r="W244" s="21">
        <v>2219</v>
      </c>
      <c r="X244" s="1">
        <v>2</v>
      </c>
      <c r="Y244" s="176" t="s">
        <v>1866</v>
      </c>
      <c r="Z244" s="86" t="s">
        <v>186</v>
      </c>
      <c r="AA244" s="86"/>
      <c r="AB244" s="1"/>
      <c r="AC244" s="177"/>
      <c r="AD244" s="115"/>
      <c r="AE244" s="115"/>
      <c r="AF244" s="124"/>
      <c r="AG244" s="122"/>
      <c r="AH244" s="178"/>
      <c r="AI244" s="178"/>
      <c r="AJ244" s="21" t="s">
        <v>203</v>
      </c>
      <c r="AK244" s="21" t="s">
        <v>190</v>
      </c>
      <c r="AL244" s="21" t="s">
        <v>190</v>
      </c>
      <c r="AM244" s="123" t="s">
        <v>1234</v>
      </c>
      <c r="AN244" s="22">
        <v>182</v>
      </c>
      <c r="AO244" s="22">
        <v>0</v>
      </c>
      <c r="AP244" s="22">
        <v>0</v>
      </c>
      <c r="AQ244" s="22">
        <v>0</v>
      </c>
      <c r="AR244" s="22">
        <v>0</v>
      </c>
      <c r="AS244" s="22">
        <v>7</v>
      </c>
      <c r="AT244" s="22">
        <v>10</v>
      </c>
      <c r="AU244" s="316">
        <f t="shared" si="34"/>
        <v>199</v>
      </c>
      <c r="AV244" s="22">
        <v>190</v>
      </c>
      <c r="AW244" s="22">
        <v>0</v>
      </c>
      <c r="AX244" s="22">
        <v>0</v>
      </c>
      <c r="AY244" s="22">
        <v>0</v>
      </c>
      <c r="AZ244" s="22">
        <v>0</v>
      </c>
      <c r="BA244" s="22">
        <v>7</v>
      </c>
      <c r="BB244" s="22">
        <v>10</v>
      </c>
      <c r="BC244" s="316">
        <f t="shared" si="35"/>
        <v>207</v>
      </c>
      <c r="BD244" s="58">
        <f t="shared" si="36"/>
        <v>8</v>
      </c>
      <c r="BE244" s="58">
        <f t="shared" si="37"/>
        <v>0</v>
      </c>
      <c r="BF244" s="58">
        <f t="shared" si="38"/>
        <v>0</v>
      </c>
      <c r="BG244" s="58">
        <f t="shared" si="39"/>
        <v>0</v>
      </c>
      <c r="BH244" s="58">
        <f t="shared" si="40"/>
        <v>0</v>
      </c>
      <c r="BI244" s="58">
        <f t="shared" si="41"/>
        <v>0</v>
      </c>
      <c r="BJ244" s="58">
        <f t="shared" si="42"/>
        <v>0</v>
      </c>
      <c r="BK244" s="58">
        <f t="shared" si="43"/>
        <v>8</v>
      </c>
    </row>
    <row r="245" spans="1:63" ht="27" customHeight="1">
      <c r="A245" s="13">
        <f t="shared" si="44"/>
        <v>243</v>
      </c>
      <c r="B245" s="14" t="s">
        <v>1867</v>
      </c>
      <c r="C245" s="10">
        <v>1960</v>
      </c>
      <c r="D245" s="119" t="s">
        <v>1868</v>
      </c>
      <c r="E245" s="213" t="s">
        <v>1869</v>
      </c>
      <c r="F245" s="78" t="s">
        <v>1870</v>
      </c>
      <c r="G245" s="79" t="s">
        <v>1871</v>
      </c>
      <c r="H245" s="15" t="s">
        <v>1872</v>
      </c>
      <c r="I245" s="16" t="s">
        <v>1873</v>
      </c>
      <c r="J245" s="80" t="s">
        <v>178</v>
      </c>
      <c r="K245" s="24">
        <v>35068</v>
      </c>
      <c r="L245" s="82" t="s">
        <v>179</v>
      </c>
      <c r="M245" s="25">
        <v>43709</v>
      </c>
      <c r="N245" s="212">
        <v>42858</v>
      </c>
      <c r="O245" s="17" t="s">
        <v>34</v>
      </c>
      <c r="P245" s="18" t="s">
        <v>265</v>
      </c>
      <c r="Q245" s="18" t="s">
        <v>181</v>
      </c>
      <c r="R245" s="17" t="s">
        <v>182</v>
      </c>
      <c r="S245" s="19" t="s">
        <v>183</v>
      </c>
      <c r="T245" s="175"/>
      <c r="U245" s="175"/>
      <c r="V245" s="21" t="s">
        <v>200</v>
      </c>
      <c r="W245" s="21">
        <v>3196</v>
      </c>
      <c r="X245" s="214" t="s">
        <v>184</v>
      </c>
      <c r="Y245" s="176" t="s">
        <v>1874</v>
      </c>
      <c r="Z245" s="86" t="s">
        <v>186</v>
      </c>
      <c r="AA245" s="86"/>
      <c r="AB245" s="1"/>
      <c r="AC245" s="177"/>
      <c r="AD245" s="115"/>
      <c r="AE245" s="115"/>
      <c r="AF245" s="124"/>
      <c r="AG245" s="122"/>
      <c r="AH245" s="178"/>
      <c r="AI245" s="178"/>
      <c r="AJ245" s="21" t="s">
        <v>203</v>
      </c>
      <c r="AK245" s="21" t="s">
        <v>190</v>
      </c>
      <c r="AL245" s="21" t="s">
        <v>190</v>
      </c>
      <c r="AM245" s="123" t="s">
        <v>1234</v>
      </c>
      <c r="AN245" s="22">
        <v>182</v>
      </c>
      <c r="AO245" s="22">
        <v>0</v>
      </c>
      <c r="AP245" s="22">
        <v>0</v>
      </c>
      <c r="AQ245" s="22">
        <v>0</v>
      </c>
      <c r="AR245" s="22">
        <v>0</v>
      </c>
      <c r="AS245" s="22">
        <v>7</v>
      </c>
      <c r="AT245" s="22">
        <v>10</v>
      </c>
      <c r="AU245" s="316">
        <f t="shared" si="34"/>
        <v>199</v>
      </c>
      <c r="AV245" s="22">
        <v>190</v>
      </c>
      <c r="AW245" s="22">
        <v>0</v>
      </c>
      <c r="AX245" s="22">
        <v>0</v>
      </c>
      <c r="AY245" s="22">
        <v>0</v>
      </c>
      <c r="AZ245" s="22">
        <v>0</v>
      </c>
      <c r="BA245" s="22">
        <v>7</v>
      </c>
      <c r="BB245" s="22">
        <v>10</v>
      </c>
      <c r="BC245" s="316">
        <f t="shared" si="35"/>
        <v>207</v>
      </c>
      <c r="BD245" s="58">
        <f t="shared" si="36"/>
        <v>8</v>
      </c>
      <c r="BE245" s="58">
        <f t="shared" si="37"/>
        <v>0</v>
      </c>
      <c r="BF245" s="58">
        <f t="shared" si="38"/>
        <v>0</v>
      </c>
      <c r="BG245" s="58">
        <f t="shared" si="39"/>
        <v>0</v>
      </c>
      <c r="BH245" s="58">
        <f t="shared" si="40"/>
        <v>0</v>
      </c>
      <c r="BI245" s="58">
        <f t="shared" si="41"/>
        <v>0</v>
      </c>
      <c r="BJ245" s="58">
        <f t="shared" si="42"/>
        <v>0</v>
      </c>
      <c r="BK245" s="58">
        <f t="shared" si="43"/>
        <v>8</v>
      </c>
    </row>
    <row r="246" spans="1:63" ht="27" customHeight="1">
      <c r="A246" s="13">
        <f t="shared" si="44"/>
        <v>244</v>
      </c>
      <c r="B246" s="148" t="s">
        <v>1875</v>
      </c>
      <c r="C246" s="148">
        <v>1993</v>
      </c>
      <c r="D246" s="208" t="s">
        <v>1876</v>
      </c>
      <c r="E246" s="150">
        <v>110311867</v>
      </c>
      <c r="F246" s="151" t="s">
        <v>1877</v>
      </c>
      <c r="G246" s="152" t="s">
        <v>1878</v>
      </c>
      <c r="H246" s="153" t="s">
        <v>495</v>
      </c>
      <c r="I246" s="154" t="s">
        <v>1879</v>
      </c>
      <c r="J246" s="155" t="s">
        <v>178</v>
      </c>
      <c r="K246" s="156">
        <v>31994</v>
      </c>
      <c r="L246" s="157" t="s">
        <v>179</v>
      </c>
      <c r="M246" s="25">
        <v>43709</v>
      </c>
      <c r="N246" s="212">
        <v>42873</v>
      </c>
      <c r="O246" s="159" t="s">
        <v>34</v>
      </c>
      <c r="P246" s="18" t="s">
        <v>309</v>
      </c>
      <c r="Q246" s="18" t="s">
        <v>181</v>
      </c>
      <c r="R246" s="159" t="s">
        <v>182</v>
      </c>
      <c r="S246" s="209" t="s">
        <v>228</v>
      </c>
      <c r="T246" s="160"/>
      <c r="U246" s="160"/>
      <c r="V246" s="215" t="s">
        <v>184</v>
      </c>
      <c r="W246" s="161">
        <v>3170</v>
      </c>
      <c r="X246" s="161">
        <v>6</v>
      </c>
      <c r="Y246" s="150" t="s">
        <v>1880</v>
      </c>
      <c r="Z246" s="162"/>
      <c r="AA246" s="162" t="s">
        <v>186</v>
      </c>
      <c r="AB246" s="161"/>
      <c r="AC246" s="183" t="s">
        <v>1574</v>
      </c>
      <c r="AD246" s="184"/>
      <c r="AE246" s="184"/>
      <c r="AF246" s="164"/>
      <c r="AG246" s="163"/>
      <c r="AH246" s="165"/>
      <c r="AI246" s="165"/>
      <c r="AJ246" s="161" t="s">
        <v>203</v>
      </c>
      <c r="AK246" s="161" t="s">
        <v>190</v>
      </c>
      <c r="AL246" s="161" t="s">
        <v>190</v>
      </c>
      <c r="AM246" s="166" t="s">
        <v>1496</v>
      </c>
      <c r="AN246" s="22">
        <v>182</v>
      </c>
      <c r="AO246" s="22">
        <v>0</v>
      </c>
      <c r="AP246" s="22">
        <v>0</v>
      </c>
      <c r="AQ246" s="22">
        <v>0</v>
      </c>
      <c r="AR246" s="22">
        <v>0</v>
      </c>
      <c r="AS246" s="22">
        <v>7</v>
      </c>
      <c r="AT246" s="22">
        <v>10</v>
      </c>
      <c r="AU246" s="316">
        <f t="shared" si="34"/>
        <v>199</v>
      </c>
      <c r="AV246" s="22">
        <v>190</v>
      </c>
      <c r="AW246" s="22">
        <v>0</v>
      </c>
      <c r="AX246" s="22">
        <v>0</v>
      </c>
      <c r="AY246" s="22">
        <v>0</v>
      </c>
      <c r="AZ246" s="22">
        <v>0</v>
      </c>
      <c r="BA246" s="22">
        <v>7</v>
      </c>
      <c r="BB246" s="22">
        <v>10</v>
      </c>
      <c r="BC246" s="316">
        <f t="shared" si="35"/>
        <v>207</v>
      </c>
      <c r="BD246" s="58">
        <f t="shared" si="36"/>
        <v>8</v>
      </c>
      <c r="BE246" s="58">
        <f t="shared" si="37"/>
        <v>0</v>
      </c>
      <c r="BF246" s="58">
        <f t="shared" si="38"/>
        <v>0</v>
      </c>
      <c r="BG246" s="58">
        <f t="shared" si="39"/>
        <v>0</v>
      </c>
      <c r="BH246" s="58">
        <f t="shared" si="40"/>
        <v>0</v>
      </c>
      <c r="BI246" s="58">
        <f t="shared" si="41"/>
        <v>0</v>
      </c>
      <c r="BJ246" s="58">
        <f t="shared" si="42"/>
        <v>0</v>
      </c>
      <c r="BK246" s="58">
        <f t="shared" si="43"/>
        <v>8</v>
      </c>
    </row>
    <row r="247" spans="1:63" ht="27" customHeight="1">
      <c r="A247" s="13">
        <f t="shared" si="44"/>
        <v>245</v>
      </c>
      <c r="B247" s="14" t="s">
        <v>1881</v>
      </c>
      <c r="C247" s="10">
        <v>2022</v>
      </c>
      <c r="D247" s="119" t="s">
        <v>1882</v>
      </c>
      <c r="E247" s="85">
        <v>130177389</v>
      </c>
      <c r="F247" s="78" t="s">
        <v>436</v>
      </c>
      <c r="G247" s="79" t="s">
        <v>1883</v>
      </c>
      <c r="H247" s="15" t="s">
        <v>1884</v>
      </c>
      <c r="I247" s="16" t="s">
        <v>1885</v>
      </c>
      <c r="J247" s="80" t="s">
        <v>178</v>
      </c>
      <c r="K247" s="24">
        <v>29219</v>
      </c>
      <c r="L247" s="82" t="s">
        <v>179</v>
      </c>
      <c r="M247" s="25">
        <v>43709</v>
      </c>
      <c r="N247" s="212">
        <v>42899</v>
      </c>
      <c r="O247" s="17" t="s">
        <v>34</v>
      </c>
      <c r="P247" s="18" t="s">
        <v>339</v>
      </c>
      <c r="Q247" s="18" t="s">
        <v>181</v>
      </c>
      <c r="R247" s="17" t="s">
        <v>182</v>
      </c>
      <c r="S247" s="19" t="s">
        <v>256</v>
      </c>
      <c r="T247" s="175"/>
      <c r="U247" s="175"/>
      <c r="V247" s="214" t="s">
        <v>184</v>
      </c>
      <c r="W247" s="21">
        <v>23</v>
      </c>
      <c r="X247" s="1">
        <v>5</v>
      </c>
      <c r="Y247" s="176" t="s">
        <v>1886</v>
      </c>
      <c r="Z247" s="86"/>
      <c r="AA247" s="86"/>
      <c r="AB247" s="86" t="s">
        <v>186</v>
      </c>
      <c r="AC247" s="177"/>
      <c r="AD247" s="115" t="s">
        <v>189</v>
      </c>
      <c r="AE247" s="115" t="s">
        <v>189</v>
      </c>
      <c r="AF247" s="124"/>
      <c r="AG247" s="122"/>
      <c r="AH247" s="178"/>
      <c r="AI247" s="178"/>
      <c r="AJ247" s="21" t="s">
        <v>203</v>
      </c>
      <c r="AK247" s="21" t="s">
        <v>190</v>
      </c>
      <c r="AL247" s="21" t="s">
        <v>190</v>
      </c>
      <c r="AM247" s="123" t="s">
        <v>1514</v>
      </c>
      <c r="AN247" s="22">
        <v>182</v>
      </c>
      <c r="AO247" s="22">
        <v>0</v>
      </c>
      <c r="AP247" s="22">
        <v>0</v>
      </c>
      <c r="AQ247" s="22">
        <v>0</v>
      </c>
      <c r="AR247" s="22">
        <v>0</v>
      </c>
      <c r="AS247" s="22">
        <v>7</v>
      </c>
      <c r="AT247" s="22">
        <v>10</v>
      </c>
      <c r="AU247" s="316">
        <f t="shared" si="34"/>
        <v>199</v>
      </c>
      <c r="AV247" s="22">
        <v>190</v>
      </c>
      <c r="AW247" s="22">
        <v>0</v>
      </c>
      <c r="AX247" s="22">
        <v>0</v>
      </c>
      <c r="AY247" s="22">
        <v>0</v>
      </c>
      <c r="AZ247" s="22">
        <v>0</v>
      </c>
      <c r="BA247" s="22">
        <v>7</v>
      </c>
      <c r="BB247" s="22">
        <v>10</v>
      </c>
      <c r="BC247" s="316">
        <f t="shared" si="35"/>
        <v>207</v>
      </c>
      <c r="BD247" s="58">
        <f t="shared" si="36"/>
        <v>8</v>
      </c>
      <c r="BE247" s="58">
        <f t="shared" si="37"/>
        <v>0</v>
      </c>
      <c r="BF247" s="58">
        <f t="shared" si="38"/>
        <v>0</v>
      </c>
      <c r="BG247" s="58">
        <f t="shared" si="39"/>
        <v>0</v>
      </c>
      <c r="BH247" s="58">
        <f t="shared" si="40"/>
        <v>0</v>
      </c>
      <c r="BI247" s="58">
        <f t="shared" si="41"/>
        <v>0</v>
      </c>
      <c r="BJ247" s="58">
        <f t="shared" si="42"/>
        <v>0</v>
      </c>
      <c r="BK247" s="58">
        <f t="shared" si="43"/>
        <v>8</v>
      </c>
    </row>
    <row r="248" spans="1:63" ht="27" customHeight="1">
      <c r="A248" s="13">
        <f t="shared" si="44"/>
        <v>246</v>
      </c>
      <c r="B248" s="14" t="s">
        <v>1887</v>
      </c>
      <c r="C248" s="10">
        <v>2037</v>
      </c>
      <c r="D248" s="119" t="s">
        <v>1888</v>
      </c>
      <c r="E248" s="213"/>
      <c r="F248" s="78" t="s">
        <v>1889</v>
      </c>
      <c r="G248" s="79" t="s">
        <v>1890</v>
      </c>
      <c r="H248" s="15" t="s">
        <v>1891</v>
      </c>
      <c r="I248" s="16" t="s">
        <v>1892</v>
      </c>
      <c r="J248" s="80" t="s">
        <v>209</v>
      </c>
      <c r="K248" s="24">
        <v>31810</v>
      </c>
      <c r="L248" s="82" t="s">
        <v>179</v>
      </c>
      <c r="M248" s="25">
        <v>43709</v>
      </c>
      <c r="N248" s="212">
        <v>42917</v>
      </c>
      <c r="O248" s="17" t="s">
        <v>80</v>
      </c>
      <c r="P248" s="18" t="s">
        <v>102</v>
      </c>
      <c r="Q248" s="18" t="s">
        <v>181</v>
      </c>
      <c r="R248" s="17" t="s">
        <v>182</v>
      </c>
      <c r="S248" s="19" t="s">
        <v>183</v>
      </c>
      <c r="T248" s="175"/>
      <c r="U248" s="175"/>
      <c r="V248" s="21" t="s">
        <v>184</v>
      </c>
      <c r="W248" s="21" t="s">
        <v>184</v>
      </c>
      <c r="X248" s="1">
        <v>12</v>
      </c>
      <c r="Y248" s="216" t="s">
        <v>1893</v>
      </c>
      <c r="Z248" s="86"/>
      <c r="AA248" s="86" t="s">
        <v>186</v>
      </c>
      <c r="AB248" s="1"/>
      <c r="AC248" s="177"/>
      <c r="AD248" s="115" t="s">
        <v>189</v>
      </c>
      <c r="AE248" s="115"/>
      <c r="AF248" s="124"/>
      <c r="AG248" s="122"/>
      <c r="AH248" s="178"/>
      <c r="AI248" s="178"/>
      <c r="AJ248" s="21" t="s">
        <v>203</v>
      </c>
      <c r="AK248" s="21" t="s">
        <v>190</v>
      </c>
      <c r="AL248" s="21" t="s">
        <v>190</v>
      </c>
      <c r="AM248" s="123" t="s">
        <v>1894</v>
      </c>
      <c r="AN248" s="22">
        <v>182</v>
      </c>
      <c r="AO248" s="22">
        <v>0</v>
      </c>
      <c r="AP248" s="22">
        <v>0</v>
      </c>
      <c r="AQ248" s="22">
        <v>150</v>
      </c>
      <c r="AR248" s="22">
        <v>50</v>
      </c>
      <c r="AS248" s="22">
        <v>7</v>
      </c>
      <c r="AT248" s="22">
        <v>10</v>
      </c>
      <c r="AU248" s="316">
        <f t="shared" si="34"/>
        <v>399</v>
      </c>
      <c r="AV248" s="22">
        <v>190</v>
      </c>
      <c r="AW248" s="22">
        <v>0</v>
      </c>
      <c r="AX248" s="22">
        <v>0</v>
      </c>
      <c r="AY248" s="22">
        <v>150</v>
      </c>
      <c r="AZ248" s="22">
        <v>50</v>
      </c>
      <c r="BA248" s="22">
        <v>7</v>
      </c>
      <c r="BB248" s="22">
        <v>10</v>
      </c>
      <c r="BC248" s="316">
        <f t="shared" si="35"/>
        <v>407</v>
      </c>
      <c r="BD248" s="58">
        <f t="shared" si="36"/>
        <v>8</v>
      </c>
      <c r="BE248" s="58">
        <f t="shared" si="37"/>
        <v>0</v>
      </c>
      <c r="BF248" s="58">
        <f t="shared" si="38"/>
        <v>0</v>
      </c>
      <c r="BG248" s="58">
        <f t="shared" si="39"/>
        <v>0</v>
      </c>
      <c r="BH248" s="58">
        <f t="shared" si="40"/>
        <v>0</v>
      </c>
      <c r="BI248" s="58">
        <f t="shared" si="41"/>
        <v>0</v>
      </c>
      <c r="BJ248" s="58">
        <f t="shared" si="42"/>
        <v>0</v>
      </c>
      <c r="BK248" s="58">
        <f t="shared" si="43"/>
        <v>8</v>
      </c>
    </row>
    <row r="249" spans="1:63" ht="27" customHeight="1">
      <c r="A249" s="13">
        <f t="shared" si="44"/>
        <v>247</v>
      </c>
      <c r="B249" s="14" t="s">
        <v>1895</v>
      </c>
      <c r="C249" s="10">
        <v>2107</v>
      </c>
      <c r="D249" s="119" t="s">
        <v>1896</v>
      </c>
      <c r="E249" s="85">
        <v>100831519</v>
      </c>
      <c r="F249" s="78" t="s">
        <v>1897</v>
      </c>
      <c r="G249" s="79" t="s">
        <v>1898</v>
      </c>
      <c r="H249" s="15" t="s">
        <v>1899</v>
      </c>
      <c r="I249" s="16" t="s">
        <v>1900</v>
      </c>
      <c r="J249" s="80" t="s">
        <v>178</v>
      </c>
      <c r="K249" s="24">
        <v>35705</v>
      </c>
      <c r="L249" s="82" t="s">
        <v>179</v>
      </c>
      <c r="M249" s="25">
        <v>43709</v>
      </c>
      <c r="N249" s="212">
        <v>42931</v>
      </c>
      <c r="O249" s="17" t="s">
        <v>34</v>
      </c>
      <c r="P249" s="18" t="s">
        <v>604</v>
      </c>
      <c r="Q249" s="18" t="s">
        <v>181</v>
      </c>
      <c r="R249" s="17" t="s">
        <v>182</v>
      </c>
      <c r="S249" s="19" t="s">
        <v>211</v>
      </c>
      <c r="T249" s="175"/>
      <c r="U249" s="175"/>
      <c r="V249" s="21" t="s">
        <v>200</v>
      </c>
      <c r="W249" s="21">
        <v>363</v>
      </c>
      <c r="X249" s="1">
        <v>3</v>
      </c>
      <c r="Y249" s="77" t="s">
        <v>184</v>
      </c>
      <c r="Z249" s="86"/>
      <c r="AA249" s="86" t="s">
        <v>186</v>
      </c>
      <c r="AB249" s="1"/>
      <c r="AC249" s="177"/>
      <c r="AD249" s="115"/>
      <c r="AE249" s="115"/>
      <c r="AF249" s="124"/>
      <c r="AG249" s="122"/>
      <c r="AH249" s="178"/>
      <c r="AI249" s="178"/>
      <c r="AJ249" s="21" t="s">
        <v>203</v>
      </c>
      <c r="AK249" s="21" t="s">
        <v>190</v>
      </c>
      <c r="AL249" s="21" t="s">
        <v>190</v>
      </c>
      <c r="AM249" s="123" t="s">
        <v>1901</v>
      </c>
      <c r="AN249" s="22">
        <v>182</v>
      </c>
      <c r="AO249" s="22">
        <v>0</v>
      </c>
      <c r="AP249" s="22">
        <v>0</v>
      </c>
      <c r="AQ249" s="22">
        <v>0</v>
      </c>
      <c r="AR249" s="22">
        <v>0</v>
      </c>
      <c r="AS249" s="22">
        <v>7</v>
      </c>
      <c r="AT249" s="22">
        <v>10</v>
      </c>
      <c r="AU249" s="316">
        <f t="shared" si="34"/>
        <v>199</v>
      </c>
      <c r="AV249" s="22">
        <v>190</v>
      </c>
      <c r="AW249" s="22">
        <v>0</v>
      </c>
      <c r="AX249" s="22">
        <v>0</v>
      </c>
      <c r="AY249" s="22">
        <v>0</v>
      </c>
      <c r="AZ249" s="22">
        <v>0</v>
      </c>
      <c r="BA249" s="22">
        <v>7</v>
      </c>
      <c r="BB249" s="22">
        <v>10</v>
      </c>
      <c r="BC249" s="316">
        <f t="shared" si="35"/>
        <v>207</v>
      </c>
      <c r="BD249" s="58">
        <f t="shared" si="36"/>
        <v>8</v>
      </c>
      <c r="BE249" s="58">
        <f t="shared" si="37"/>
        <v>0</v>
      </c>
      <c r="BF249" s="58">
        <f t="shared" si="38"/>
        <v>0</v>
      </c>
      <c r="BG249" s="58">
        <f t="shared" si="39"/>
        <v>0</v>
      </c>
      <c r="BH249" s="58">
        <f t="shared" si="40"/>
        <v>0</v>
      </c>
      <c r="BI249" s="58">
        <f t="shared" si="41"/>
        <v>0</v>
      </c>
      <c r="BJ249" s="58">
        <f t="shared" si="42"/>
        <v>0</v>
      </c>
      <c r="BK249" s="58">
        <f t="shared" si="43"/>
        <v>8</v>
      </c>
    </row>
    <row r="250" spans="1:63" ht="27" customHeight="1">
      <c r="A250" s="13">
        <f t="shared" si="44"/>
        <v>248</v>
      </c>
      <c r="B250" s="14" t="s">
        <v>1902</v>
      </c>
      <c r="C250" s="10">
        <v>2103</v>
      </c>
      <c r="D250" s="119" t="s">
        <v>1903</v>
      </c>
      <c r="E250" s="85">
        <v>130196571</v>
      </c>
      <c r="F250" s="78" t="s">
        <v>1904</v>
      </c>
      <c r="G250" s="79" t="s">
        <v>1641</v>
      </c>
      <c r="H250" s="15" t="s">
        <v>1905</v>
      </c>
      <c r="I250" s="16" t="s">
        <v>1149</v>
      </c>
      <c r="J250" s="80" t="s">
        <v>178</v>
      </c>
      <c r="K250" s="24">
        <v>33270</v>
      </c>
      <c r="L250" s="82" t="s">
        <v>179</v>
      </c>
      <c r="M250" s="25">
        <v>43709</v>
      </c>
      <c r="N250" s="212">
        <v>42930</v>
      </c>
      <c r="O250" s="17" t="s">
        <v>34</v>
      </c>
      <c r="P250" s="18" t="s">
        <v>386</v>
      </c>
      <c r="Q250" s="18" t="s">
        <v>181</v>
      </c>
      <c r="R250" s="17" t="s">
        <v>182</v>
      </c>
      <c r="S250" s="19" t="s">
        <v>256</v>
      </c>
      <c r="T250" s="175"/>
      <c r="U250" s="175"/>
      <c r="V250" s="21" t="s">
        <v>184</v>
      </c>
      <c r="W250" s="21">
        <v>1826</v>
      </c>
      <c r="X250" s="1">
        <v>5</v>
      </c>
      <c r="Y250" s="176">
        <v>93423269</v>
      </c>
      <c r="Z250" s="86"/>
      <c r="AA250" s="86" t="s">
        <v>186</v>
      </c>
      <c r="AB250" s="1"/>
      <c r="AC250" s="177" t="s">
        <v>425</v>
      </c>
      <c r="AD250" s="115"/>
      <c r="AE250" s="115"/>
      <c r="AF250" s="124"/>
      <c r="AG250" s="122"/>
      <c r="AH250" s="178"/>
      <c r="AI250" s="178"/>
      <c r="AJ250" s="21" t="s">
        <v>203</v>
      </c>
      <c r="AK250" s="21" t="s">
        <v>190</v>
      </c>
      <c r="AL250" s="21" t="s">
        <v>190</v>
      </c>
      <c r="AM250" s="123" t="s">
        <v>1539</v>
      </c>
      <c r="AN250" s="22">
        <v>182</v>
      </c>
      <c r="AO250" s="22">
        <v>0</v>
      </c>
      <c r="AP250" s="22">
        <v>0</v>
      </c>
      <c r="AQ250" s="22">
        <v>0</v>
      </c>
      <c r="AR250" s="22">
        <v>0</v>
      </c>
      <c r="AS250" s="22">
        <v>7</v>
      </c>
      <c r="AT250" s="22">
        <v>10</v>
      </c>
      <c r="AU250" s="316">
        <f t="shared" si="34"/>
        <v>199</v>
      </c>
      <c r="AV250" s="22">
        <v>190</v>
      </c>
      <c r="AW250" s="22">
        <v>0</v>
      </c>
      <c r="AX250" s="22">
        <v>0</v>
      </c>
      <c r="AY250" s="22">
        <v>0</v>
      </c>
      <c r="AZ250" s="22">
        <v>0</v>
      </c>
      <c r="BA250" s="22">
        <v>7</v>
      </c>
      <c r="BB250" s="22">
        <v>10</v>
      </c>
      <c r="BC250" s="316">
        <f t="shared" si="35"/>
        <v>207</v>
      </c>
      <c r="BD250" s="58">
        <f t="shared" si="36"/>
        <v>8</v>
      </c>
      <c r="BE250" s="58">
        <f t="shared" si="37"/>
        <v>0</v>
      </c>
      <c r="BF250" s="58">
        <f t="shared" si="38"/>
        <v>0</v>
      </c>
      <c r="BG250" s="58">
        <f t="shared" si="39"/>
        <v>0</v>
      </c>
      <c r="BH250" s="58">
        <f t="shared" si="40"/>
        <v>0</v>
      </c>
      <c r="BI250" s="58">
        <f t="shared" si="41"/>
        <v>0</v>
      </c>
      <c r="BJ250" s="58">
        <f t="shared" si="42"/>
        <v>0</v>
      </c>
      <c r="BK250" s="58">
        <f t="shared" si="43"/>
        <v>8</v>
      </c>
    </row>
    <row r="251" spans="1:63" ht="27" customHeight="1">
      <c r="A251" s="13">
        <f t="shared" si="44"/>
        <v>249</v>
      </c>
      <c r="B251" s="14" t="s">
        <v>1906</v>
      </c>
      <c r="C251" s="10">
        <v>2043</v>
      </c>
      <c r="D251" s="119" t="s">
        <v>1907</v>
      </c>
      <c r="E251" s="213" t="s">
        <v>1908</v>
      </c>
      <c r="F251" s="78" t="s">
        <v>1909</v>
      </c>
      <c r="G251" s="79" t="s">
        <v>1910</v>
      </c>
      <c r="H251" s="15" t="s">
        <v>1911</v>
      </c>
      <c r="I251" s="16" t="s">
        <v>1912</v>
      </c>
      <c r="J251" s="80" t="s">
        <v>178</v>
      </c>
      <c r="K251" s="24">
        <v>34037</v>
      </c>
      <c r="L251" s="82" t="s">
        <v>179</v>
      </c>
      <c r="M251" s="25">
        <v>43709</v>
      </c>
      <c r="N251" s="212">
        <v>42920</v>
      </c>
      <c r="O251" s="17" t="s">
        <v>34</v>
      </c>
      <c r="P251" s="18" t="s">
        <v>292</v>
      </c>
      <c r="Q251" s="18" t="s">
        <v>181</v>
      </c>
      <c r="R251" s="17" t="s">
        <v>182</v>
      </c>
      <c r="S251" s="13" t="s">
        <v>331</v>
      </c>
      <c r="T251" s="175"/>
      <c r="U251" s="175"/>
      <c r="V251" s="21" t="s">
        <v>200</v>
      </c>
      <c r="W251" s="21">
        <v>4097</v>
      </c>
      <c r="X251" s="1">
        <v>6</v>
      </c>
      <c r="Y251" s="176" t="s">
        <v>1913</v>
      </c>
      <c r="Z251" s="86"/>
      <c r="AA251" s="86" t="s">
        <v>186</v>
      </c>
      <c r="AB251" s="1"/>
      <c r="AC251" s="177"/>
      <c r="AD251" s="115"/>
      <c r="AE251" s="115"/>
      <c r="AF251" s="124"/>
      <c r="AG251" s="122"/>
      <c r="AH251" s="178"/>
      <c r="AI251" s="178"/>
      <c r="AJ251" s="21" t="s">
        <v>203</v>
      </c>
      <c r="AK251" s="21" t="s">
        <v>190</v>
      </c>
      <c r="AL251" s="21" t="s">
        <v>190</v>
      </c>
      <c r="AM251" s="123" t="s">
        <v>1209</v>
      </c>
      <c r="AN251" s="22">
        <v>182</v>
      </c>
      <c r="AO251" s="22">
        <v>0</v>
      </c>
      <c r="AP251" s="22">
        <v>20</v>
      </c>
      <c r="AQ251" s="22">
        <v>10</v>
      </c>
      <c r="AR251" s="22">
        <v>0</v>
      </c>
      <c r="AS251" s="22">
        <v>7</v>
      </c>
      <c r="AT251" s="22">
        <v>10</v>
      </c>
      <c r="AU251" s="316">
        <f t="shared" si="34"/>
        <v>229</v>
      </c>
      <c r="AV251" s="22">
        <v>190</v>
      </c>
      <c r="AW251" s="22">
        <v>0</v>
      </c>
      <c r="AX251" s="22">
        <v>20</v>
      </c>
      <c r="AY251" s="22">
        <v>10</v>
      </c>
      <c r="AZ251" s="22">
        <v>0</v>
      </c>
      <c r="BA251" s="22">
        <v>7</v>
      </c>
      <c r="BB251" s="22">
        <v>10</v>
      </c>
      <c r="BC251" s="316">
        <f t="shared" si="35"/>
        <v>237</v>
      </c>
      <c r="BD251" s="58">
        <f t="shared" si="36"/>
        <v>8</v>
      </c>
      <c r="BE251" s="58">
        <f t="shared" si="37"/>
        <v>0</v>
      </c>
      <c r="BF251" s="58">
        <f t="shared" si="38"/>
        <v>0</v>
      </c>
      <c r="BG251" s="58">
        <f t="shared" si="39"/>
        <v>0</v>
      </c>
      <c r="BH251" s="58">
        <f t="shared" si="40"/>
        <v>0</v>
      </c>
      <c r="BI251" s="58">
        <f t="shared" si="41"/>
        <v>0</v>
      </c>
      <c r="BJ251" s="58">
        <f t="shared" si="42"/>
        <v>0</v>
      </c>
      <c r="BK251" s="58">
        <f t="shared" si="43"/>
        <v>8</v>
      </c>
    </row>
    <row r="252" spans="1:63" ht="27" customHeight="1">
      <c r="A252" s="13">
        <f t="shared" si="44"/>
        <v>250</v>
      </c>
      <c r="B252" s="14" t="s">
        <v>1914</v>
      </c>
      <c r="C252" s="10">
        <v>2041</v>
      </c>
      <c r="D252" s="119" t="s">
        <v>1915</v>
      </c>
      <c r="E252" s="213" t="s">
        <v>1916</v>
      </c>
      <c r="F252" s="78" t="s">
        <v>1917</v>
      </c>
      <c r="G252" s="79" t="s">
        <v>831</v>
      </c>
      <c r="H252" s="15" t="s">
        <v>1918</v>
      </c>
      <c r="I252" s="16" t="s">
        <v>1919</v>
      </c>
      <c r="J252" s="80" t="s">
        <v>178</v>
      </c>
      <c r="K252" s="24">
        <v>31902</v>
      </c>
      <c r="L252" s="82" t="s">
        <v>179</v>
      </c>
      <c r="M252" s="25">
        <v>43709</v>
      </c>
      <c r="N252" s="212">
        <v>42920</v>
      </c>
      <c r="O252" s="17" t="s">
        <v>34</v>
      </c>
      <c r="P252" s="18" t="s">
        <v>292</v>
      </c>
      <c r="Q252" s="18" t="s">
        <v>181</v>
      </c>
      <c r="R252" s="17" t="s">
        <v>182</v>
      </c>
      <c r="S252" s="13" t="s">
        <v>219</v>
      </c>
      <c r="T252" s="175"/>
      <c r="U252" s="175"/>
      <c r="V252" s="21" t="s">
        <v>200</v>
      </c>
      <c r="W252" s="21">
        <v>4121</v>
      </c>
      <c r="X252" s="1">
        <v>4</v>
      </c>
      <c r="Y252" s="176" t="s">
        <v>1920</v>
      </c>
      <c r="Z252" s="86"/>
      <c r="AA252" s="86" t="s">
        <v>186</v>
      </c>
      <c r="AB252" s="1"/>
      <c r="AC252" s="177" t="s">
        <v>202</v>
      </c>
      <c r="AD252" s="115"/>
      <c r="AE252" s="115"/>
      <c r="AF252" s="124"/>
      <c r="AG252" s="122"/>
      <c r="AH252" s="178"/>
      <c r="AI252" s="178"/>
      <c r="AJ252" s="21" t="s">
        <v>203</v>
      </c>
      <c r="AK252" s="21" t="s">
        <v>190</v>
      </c>
      <c r="AL252" s="21" t="s">
        <v>190</v>
      </c>
      <c r="AM252" s="123" t="s">
        <v>1209</v>
      </c>
      <c r="AN252" s="22">
        <v>182</v>
      </c>
      <c r="AO252" s="22">
        <v>0</v>
      </c>
      <c r="AP252" s="22">
        <v>0</v>
      </c>
      <c r="AQ252" s="22">
        <v>0</v>
      </c>
      <c r="AR252" s="22">
        <v>0</v>
      </c>
      <c r="AS252" s="22">
        <v>7</v>
      </c>
      <c r="AT252" s="22">
        <v>10</v>
      </c>
      <c r="AU252" s="316">
        <f t="shared" si="34"/>
        <v>199</v>
      </c>
      <c r="AV252" s="22">
        <v>190</v>
      </c>
      <c r="AW252" s="22">
        <v>0</v>
      </c>
      <c r="AX252" s="22">
        <v>0</v>
      </c>
      <c r="AY252" s="22">
        <v>0</v>
      </c>
      <c r="AZ252" s="22">
        <v>0</v>
      </c>
      <c r="BA252" s="22">
        <v>7</v>
      </c>
      <c r="BB252" s="22">
        <v>10</v>
      </c>
      <c r="BC252" s="316">
        <f t="shared" si="35"/>
        <v>207</v>
      </c>
      <c r="BD252" s="58">
        <f t="shared" si="36"/>
        <v>8</v>
      </c>
      <c r="BE252" s="58">
        <f t="shared" si="37"/>
        <v>0</v>
      </c>
      <c r="BF252" s="58">
        <f t="shared" si="38"/>
        <v>0</v>
      </c>
      <c r="BG252" s="58">
        <f t="shared" si="39"/>
        <v>0</v>
      </c>
      <c r="BH252" s="58">
        <f t="shared" si="40"/>
        <v>0</v>
      </c>
      <c r="BI252" s="58">
        <f t="shared" si="41"/>
        <v>0</v>
      </c>
      <c r="BJ252" s="58">
        <f t="shared" si="42"/>
        <v>0</v>
      </c>
      <c r="BK252" s="58">
        <f t="shared" si="43"/>
        <v>8</v>
      </c>
    </row>
    <row r="253" spans="1:63" ht="27" customHeight="1">
      <c r="A253" s="13">
        <f t="shared" si="44"/>
        <v>251</v>
      </c>
      <c r="B253" s="14" t="s">
        <v>1921</v>
      </c>
      <c r="C253" s="10">
        <v>2121</v>
      </c>
      <c r="D253" s="119" t="s">
        <v>1922</v>
      </c>
      <c r="E253" s="85">
        <v>250088826</v>
      </c>
      <c r="F253" s="78" t="s">
        <v>1870</v>
      </c>
      <c r="G253" s="79" t="s">
        <v>1254</v>
      </c>
      <c r="H253" s="15" t="s">
        <v>1872</v>
      </c>
      <c r="I253" s="16" t="s">
        <v>1256</v>
      </c>
      <c r="J253" s="80" t="s">
        <v>178</v>
      </c>
      <c r="K253" s="24">
        <v>32523</v>
      </c>
      <c r="L253" s="82" t="s">
        <v>179</v>
      </c>
      <c r="M253" s="25">
        <v>43709</v>
      </c>
      <c r="N253" s="212">
        <v>42936</v>
      </c>
      <c r="O253" s="17" t="s">
        <v>34</v>
      </c>
      <c r="P253" s="18" t="s">
        <v>318</v>
      </c>
      <c r="Q253" s="18" t="s">
        <v>249</v>
      </c>
      <c r="R253" s="17" t="s">
        <v>182</v>
      </c>
      <c r="S253" s="19" t="s">
        <v>183</v>
      </c>
      <c r="T253" s="175"/>
      <c r="U253" s="175"/>
      <c r="V253" s="21" t="s">
        <v>200</v>
      </c>
      <c r="W253" s="21">
        <v>3192</v>
      </c>
      <c r="X253" s="1">
        <v>6</v>
      </c>
      <c r="Y253" s="176" t="s">
        <v>1923</v>
      </c>
      <c r="Z253" s="86"/>
      <c r="AA253" s="86"/>
      <c r="AB253" s="1"/>
      <c r="AC253" s="177"/>
      <c r="AD253" s="115"/>
      <c r="AE253" s="115"/>
      <c r="AF253" s="124"/>
      <c r="AG253" s="122"/>
      <c r="AH253" s="178"/>
      <c r="AI253" s="178"/>
      <c r="AJ253" s="21" t="s">
        <v>203</v>
      </c>
      <c r="AK253" s="21" t="s">
        <v>190</v>
      </c>
      <c r="AL253" s="21" t="s">
        <v>190</v>
      </c>
      <c r="AM253" s="123" t="s">
        <v>1209</v>
      </c>
      <c r="AN253" s="22">
        <v>182</v>
      </c>
      <c r="AO253" s="22">
        <v>0</v>
      </c>
      <c r="AP253" s="22">
        <v>20</v>
      </c>
      <c r="AQ253" s="22">
        <v>0</v>
      </c>
      <c r="AR253" s="22">
        <v>0</v>
      </c>
      <c r="AS253" s="22">
        <v>7</v>
      </c>
      <c r="AT253" s="22">
        <v>10</v>
      </c>
      <c r="AU253" s="316">
        <f t="shared" si="34"/>
        <v>219</v>
      </c>
      <c r="AV253" s="22">
        <v>190</v>
      </c>
      <c r="AW253" s="22">
        <v>0</v>
      </c>
      <c r="AX253" s="22">
        <v>20</v>
      </c>
      <c r="AY253" s="22">
        <v>0</v>
      </c>
      <c r="AZ253" s="22">
        <v>0</v>
      </c>
      <c r="BA253" s="22">
        <v>7</v>
      </c>
      <c r="BB253" s="22">
        <v>10</v>
      </c>
      <c r="BC253" s="316">
        <f t="shared" si="35"/>
        <v>227</v>
      </c>
      <c r="BD253" s="58">
        <f t="shared" si="36"/>
        <v>8</v>
      </c>
      <c r="BE253" s="58">
        <f t="shared" si="37"/>
        <v>0</v>
      </c>
      <c r="BF253" s="58">
        <f t="shared" si="38"/>
        <v>0</v>
      </c>
      <c r="BG253" s="58">
        <f t="shared" si="39"/>
        <v>0</v>
      </c>
      <c r="BH253" s="58">
        <f t="shared" si="40"/>
        <v>0</v>
      </c>
      <c r="BI253" s="58">
        <f t="shared" si="41"/>
        <v>0</v>
      </c>
      <c r="BJ253" s="58">
        <f t="shared" si="42"/>
        <v>0</v>
      </c>
      <c r="BK253" s="58">
        <f t="shared" si="43"/>
        <v>8</v>
      </c>
    </row>
    <row r="254" spans="1:63" ht="27" customHeight="1">
      <c r="A254" s="13">
        <f t="shared" si="44"/>
        <v>252</v>
      </c>
      <c r="B254" s="14" t="s">
        <v>1924</v>
      </c>
      <c r="C254" s="10">
        <v>2108</v>
      </c>
      <c r="D254" s="119" t="s">
        <v>1925</v>
      </c>
      <c r="E254" s="217" t="s">
        <v>1926</v>
      </c>
      <c r="F254" s="106" t="s">
        <v>1597</v>
      </c>
      <c r="G254" s="107" t="s">
        <v>1927</v>
      </c>
      <c r="H254" s="26" t="s">
        <v>1598</v>
      </c>
      <c r="I254" s="27" t="s">
        <v>1928</v>
      </c>
      <c r="J254" s="98" t="s">
        <v>178</v>
      </c>
      <c r="K254" s="28">
        <v>31869</v>
      </c>
      <c r="L254" s="82" t="s">
        <v>179</v>
      </c>
      <c r="M254" s="25">
        <v>43709</v>
      </c>
      <c r="N254" s="212">
        <v>42931</v>
      </c>
      <c r="O254" s="17" t="s">
        <v>34</v>
      </c>
      <c r="P254" s="18" t="s">
        <v>604</v>
      </c>
      <c r="Q254" s="18" t="s">
        <v>181</v>
      </c>
      <c r="R254" s="17" t="s">
        <v>182</v>
      </c>
      <c r="S254" s="13" t="s">
        <v>219</v>
      </c>
      <c r="T254" s="175"/>
      <c r="U254" s="175"/>
      <c r="V254" s="21" t="s">
        <v>200</v>
      </c>
      <c r="W254" s="21">
        <v>309</v>
      </c>
      <c r="X254" s="1">
        <v>5</v>
      </c>
      <c r="Y254" s="176" t="s">
        <v>1929</v>
      </c>
      <c r="Z254" s="86" t="s">
        <v>186</v>
      </c>
      <c r="AA254" s="86"/>
      <c r="AB254" s="1"/>
      <c r="AC254" s="177"/>
      <c r="AD254" s="115"/>
      <c r="AE254" s="115"/>
      <c r="AF254" s="124"/>
      <c r="AG254" s="122"/>
      <c r="AH254" s="178"/>
      <c r="AI254" s="178"/>
      <c r="AJ254" s="21" t="s">
        <v>203</v>
      </c>
      <c r="AK254" s="21" t="s">
        <v>190</v>
      </c>
      <c r="AL254" s="21" t="s">
        <v>190</v>
      </c>
      <c r="AM254" s="123" t="s">
        <v>1530</v>
      </c>
      <c r="AN254" s="22">
        <v>182</v>
      </c>
      <c r="AO254" s="22">
        <v>0</v>
      </c>
      <c r="AP254" s="22">
        <v>0</v>
      </c>
      <c r="AQ254" s="22">
        <v>0</v>
      </c>
      <c r="AR254" s="22">
        <v>0</v>
      </c>
      <c r="AS254" s="22">
        <v>7</v>
      </c>
      <c r="AT254" s="22">
        <v>10</v>
      </c>
      <c r="AU254" s="316">
        <f t="shared" si="34"/>
        <v>199</v>
      </c>
      <c r="AV254" s="22">
        <v>190</v>
      </c>
      <c r="AW254" s="22">
        <v>0</v>
      </c>
      <c r="AX254" s="22">
        <v>0</v>
      </c>
      <c r="AY254" s="22">
        <v>0</v>
      </c>
      <c r="AZ254" s="22">
        <v>0</v>
      </c>
      <c r="BA254" s="22">
        <v>7</v>
      </c>
      <c r="BB254" s="22">
        <v>10</v>
      </c>
      <c r="BC254" s="316">
        <f t="shared" si="35"/>
        <v>207</v>
      </c>
      <c r="BD254" s="58">
        <f t="shared" si="36"/>
        <v>8</v>
      </c>
      <c r="BE254" s="58">
        <f t="shared" si="37"/>
        <v>0</v>
      </c>
      <c r="BF254" s="58">
        <f t="shared" si="38"/>
        <v>0</v>
      </c>
      <c r="BG254" s="58">
        <f t="shared" si="39"/>
        <v>0</v>
      </c>
      <c r="BH254" s="58">
        <f t="shared" si="40"/>
        <v>0</v>
      </c>
      <c r="BI254" s="58">
        <f t="shared" si="41"/>
        <v>0</v>
      </c>
      <c r="BJ254" s="58">
        <f t="shared" si="42"/>
        <v>0</v>
      </c>
      <c r="BK254" s="58">
        <f t="shared" si="43"/>
        <v>8</v>
      </c>
    </row>
    <row r="255" spans="1:63" ht="27" customHeight="1">
      <c r="A255" s="13">
        <f t="shared" si="44"/>
        <v>253</v>
      </c>
      <c r="B255" s="14" t="s">
        <v>1930</v>
      </c>
      <c r="C255" s="10">
        <v>2091</v>
      </c>
      <c r="D255" s="119" t="s">
        <v>1931</v>
      </c>
      <c r="E255" s="77">
        <v>130199241</v>
      </c>
      <c r="F255" s="106" t="s">
        <v>420</v>
      </c>
      <c r="G255" s="107" t="s">
        <v>1932</v>
      </c>
      <c r="H255" s="26" t="s">
        <v>1933</v>
      </c>
      <c r="I255" s="27" t="s">
        <v>1934</v>
      </c>
      <c r="J255" s="98" t="s">
        <v>178</v>
      </c>
      <c r="K255" s="28">
        <v>35292</v>
      </c>
      <c r="L255" s="82" t="s">
        <v>179</v>
      </c>
      <c r="M255" s="25">
        <v>43709</v>
      </c>
      <c r="N255" s="212">
        <v>42928</v>
      </c>
      <c r="O255" s="17" t="s">
        <v>34</v>
      </c>
      <c r="P255" s="18" t="s">
        <v>292</v>
      </c>
      <c r="Q255" s="18" t="s">
        <v>181</v>
      </c>
      <c r="R255" s="17" t="s">
        <v>182</v>
      </c>
      <c r="S255" s="19" t="s">
        <v>256</v>
      </c>
      <c r="T255" s="175"/>
      <c r="U255" s="175"/>
      <c r="V255" s="21" t="s">
        <v>184</v>
      </c>
      <c r="W255" s="21" t="s">
        <v>184</v>
      </c>
      <c r="X255" s="1">
        <v>5</v>
      </c>
      <c r="Y255" s="176" t="s">
        <v>1935</v>
      </c>
      <c r="Z255" s="86" t="s">
        <v>186</v>
      </c>
      <c r="AA255" s="86"/>
      <c r="AB255" s="1"/>
      <c r="AC255" s="177"/>
      <c r="AD255" s="115"/>
      <c r="AE255" s="115"/>
      <c r="AF255" s="124"/>
      <c r="AG255" s="122"/>
      <c r="AH255" s="178"/>
      <c r="AI255" s="178"/>
      <c r="AJ255" s="21" t="s">
        <v>203</v>
      </c>
      <c r="AK255" s="21" t="s">
        <v>190</v>
      </c>
      <c r="AL255" s="21" t="s">
        <v>190</v>
      </c>
      <c r="AM255" s="123" t="s">
        <v>1936</v>
      </c>
      <c r="AN255" s="22">
        <v>182</v>
      </c>
      <c r="AO255" s="22">
        <v>0</v>
      </c>
      <c r="AP255" s="22">
        <v>20</v>
      </c>
      <c r="AQ255" s="22">
        <v>0</v>
      </c>
      <c r="AR255" s="22">
        <v>0</v>
      </c>
      <c r="AS255" s="22">
        <v>7</v>
      </c>
      <c r="AT255" s="22">
        <v>10</v>
      </c>
      <c r="AU255" s="316">
        <f t="shared" si="34"/>
        <v>219</v>
      </c>
      <c r="AV255" s="22">
        <v>190</v>
      </c>
      <c r="AW255" s="22">
        <v>0</v>
      </c>
      <c r="AX255" s="22">
        <v>20</v>
      </c>
      <c r="AY255" s="22">
        <v>0</v>
      </c>
      <c r="AZ255" s="22">
        <v>0</v>
      </c>
      <c r="BA255" s="22">
        <v>7</v>
      </c>
      <c r="BB255" s="22">
        <v>10</v>
      </c>
      <c r="BC255" s="316">
        <f t="shared" si="35"/>
        <v>227</v>
      </c>
      <c r="BD255" s="58">
        <f t="shared" si="36"/>
        <v>8</v>
      </c>
      <c r="BE255" s="58">
        <f t="shared" si="37"/>
        <v>0</v>
      </c>
      <c r="BF255" s="58">
        <f t="shared" si="38"/>
        <v>0</v>
      </c>
      <c r="BG255" s="58">
        <f t="shared" si="39"/>
        <v>0</v>
      </c>
      <c r="BH255" s="58">
        <f t="shared" si="40"/>
        <v>0</v>
      </c>
      <c r="BI255" s="58">
        <f t="shared" si="41"/>
        <v>0</v>
      </c>
      <c r="BJ255" s="58">
        <f t="shared" si="42"/>
        <v>0</v>
      </c>
      <c r="BK255" s="58">
        <f t="shared" si="43"/>
        <v>8</v>
      </c>
    </row>
    <row r="256" spans="1:63" ht="27" customHeight="1">
      <c r="A256" s="13">
        <f t="shared" si="44"/>
        <v>254</v>
      </c>
      <c r="B256" s="14" t="s">
        <v>1937</v>
      </c>
      <c r="C256" s="10">
        <v>2054</v>
      </c>
      <c r="D256" s="119" t="s">
        <v>1938</v>
      </c>
      <c r="E256" s="77">
        <v>110532454</v>
      </c>
      <c r="F256" s="106" t="s">
        <v>1939</v>
      </c>
      <c r="G256" s="107" t="s">
        <v>1940</v>
      </c>
      <c r="H256" s="26" t="s">
        <v>1642</v>
      </c>
      <c r="I256" s="27" t="s">
        <v>1941</v>
      </c>
      <c r="J256" s="98" t="s">
        <v>178</v>
      </c>
      <c r="K256" s="28">
        <v>32936</v>
      </c>
      <c r="L256" s="82" t="s">
        <v>179</v>
      </c>
      <c r="M256" s="25">
        <v>43709</v>
      </c>
      <c r="N256" s="212">
        <v>42921</v>
      </c>
      <c r="O256" s="17" t="s">
        <v>34</v>
      </c>
      <c r="P256" s="18" t="s">
        <v>309</v>
      </c>
      <c r="Q256" s="18" t="s">
        <v>181</v>
      </c>
      <c r="R256" s="17" t="s">
        <v>182</v>
      </c>
      <c r="S256" s="19" t="s">
        <v>211</v>
      </c>
      <c r="T256" s="175"/>
      <c r="U256" s="175"/>
      <c r="V256" s="21" t="s">
        <v>200</v>
      </c>
      <c r="W256" s="21">
        <v>548</v>
      </c>
      <c r="X256" s="1">
        <v>9</v>
      </c>
      <c r="Y256" s="176" t="s">
        <v>184</v>
      </c>
      <c r="Z256" s="86"/>
      <c r="AA256" s="86" t="s">
        <v>186</v>
      </c>
      <c r="AB256" s="1"/>
      <c r="AC256" s="177"/>
      <c r="AD256" s="115"/>
      <c r="AE256" s="115"/>
      <c r="AF256" s="124"/>
      <c r="AG256" s="122"/>
      <c r="AH256" s="178"/>
      <c r="AI256" s="178"/>
      <c r="AJ256" s="21" t="s">
        <v>203</v>
      </c>
      <c r="AK256" s="21" t="s">
        <v>190</v>
      </c>
      <c r="AL256" s="21" t="s">
        <v>190</v>
      </c>
      <c r="AM256" s="123" t="s">
        <v>1773</v>
      </c>
      <c r="AN256" s="22">
        <v>182</v>
      </c>
      <c r="AO256" s="22">
        <v>0</v>
      </c>
      <c r="AP256" s="22">
        <v>0</v>
      </c>
      <c r="AQ256" s="22">
        <v>0</v>
      </c>
      <c r="AR256" s="22">
        <v>0</v>
      </c>
      <c r="AS256" s="22">
        <v>7</v>
      </c>
      <c r="AT256" s="22">
        <v>10</v>
      </c>
      <c r="AU256" s="316">
        <f t="shared" si="34"/>
        <v>199</v>
      </c>
      <c r="AV256" s="22">
        <v>190</v>
      </c>
      <c r="AW256" s="22">
        <v>0</v>
      </c>
      <c r="AX256" s="22">
        <v>0</v>
      </c>
      <c r="AY256" s="22">
        <v>0</v>
      </c>
      <c r="AZ256" s="22">
        <v>0</v>
      </c>
      <c r="BA256" s="22">
        <v>7</v>
      </c>
      <c r="BB256" s="22">
        <v>10</v>
      </c>
      <c r="BC256" s="316">
        <f t="shared" si="35"/>
        <v>207</v>
      </c>
      <c r="BD256" s="58">
        <f t="shared" si="36"/>
        <v>8</v>
      </c>
      <c r="BE256" s="58">
        <f t="shared" si="37"/>
        <v>0</v>
      </c>
      <c r="BF256" s="58">
        <f t="shared" si="38"/>
        <v>0</v>
      </c>
      <c r="BG256" s="58">
        <f t="shared" si="39"/>
        <v>0</v>
      </c>
      <c r="BH256" s="58">
        <f t="shared" si="40"/>
        <v>0</v>
      </c>
      <c r="BI256" s="58">
        <f t="shared" si="41"/>
        <v>0</v>
      </c>
      <c r="BJ256" s="58">
        <f t="shared" si="42"/>
        <v>0</v>
      </c>
      <c r="BK256" s="58">
        <f t="shared" si="43"/>
        <v>8</v>
      </c>
    </row>
    <row r="257" spans="1:63" ht="27" customHeight="1">
      <c r="A257" s="13">
        <f t="shared" si="44"/>
        <v>255</v>
      </c>
      <c r="B257" s="14" t="s">
        <v>1942</v>
      </c>
      <c r="C257" s="10">
        <v>2080</v>
      </c>
      <c r="D257" s="119" t="s">
        <v>1943</v>
      </c>
      <c r="E257" s="217" t="s">
        <v>1944</v>
      </c>
      <c r="F257" s="106" t="s">
        <v>1945</v>
      </c>
      <c r="G257" s="107" t="s">
        <v>1946</v>
      </c>
      <c r="H257" s="26" t="s">
        <v>1947</v>
      </c>
      <c r="I257" s="27" t="s">
        <v>1948</v>
      </c>
      <c r="J257" s="98" t="s">
        <v>178</v>
      </c>
      <c r="K257" s="28">
        <v>32978</v>
      </c>
      <c r="L257" s="82" t="s">
        <v>179</v>
      </c>
      <c r="M257" s="25">
        <v>43709</v>
      </c>
      <c r="N257" s="212">
        <v>42927</v>
      </c>
      <c r="O257" s="17" t="s">
        <v>34</v>
      </c>
      <c r="P257" s="18" t="s">
        <v>386</v>
      </c>
      <c r="Q257" s="18" t="s">
        <v>249</v>
      </c>
      <c r="R257" s="17" t="s">
        <v>182</v>
      </c>
      <c r="S257" s="13" t="s">
        <v>219</v>
      </c>
      <c r="T257" s="175"/>
      <c r="U257" s="175"/>
      <c r="V257" s="21" t="s">
        <v>200</v>
      </c>
      <c r="W257" s="21" t="s">
        <v>184</v>
      </c>
      <c r="X257" s="1">
        <v>4</v>
      </c>
      <c r="Y257" s="176" t="s">
        <v>1949</v>
      </c>
      <c r="Z257" s="86"/>
      <c r="AA257" s="86" t="s">
        <v>186</v>
      </c>
      <c r="AB257" s="1"/>
      <c r="AC257" s="177"/>
      <c r="AD257" s="115"/>
      <c r="AE257" s="115"/>
      <c r="AF257" s="124"/>
      <c r="AG257" s="122"/>
      <c r="AH257" s="178"/>
      <c r="AI257" s="178"/>
      <c r="AJ257" s="21" t="s">
        <v>203</v>
      </c>
      <c r="AK257" s="21" t="s">
        <v>190</v>
      </c>
      <c r="AL257" s="21" t="s">
        <v>190</v>
      </c>
      <c r="AM257" s="123" t="s">
        <v>1600</v>
      </c>
      <c r="AN257" s="22">
        <v>182</v>
      </c>
      <c r="AO257" s="22">
        <v>0</v>
      </c>
      <c r="AP257" s="22">
        <v>0</v>
      </c>
      <c r="AQ257" s="22">
        <v>0</v>
      </c>
      <c r="AR257" s="22">
        <v>0</v>
      </c>
      <c r="AS257" s="22">
        <v>7</v>
      </c>
      <c r="AT257" s="22">
        <v>10</v>
      </c>
      <c r="AU257" s="316">
        <f t="shared" si="34"/>
        <v>199</v>
      </c>
      <c r="AV257" s="22">
        <v>190</v>
      </c>
      <c r="AW257" s="22">
        <v>0</v>
      </c>
      <c r="AX257" s="22">
        <v>0</v>
      </c>
      <c r="AY257" s="22">
        <v>0</v>
      </c>
      <c r="AZ257" s="22">
        <v>0</v>
      </c>
      <c r="BA257" s="22">
        <v>7</v>
      </c>
      <c r="BB257" s="22">
        <v>10</v>
      </c>
      <c r="BC257" s="316">
        <f t="shared" si="35"/>
        <v>207</v>
      </c>
      <c r="BD257" s="58">
        <f t="shared" si="36"/>
        <v>8</v>
      </c>
      <c r="BE257" s="58">
        <f t="shared" si="37"/>
        <v>0</v>
      </c>
      <c r="BF257" s="58">
        <f t="shared" si="38"/>
        <v>0</v>
      </c>
      <c r="BG257" s="58">
        <f t="shared" si="39"/>
        <v>0</v>
      </c>
      <c r="BH257" s="58">
        <f t="shared" si="40"/>
        <v>0</v>
      </c>
      <c r="BI257" s="58">
        <f t="shared" si="41"/>
        <v>0</v>
      </c>
      <c r="BJ257" s="58">
        <f t="shared" si="42"/>
        <v>0</v>
      </c>
      <c r="BK257" s="58">
        <f t="shared" si="43"/>
        <v>8</v>
      </c>
    </row>
    <row r="258" spans="1:63" ht="27" customHeight="1">
      <c r="A258" s="13">
        <f t="shared" si="44"/>
        <v>256</v>
      </c>
      <c r="B258" s="14" t="s">
        <v>1950</v>
      </c>
      <c r="C258" s="10">
        <v>2066</v>
      </c>
      <c r="D258" s="119" t="s">
        <v>1951</v>
      </c>
      <c r="E258" s="85">
        <v>130197361</v>
      </c>
      <c r="F258" s="78" t="s">
        <v>398</v>
      </c>
      <c r="G258" s="79" t="s">
        <v>1952</v>
      </c>
      <c r="H258" s="15" t="s">
        <v>1953</v>
      </c>
      <c r="I258" s="16" t="s">
        <v>1954</v>
      </c>
      <c r="J258" s="98" t="s">
        <v>178</v>
      </c>
      <c r="K258" s="28">
        <v>36193</v>
      </c>
      <c r="L258" s="82" t="s">
        <v>179</v>
      </c>
      <c r="M258" s="25">
        <v>43709</v>
      </c>
      <c r="N258" s="212">
        <v>42922</v>
      </c>
      <c r="O258" s="17" t="s">
        <v>34</v>
      </c>
      <c r="P258" s="18" t="s">
        <v>301</v>
      </c>
      <c r="Q258" s="18" t="s">
        <v>181</v>
      </c>
      <c r="R258" s="17" t="s">
        <v>182</v>
      </c>
      <c r="S258" s="13" t="s">
        <v>228</v>
      </c>
      <c r="T258" s="175"/>
      <c r="U258" s="175"/>
      <c r="V258" s="21" t="s">
        <v>184</v>
      </c>
      <c r="W258" s="21" t="s">
        <v>184</v>
      </c>
      <c r="X258" s="1">
        <v>9</v>
      </c>
      <c r="Y258" s="176" t="s">
        <v>1955</v>
      </c>
      <c r="Z258" s="86" t="s">
        <v>186</v>
      </c>
      <c r="AA258" s="86"/>
      <c r="AB258" s="1"/>
      <c r="AC258" s="177"/>
      <c r="AD258" s="115"/>
      <c r="AE258" s="115"/>
      <c r="AF258" s="124"/>
      <c r="AG258" s="122"/>
      <c r="AH258" s="178"/>
      <c r="AI258" s="178"/>
      <c r="AJ258" s="21" t="s">
        <v>203</v>
      </c>
      <c r="AK258" s="21" t="s">
        <v>190</v>
      </c>
      <c r="AL258" s="21" t="s">
        <v>190</v>
      </c>
      <c r="AM258" s="123" t="s">
        <v>1234</v>
      </c>
      <c r="AN258" s="22">
        <v>182</v>
      </c>
      <c r="AO258" s="22">
        <v>0</v>
      </c>
      <c r="AP258" s="22">
        <v>0</v>
      </c>
      <c r="AQ258" s="22">
        <v>0</v>
      </c>
      <c r="AR258" s="22">
        <v>0</v>
      </c>
      <c r="AS258" s="22">
        <v>7</v>
      </c>
      <c r="AT258" s="22">
        <v>10</v>
      </c>
      <c r="AU258" s="316">
        <f t="shared" si="34"/>
        <v>199</v>
      </c>
      <c r="AV258" s="22">
        <v>190</v>
      </c>
      <c r="AW258" s="22">
        <v>0</v>
      </c>
      <c r="AX258" s="22">
        <v>0</v>
      </c>
      <c r="AY258" s="22">
        <v>0</v>
      </c>
      <c r="AZ258" s="22">
        <v>0</v>
      </c>
      <c r="BA258" s="22">
        <v>7</v>
      </c>
      <c r="BB258" s="22">
        <v>10</v>
      </c>
      <c r="BC258" s="316">
        <f t="shared" si="35"/>
        <v>207</v>
      </c>
      <c r="BD258" s="58">
        <f t="shared" si="36"/>
        <v>8</v>
      </c>
      <c r="BE258" s="58">
        <f t="shared" si="37"/>
        <v>0</v>
      </c>
      <c r="BF258" s="58">
        <f t="shared" si="38"/>
        <v>0</v>
      </c>
      <c r="BG258" s="58">
        <f t="shared" si="39"/>
        <v>0</v>
      </c>
      <c r="BH258" s="58">
        <f t="shared" si="40"/>
        <v>0</v>
      </c>
      <c r="BI258" s="58">
        <f t="shared" si="41"/>
        <v>0</v>
      </c>
      <c r="BJ258" s="58">
        <f t="shared" si="42"/>
        <v>0</v>
      </c>
      <c r="BK258" s="58">
        <f t="shared" si="43"/>
        <v>8</v>
      </c>
    </row>
    <row r="259" spans="1:63" ht="27" customHeight="1">
      <c r="A259" s="13">
        <f t="shared" si="44"/>
        <v>257</v>
      </c>
      <c r="B259" s="14" t="s">
        <v>1956</v>
      </c>
      <c r="C259" s="10">
        <v>2051</v>
      </c>
      <c r="D259" s="119" t="s">
        <v>1957</v>
      </c>
      <c r="E259" s="85">
        <v>130184447</v>
      </c>
      <c r="F259" s="78" t="s">
        <v>1958</v>
      </c>
      <c r="G259" s="79" t="s">
        <v>1959</v>
      </c>
      <c r="H259" s="15" t="s">
        <v>1960</v>
      </c>
      <c r="I259" s="16" t="s">
        <v>1961</v>
      </c>
      <c r="J259" s="98" t="s">
        <v>178</v>
      </c>
      <c r="K259" s="28">
        <v>31846</v>
      </c>
      <c r="L259" s="82" t="s">
        <v>179</v>
      </c>
      <c r="M259" s="25">
        <v>43709</v>
      </c>
      <c r="N259" s="212">
        <v>42921</v>
      </c>
      <c r="O259" s="17" t="s">
        <v>34</v>
      </c>
      <c r="P259" s="18" t="s">
        <v>301</v>
      </c>
      <c r="Q259" s="18" t="s">
        <v>181</v>
      </c>
      <c r="R259" s="17" t="s">
        <v>182</v>
      </c>
      <c r="S259" s="19" t="s">
        <v>256</v>
      </c>
      <c r="T259" s="175"/>
      <c r="U259" s="175"/>
      <c r="V259" s="21" t="s">
        <v>184</v>
      </c>
      <c r="W259" s="21" t="s">
        <v>184</v>
      </c>
      <c r="X259" s="1">
        <v>5</v>
      </c>
      <c r="Y259" s="176" t="s">
        <v>1962</v>
      </c>
      <c r="Z259" s="86"/>
      <c r="AA259" s="86"/>
      <c r="AB259" s="1"/>
      <c r="AC259" s="177"/>
      <c r="AD259" s="115"/>
      <c r="AE259" s="115"/>
      <c r="AF259" s="124"/>
      <c r="AG259" s="122"/>
      <c r="AH259" s="178"/>
      <c r="AI259" s="178"/>
      <c r="AJ259" s="21" t="s">
        <v>203</v>
      </c>
      <c r="AK259" s="21" t="s">
        <v>190</v>
      </c>
      <c r="AL259" s="21" t="s">
        <v>190</v>
      </c>
      <c r="AM259" s="123" t="s">
        <v>1514</v>
      </c>
      <c r="AN259" s="22">
        <v>182</v>
      </c>
      <c r="AO259" s="22">
        <v>0</v>
      </c>
      <c r="AP259" s="22">
        <v>0</v>
      </c>
      <c r="AQ259" s="22">
        <v>0</v>
      </c>
      <c r="AR259" s="22">
        <v>0</v>
      </c>
      <c r="AS259" s="22">
        <v>7</v>
      </c>
      <c r="AT259" s="22">
        <v>10</v>
      </c>
      <c r="AU259" s="316">
        <f t="shared" si="34"/>
        <v>199</v>
      </c>
      <c r="AV259" s="22">
        <v>190</v>
      </c>
      <c r="AW259" s="22">
        <v>0</v>
      </c>
      <c r="AX259" s="22">
        <v>0</v>
      </c>
      <c r="AY259" s="22">
        <v>0</v>
      </c>
      <c r="AZ259" s="22">
        <v>0</v>
      </c>
      <c r="BA259" s="22">
        <v>7</v>
      </c>
      <c r="BB259" s="22">
        <v>10</v>
      </c>
      <c r="BC259" s="316">
        <f t="shared" si="35"/>
        <v>207</v>
      </c>
      <c r="BD259" s="58">
        <f t="shared" si="36"/>
        <v>8</v>
      </c>
      <c r="BE259" s="58">
        <f t="shared" si="37"/>
        <v>0</v>
      </c>
      <c r="BF259" s="58">
        <f t="shared" si="38"/>
        <v>0</v>
      </c>
      <c r="BG259" s="58">
        <f t="shared" si="39"/>
        <v>0</v>
      </c>
      <c r="BH259" s="58">
        <f t="shared" si="40"/>
        <v>0</v>
      </c>
      <c r="BI259" s="58">
        <f t="shared" si="41"/>
        <v>0</v>
      </c>
      <c r="BJ259" s="58">
        <f t="shared" si="42"/>
        <v>0</v>
      </c>
      <c r="BK259" s="58">
        <f t="shared" si="43"/>
        <v>8</v>
      </c>
    </row>
    <row r="260" spans="1:63" ht="27" customHeight="1">
      <c r="A260" s="13">
        <f t="shared" si="44"/>
        <v>258</v>
      </c>
      <c r="B260" s="14" t="s">
        <v>1963</v>
      </c>
      <c r="C260" s="10">
        <v>2044</v>
      </c>
      <c r="D260" s="119" t="s">
        <v>1964</v>
      </c>
      <c r="E260" s="217" t="s">
        <v>1965</v>
      </c>
      <c r="F260" s="106" t="s">
        <v>675</v>
      </c>
      <c r="G260" s="107" t="s">
        <v>1320</v>
      </c>
      <c r="H260" s="26" t="s">
        <v>1966</v>
      </c>
      <c r="I260" s="27" t="s">
        <v>1321</v>
      </c>
      <c r="J260" s="98" t="s">
        <v>178</v>
      </c>
      <c r="K260" s="28">
        <v>31200</v>
      </c>
      <c r="L260" s="82" t="s">
        <v>179</v>
      </c>
      <c r="M260" s="25">
        <v>43709</v>
      </c>
      <c r="N260" s="212">
        <v>42920</v>
      </c>
      <c r="O260" s="17" t="s">
        <v>34</v>
      </c>
      <c r="P260" s="18" t="s">
        <v>292</v>
      </c>
      <c r="Q260" s="18" t="s">
        <v>181</v>
      </c>
      <c r="R260" s="17" t="s">
        <v>182</v>
      </c>
      <c r="S260" s="13" t="s">
        <v>310</v>
      </c>
      <c r="T260" s="175"/>
      <c r="U260" s="175"/>
      <c r="V260" s="21" t="s">
        <v>200</v>
      </c>
      <c r="W260" s="21">
        <v>1151</v>
      </c>
      <c r="X260" s="1">
        <v>9</v>
      </c>
      <c r="Y260" s="176" t="s">
        <v>1967</v>
      </c>
      <c r="Z260" s="86"/>
      <c r="AA260" s="86" t="s">
        <v>186</v>
      </c>
      <c r="AB260" s="1"/>
      <c r="AC260" s="177"/>
      <c r="AD260" s="115" t="s">
        <v>189</v>
      </c>
      <c r="AE260" s="115" t="s">
        <v>189</v>
      </c>
      <c r="AF260" s="115" t="s">
        <v>189</v>
      </c>
      <c r="AG260" s="122"/>
      <c r="AH260" s="178"/>
      <c r="AI260" s="178"/>
      <c r="AJ260" s="21" t="s">
        <v>203</v>
      </c>
      <c r="AK260" s="21" t="s">
        <v>190</v>
      </c>
      <c r="AL260" s="21" t="s">
        <v>190</v>
      </c>
      <c r="AM260" s="123" t="s">
        <v>1209</v>
      </c>
      <c r="AN260" s="22">
        <v>182</v>
      </c>
      <c r="AO260" s="22">
        <v>0</v>
      </c>
      <c r="AP260" s="22">
        <v>20</v>
      </c>
      <c r="AQ260" s="22">
        <v>0</v>
      </c>
      <c r="AR260" s="22">
        <v>0</v>
      </c>
      <c r="AS260" s="22">
        <v>7</v>
      </c>
      <c r="AT260" s="22">
        <v>10</v>
      </c>
      <c r="AU260" s="316">
        <f t="shared" ref="AU260:AU323" si="45">SUM(AN260:AT260)</f>
        <v>219</v>
      </c>
      <c r="AV260" s="22">
        <v>190</v>
      </c>
      <c r="AW260" s="22">
        <v>0</v>
      </c>
      <c r="AX260" s="22">
        <v>20</v>
      </c>
      <c r="AY260" s="22">
        <v>0</v>
      </c>
      <c r="AZ260" s="22">
        <v>0</v>
      </c>
      <c r="BA260" s="22">
        <v>7</v>
      </c>
      <c r="BB260" s="22">
        <v>10</v>
      </c>
      <c r="BC260" s="316">
        <f t="shared" ref="BC260:BC323" si="46">SUM(AV260:BB260)</f>
        <v>227</v>
      </c>
      <c r="BD260" s="58">
        <f t="shared" ref="BD260:BD323" si="47">AV260-AN260</f>
        <v>8</v>
      </c>
      <c r="BE260" s="58">
        <f t="shared" ref="BE260:BE323" si="48">AW260-AO260</f>
        <v>0</v>
      </c>
      <c r="BF260" s="58">
        <f t="shared" ref="BF260:BF323" si="49">AX260-AP260</f>
        <v>0</v>
      </c>
      <c r="BG260" s="58">
        <f t="shared" ref="BG260:BG323" si="50">AY260-AQ260</f>
        <v>0</v>
      </c>
      <c r="BH260" s="58">
        <f t="shared" ref="BH260:BH323" si="51">AZ260-AR260</f>
        <v>0</v>
      </c>
      <c r="BI260" s="58">
        <f t="shared" ref="BI260:BI323" si="52">BA260-AS260</f>
        <v>0</v>
      </c>
      <c r="BJ260" s="58">
        <f t="shared" ref="BJ260:BJ323" si="53">BB260-AT260</f>
        <v>0</v>
      </c>
      <c r="BK260" s="58">
        <f t="shared" ref="BK260:BK323" si="54">BC260-AU260</f>
        <v>8</v>
      </c>
    </row>
    <row r="261" spans="1:63" ht="27" customHeight="1">
      <c r="A261" s="13">
        <f t="shared" ref="A261:A324" si="55">1+A260</f>
        <v>259</v>
      </c>
      <c r="B261" s="14" t="s">
        <v>1968</v>
      </c>
      <c r="C261" s="10">
        <v>2093</v>
      </c>
      <c r="D261" s="119" t="s">
        <v>1969</v>
      </c>
      <c r="E261" s="217" t="s">
        <v>1970</v>
      </c>
      <c r="F261" s="106" t="s">
        <v>360</v>
      </c>
      <c r="G261" s="107" t="s">
        <v>1971</v>
      </c>
      <c r="H261" s="26" t="s">
        <v>581</v>
      </c>
      <c r="I261" s="27" t="s">
        <v>1008</v>
      </c>
      <c r="J261" s="98" t="s">
        <v>178</v>
      </c>
      <c r="K261" s="28">
        <v>35449</v>
      </c>
      <c r="L261" s="82" t="s">
        <v>179</v>
      </c>
      <c r="M261" s="25">
        <v>43709</v>
      </c>
      <c r="N261" s="212">
        <v>42929</v>
      </c>
      <c r="O261" s="17" t="s">
        <v>34</v>
      </c>
      <c r="P261" s="18" t="s">
        <v>604</v>
      </c>
      <c r="Q261" s="18" t="s">
        <v>181</v>
      </c>
      <c r="R261" s="17" t="s">
        <v>182</v>
      </c>
      <c r="S261" s="19" t="s">
        <v>183</v>
      </c>
      <c r="T261" s="175"/>
      <c r="U261" s="175"/>
      <c r="V261" s="21" t="s">
        <v>200</v>
      </c>
      <c r="W261" s="21" t="s">
        <v>200</v>
      </c>
      <c r="X261" s="1" t="s">
        <v>184</v>
      </c>
      <c r="Y261" s="176" t="s">
        <v>1972</v>
      </c>
      <c r="Z261" s="86"/>
      <c r="AA261" s="86">
        <v>1</v>
      </c>
      <c r="AB261" s="1"/>
      <c r="AC261" s="177"/>
      <c r="AD261" s="115"/>
      <c r="AE261" s="115"/>
      <c r="AF261" s="124"/>
      <c r="AG261" s="122"/>
      <c r="AH261" s="178"/>
      <c r="AI261" s="178"/>
      <c r="AJ261" s="21" t="s">
        <v>203</v>
      </c>
      <c r="AK261" s="21" t="s">
        <v>190</v>
      </c>
      <c r="AL261" s="21" t="s">
        <v>190</v>
      </c>
      <c r="AM261" s="123" t="s">
        <v>1234</v>
      </c>
      <c r="AN261" s="22">
        <v>182</v>
      </c>
      <c r="AO261" s="22">
        <v>0</v>
      </c>
      <c r="AP261" s="22">
        <v>0</v>
      </c>
      <c r="AQ261" s="22">
        <v>0</v>
      </c>
      <c r="AR261" s="22">
        <v>0</v>
      </c>
      <c r="AS261" s="22">
        <v>7</v>
      </c>
      <c r="AT261" s="22">
        <v>10</v>
      </c>
      <c r="AU261" s="316">
        <f t="shared" si="45"/>
        <v>199</v>
      </c>
      <c r="AV261" s="22">
        <v>190</v>
      </c>
      <c r="AW261" s="22">
        <v>0</v>
      </c>
      <c r="AX261" s="22">
        <v>0</v>
      </c>
      <c r="AY261" s="22">
        <v>0</v>
      </c>
      <c r="AZ261" s="22">
        <v>0</v>
      </c>
      <c r="BA261" s="22">
        <v>7</v>
      </c>
      <c r="BB261" s="22">
        <v>10</v>
      </c>
      <c r="BC261" s="316">
        <f t="shared" si="46"/>
        <v>207</v>
      </c>
      <c r="BD261" s="58">
        <f t="shared" si="47"/>
        <v>8</v>
      </c>
      <c r="BE261" s="58">
        <f t="shared" si="48"/>
        <v>0</v>
      </c>
      <c r="BF261" s="58">
        <f t="shared" si="49"/>
        <v>0</v>
      </c>
      <c r="BG261" s="58">
        <f t="shared" si="50"/>
        <v>0</v>
      </c>
      <c r="BH261" s="58">
        <f t="shared" si="51"/>
        <v>0</v>
      </c>
      <c r="BI261" s="58">
        <f t="shared" si="52"/>
        <v>0</v>
      </c>
      <c r="BJ261" s="58">
        <f t="shared" si="53"/>
        <v>0</v>
      </c>
      <c r="BK261" s="58">
        <f t="shared" si="54"/>
        <v>8</v>
      </c>
    </row>
    <row r="262" spans="1:63" ht="27" customHeight="1">
      <c r="A262" s="13">
        <f t="shared" si="55"/>
        <v>260</v>
      </c>
      <c r="B262" s="14" t="s">
        <v>1973</v>
      </c>
      <c r="C262" s="10">
        <v>2112</v>
      </c>
      <c r="D262" s="119" t="s">
        <v>1974</v>
      </c>
      <c r="E262" s="217" t="s">
        <v>1975</v>
      </c>
      <c r="F262" s="106" t="s">
        <v>1976</v>
      </c>
      <c r="G262" s="107" t="s">
        <v>1977</v>
      </c>
      <c r="H262" s="26" t="s">
        <v>1978</v>
      </c>
      <c r="I262" s="27" t="s">
        <v>1979</v>
      </c>
      <c r="J262" s="98" t="s">
        <v>178</v>
      </c>
      <c r="K262" s="28">
        <v>31518</v>
      </c>
      <c r="L262" s="82" t="s">
        <v>179</v>
      </c>
      <c r="M262" s="25">
        <v>43709</v>
      </c>
      <c r="N262" s="212">
        <v>42931</v>
      </c>
      <c r="O262" s="17" t="s">
        <v>34</v>
      </c>
      <c r="P262" s="18" t="s">
        <v>1085</v>
      </c>
      <c r="Q262" s="18" t="s">
        <v>181</v>
      </c>
      <c r="R262" s="17" t="s">
        <v>182</v>
      </c>
      <c r="S262" s="13" t="s">
        <v>219</v>
      </c>
      <c r="T262" s="175"/>
      <c r="U262" s="175"/>
      <c r="V262" s="21" t="s">
        <v>200</v>
      </c>
      <c r="W262" s="21" t="s">
        <v>184</v>
      </c>
      <c r="X262" s="1">
        <v>6</v>
      </c>
      <c r="Y262" s="176" t="s">
        <v>1980</v>
      </c>
      <c r="Z262" s="86"/>
      <c r="AA262" s="86">
        <v>1</v>
      </c>
      <c r="AB262" s="1"/>
      <c r="AC262" s="177" t="s">
        <v>356</v>
      </c>
      <c r="AD262" s="115" t="s">
        <v>189</v>
      </c>
      <c r="AE262" s="115" t="s">
        <v>189</v>
      </c>
      <c r="AF262" s="124"/>
      <c r="AG262" s="122"/>
      <c r="AH262" s="178"/>
      <c r="AI262" s="178"/>
      <c r="AJ262" s="21" t="s">
        <v>203</v>
      </c>
      <c r="AK262" s="21" t="s">
        <v>190</v>
      </c>
      <c r="AL262" s="21" t="s">
        <v>190</v>
      </c>
      <c r="AM262" s="123" t="s">
        <v>1546</v>
      </c>
      <c r="AN262" s="22">
        <v>182</v>
      </c>
      <c r="AO262" s="22">
        <v>0</v>
      </c>
      <c r="AP262" s="22">
        <v>0</v>
      </c>
      <c r="AQ262" s="22">
        <v>0</v>
      </c>
      <c r="AR262" s="22">
        <v>0</v>
      </c>
      <c r="AS262" s="22">
        <v>7</v>
      </c>
      <c r="AT262" s="22">
        <v>10</v>
      </c>
      <c r="AU262" s="316">
        <f t="shared" si="45"/>
        <v>199</v>
      </c>
      <c r="AV262" s="22">
        <v>190</v>
      </c>
      <c r="AW262" s="22">
        <v>0</v>
      </c>
      <c r="AX262" s="22">
        <v>0</v>
      </c>
      <c r="AY262" s="22">
        <v>0</v>
      </c>
      <c r="AZ262" s="22">
        <v>0</v>
      </c>
      <c r="BA262" s="22">
        <v>7</v>
      </c>
      <c r="BB262" s="22">
        <v>10</v>
      </c>
      <c r="BC262" s="316">
        <f t="shared" si="46"/>
        <v>207</v>
      </c>
      <c r="BD262" s="58">
        <f t="shared" si="47"/>
        <v>8</v>
      </c>
      <c r="BE262" s="58">
        <f t="shared" si="48"/>
        <v>0</v>
      </c>
      <c r="BF262" s="58">
        <f t="shared" si="49"/>
        <v>0</v>
      </c>
      <c r="BG262" s="58">
        <f t="shared" si="50"/>
        <v>0</v>
      </c>
      <c r="BH262" s="58">
        <f t="shared" si="51"/>
        <v>0</v>
      </c>
      <c r="BI262" s="58">
        <f t="shared" si="52"/>
        <v>0</v>
      </c>
      <c r="BJ262" s="58">
        <f t="shared" si="53"/>
        <v>0</v>
      </c>
      <c r="BK262" s="58">
        <f t="shared" si="54"/>
        <v>8</v>
      </c>
    </row>
    <row r="263" spans="1:63" ht="27" customHeight="1">
      <c r="A263" s="13">
        <f t="shared" si="55"/>
        <v>261</v>
      </c>
      <c r="B263" s="14" t="s">
        <v>1981</v>
      </c>
      <c r="C263" s="10">
        <v>2127</v>
      </c>
      <c r="D263" s="119" t="s">
        <v>1982</v>
      </c>
      <c r="E263" s="217">
        <v>100644593</v>
      </c>
      <c r="F263" s="106" t="s">
        <v>1983</v>
      </c>
      <c r="G263" s="107" t="s">
        <v>1984</v>
      </c>
      <c r="H263" s="26" t="s">
        <v>1899</v>
      </c>
      <c r="I263" s="27" t="s">
        <v>1985</v>
      </c>
      <c r="J263" s="98" t="s">
        <v>178</v>
      </c>
      <c r="K263" s="28">
        <v>34444</v>
      </c>
      <c r="L263" s="82" t="s">
        <v>179</v>
      </c>
      <c r="M263" s="25">
        <v>43709</v>
      </c>
      <c r="N263" s="212">
        <v>42949</v>
      </c>
      <c r="O263" s="17" t="s">
        <v>34</v>
      </c>
      <c r="P263" s="18" t="s">
        <v>292</v>
      </c>
      <c r="Q263" s="18" t="s">
        <v>181</v>
      </c>
      <c r="R263" s="17" t="s">
        <v>182</v>
      </c>
      <c r="S263" s="19" t="s">
        <v>211</v>
      </c>
      <c r="T263" s="175"/>
      <c r="U263" s="175"/>
      <c r="V263" s="21" t="s">
        <v>200</v>
      </c>
      <c r="W263" s="21" t="s">
        <v>200</v>
      </c>
      <c r="X263" s="1">
        <v>7</v>
      </c>
      <c r="Y263" s="176" t="s">
        <v>1986</v>
      </c>
      <c r="Z263" s="86"/>
      <c r="AA263" s="86">
        <v>1</v>
      </c>
      <c r="AB263" s="1"/>
      <c r="AC263" s="177" t="s">
        <v>425</v>
      </c>
      <c r="AD263" s="115"/>
      <c r="AE263" s="115"/>
      <c r="AF263" s="124"/>
      <c r="AG263" s="122"/>
      <c r="AH263" s="178"/>
      <c r="AI263" s="178"/>
      <c r="AJ263" s="21" t="s">
        <v>203</v>
      </c>
      <c r="AK263" s="21" t="s">
        <v>190</v>
      </c>
      <c r="AL263" s="21" t="s">
        <v>190</v>
      </c>
      <c r="AM263" s="123" t="s">
        <v>1901</v>
      </c>
      <c r="AN263" s="22">
        <v>182</v>
      </c>
      <c r="AO263" s="22">
        <v>0</v>
      </c>
      <c r="AP263" s="22">
        <v>0</v>
      </c>
      <c r="AQ263" s="22">
        <v>0</v>
      </c>
      <c r="AR263" s="22">
        <v>0</v>
      </c>
      <c r="AS263" s="22">
        <v>7</v>
      </c>
      <c r="AT263" s="22">
        <v>10</v>
      </c>
      <c r="AU263" s="316">
        <f t="shared" si="45"/>
        <v>199</v>
      </c>
      <c r="AV263" s="22">
        <v>190</v>
      </c>
      <c r="AW263" s="22">
        <v>0</v>
      </c>
      <c r="AX263" s="22">
        <v>0</v>
      </c>
      <c r="AY263" s="22">
        <v>0</v>
      </c>
      <c r="AZ263" s="22">
        <v>0</v>
      </c>
      <c r="BA263" s="22">
        <v>7</v>
      </c>
      <c r="BB263" s="22">
        <v>10</v>
      </c>
      <c r="BC263" s="316">
        <f t="shared" si="46"/>
        <v>207</v>
      </c>
      <c r="BD263" s="58">
        <f t="shared" si="47"/>
        <v>8</v>
      </c>
      <c r="BE263" s="58">
        <f t="shared" si="48"/>
        <v>0</v>
      </c>
      <c r="BF263" s="58">
        <f t="shared" si="49"/>
        <v>0</v>
      </c>
      <c r="BG263" s="58">
        <f t="shared" si="50"/>
        <v>0</v>
      </c>
      <c r="BH263" s="58">
        <f t="shared" si="51"/>
        <v>0</v>
      </c>
      <c r="BI263" s="58">
        <f t="shared" si="52"/>
        <v>0</v>
      </c>
      <c r="BJ263" s="58">
        <f t="shared" si="53"/>
        <v>0</v>
      </c>
      <c r="BK263" s="58">
        <f t="shared" si="54"/>
        <v>8</v>
      </c>
    </row>
    <row r="264" spans="1:63" ht="27" customHeight="1">
      <c r="A264" s="13">
        <f t="shared" si="55"/>
        <v>262</v>
      </c>
      <c r="B264" s="14" t="s">
        <v>1987</v>
      </c>
      <c r="C264" s="10">
        <v>2130</v>
      </c>
      <c r="D264" s="119" t="s">
        <v>1988</v>
      </c>
      <c r="E264" s="217">
        <v>21179101</v>
      </c>
      <c r="F264" s="106" t="s">
        <v>218</v>
      </c>
      <c r="G264" s="107" t="s">
        <v>519</v>
      </c>
      <c r="H264" s="26" t="s">
        <v>1989</v>
      </c>
      <c r="I264" s="27" t="s">
        <v>521</v>
      </c>
      <c r="J264" s="98" t="s">
        <v>178</v>
      </c>
      <c r="K264" s="28">
        <v>35860</v>
      </c>
      <c r="L264" s="82" t="s">
        <v>179</v>
      </c>
      <c r="M264" s="25">
        <v>43709</v>
      </c>
      <c r="N264" s="212">
        <v>42949</v>
      </c>
      <c r="O264" s="17" t="s">
        <v>34</v>
      </c>
      <c r="P264" s="18" t="s">
        <v>318</v>
      </c>
      <c r="Q264" s="18" t="s">
        <v>249</v>
      </c>
      <c r="R264" s="17" t="s">
        <v>182</v>
      </c>
      <c r="S264" s="13" t="s">
        <v>331</v>
      </c>
      <c r="T264" s="175"/>
      <c r="U264" s="175"/>
      <c r="V264" s="21" t="s">
        <v>200</v>
      </c>
      <c r="W264" s="21" t="s">
        <v>200</v>
      </c>
      <c r="X264" s="1">
        <v>3</v>
      </c>
      <c r="Y264" s="176" t="s">
        <v>1990</v>
      </c>
      <c r="Z264" s="86"/>
      <c r="AA264" s="86">
        <v>1</v>
      </c>
      <c r="AB264" s="1"/>
      <c r="AC264" s="177" t="s">
        <v>364</v>
      </c>
      <c r="AD264" s="115"/>
      <c r="AE264" s="115"/>
      <c r="AF264" s="124"/>
      <c r="AG264" s="122"/>
      <c r="AH264" s="178"/>
      <c r="AI264" s="178"/>
      <c r="AJ264" s="21" t="s">
        <v>203</v>
      </c>
      <c r="AK264" s="21" t="s">
        <v>190</v>
      </c>
      <c r="AL264" s="21" t="s">
        <v>190</v>
      </c>
      <c r="AM264" s="123" t="s">
        <v>1234</v>
      </c>
      <c r="AN264" s="22">
        <v>182</v>
      </c>
      <c r="AO264" s="22">
        <v>0</v>
      </c>
      <c r="AP264" s="22">
        <v>20</v>
      </c>
      <c r="AQ264" s="22">
        <v>0</v>
      </c>
      <c r="AR264" s="22">
        <v>0</v>
      </c>
      <c r="AS264" s="22">
        <v>7</v>
      </c>
      <c r="AT264" s="22">
        <v>10</v>
      </c>
      <c r="AU264" s="316">
        <f t="shared" si="45"/>
        <v>219</v>
      </c>
      <c r="AV264" s="22">
        <v>190</v>
      </c>
      <c r="AW264" s="22">
        <v>0</v>
      </c>
      <c r="AX264" s="22">
        <v>20</v>
      </c>
      <c r="AY264" s="22">
        <v>0</v>
      </c>
      <c r="AZ264" s="22">
        <v>0</v>
      </c>
      <c r="BA264" s="22">
        <v>7</v>
      </c>
      <c r="BB264" s="22">
        <v>10</v>
      </c>
      <c r="BC264" s="316">
        <f t="shared" si="46"/>
        <v>227</v>
      </c>
      <c r="BD264" s="58">
        <f t="shared" si="47"/>
        <v>8</v>
      </c>
      <c r="BE264" s="58">
        <f t="shared" si="48"/>
        <v>0</v>
      </c>
      <c r="BF264" s="58">
        <f t="shared" si="49"/>
        <v>0</v>
      </c>
      <c r="BG264" s="58">
        <f t="shared" si="50"/>
        <v>0</v>
      </c>
      <c r="BH264" s="58">
        <f t="shared" si="51"/>
        <v>0</v>
      </c>
      <c r="BI264" s="58">
        <f t="shared" si="52"/>
        <v>0</v>
      </c>
      <c r="BJ264" s="58">
        <f t="shared" si="53"/>
        <v>0</v>
      </c>
      <c r="BK264" s="58">
        <f t="shared" si="54"/>
        <v>8</v>
      </c>
    </row>
    <row r="265" spans="1:63" ht="27" customHeight="1">
      <c r="A265" s="13">
        <f t="shared" si="55"/>
        <v>263</v>
      </c>
      <c r="B265" s="14" t="s">
        <v>1991</v>
      </c>
      <c r="C265" s="10">
        <v>2242</v>
      </c>
      <c r="D265" s="119" t="s">
        <v>1992</v>
      </c>
      <c r="E265" s="217" t="s">
        <v>1993</v>
      </c>
      <c r="F265" s="106" t="s">
        <v>321</v>
      </c>
      <c r="G265" s="107" t="s">
        <v>368</v>
      </c>
      <c r="H265" s="26" t="s">
        <v>1994</v>
      </c>
      <c r="I265" s="27" t="s">
        <v>370</v>
      </c>
      <c r="J265" s="98" t="s">
        <v>178</v>
      </c>
      <c r="K265" s="28">
        <v>34837</v>
      </c>
      <c r="L265" s="82" t="s">
        <v>179</v>
      </c>
      <c r="M265" s="25">
        <v>43709</v>
      </c>
      <c r="N265" s="212">
        <v>42962</v>
      </c>
      <c r="O265" s="13" t="s">
        <v>80</v>
      </c>
      <c r="P265" s="18" t="s">
        <v>1995</v>
      </c>
      <c r="Q265" s="18" t="s">
        <v>181</v>
      </c>
      <c r="R265" s="17" t="s">
        <v>182</v>
      </c>
      <c r="S265" s="13" t="s">
        <v>219</v>
      </c>
      <c r="T265" s="175"/>
      <c r="U265" s="175"/>
      <c r="V265" s="21" t="s">
        <v>200</v>
      </c>
      <c r="W265" s="21" t="s">
        <v>184</v>
      </c>
      <c r="X265" s="1" t="s">
        <v>1996</v>
      </c>
      <c r="Y265" s="176" t="s">
        <v>1997</v>
      </c>
      <c r="Z265" s="86">
        <v>1</v>
      </c>
      <c r="AA265" s="86"/>
      <c r="AB265" s="1"/>
      <c r="AC265" s="177"/>
      <c r="AD265" s="115"/>
      <c r="AE265" s="115"/>
      <c r="AF265" s="124"/>
      <c r="AG265" s="122"/>
      <c r="AH265" s="178"/>
      <c r="AI265" s="178"/>
      <c r="AJ265" s="21" t="s">
        <v>203</v>
      </c>
      <c r="AK265" s="21" t="s">
        <v>190</v>
      </c>
      <c r="AL265" s="21" t="s">
        <v>190</v>
      </c>
      <c r="AM265" s="123" t="s">
        <v>1234</v>
      </c>
      <c r="AN265" s="22">
        <v>182</v>
      </c>
      <c r="AO265" s="22">
        <v>0</v>
      </c>
      <c r="AP265" s="22">
        <v>0</v>
      </c>
      <c r="AQ265" s="22">
        <v>130</v>
      </c>
      <c r="AR265" s="22">
        <v>15</v>
      </c>
      <c r="AS265" s="22">
        <v>7</v>
      </c>
      <c r="AT265" s="22">
        <v>10</v>
      </c>
      <c r="AU265" s="316">
        <f t="shared" si="45"/>
        <v>344</v>
      </c>
      <c r="AV265" s="22">
        <v>190</v>
      </c>
      <c r="AW265" s="22">
        <v>0</v>
      </c>
      <c r="AX265" s="22">
        <v>0</v>
      </c>
      <c r="AY265" s="22">
        <v>130</v>
      </c>
      <c r="AZ265" s="22">
        <v>15</v>
      </c>
      <c r="BA265" s="22">
        <v>7</v>
      </c>
      <c r="BB265" s="22">
        <v>10</v>
      </c>
      <c r="BC265" s="316">
        <f t="shared" si="46"/>
        <v>352</v>
      </c>
      <c r="BD265" s="58">
        <f t="shared" si="47"/>
        <v>8</v>
      </c>
      <c r="BE265" s="58">
        <f t="shared" si="48"/>
        <v>0</v>
      </c>
      <c r="BF265" s="58">
        <f t="shared" si="49"/>
        <v>0</v>
      </c>
      <c r="BG265" s="58">
        <f t="shared" si="50"/>
        <v>0</v>
      </c>
      <c r="BH265" s="58">
        <f t="shared" si="51"/>
        <v>0</v>
      </c>
      <c r="BI265" s="58">
        <f t="shared" si="52"/>
        <v>0</v>
      </c>
      <c r="BJ265" s="58">
        <f t="shared" si="53"/>
        <v>0</v>
      </c>
      <c r="BK265" s="58">
        <f t="shared" si="54"/>
        <v>8</v>
      </c>
    </row>
    <row r="266" spans="1:63" ht="27" customHeight="1">
      <c r="A266" s="13">
        <f t="shared" si="55"/>
        <v>264</v>
      </c>
      <c r="B266" s="14" t="s">
        <v>1998</v>
      </c>
      <c r="C266" s="10">
        <v>2133</v>
      </c>
      <c r="D266" s="119" t="s">
        <v>1999</v>
      </c>
      <c r="E266" s="217" t="s">
        <v>2000</v>
      </c>
      <c r="F266" s="106" t="s">
        <v>2001</v>
      </c>
      <c r="G266" s="107" t="s">
        <v>2002</v>
      </c>
      <c r="H266" s="26" t="s">
        <v>2003</v>
      </c>
      <c r="I266" s="27" t="s">
        <v>2004</v>
      </c>
      <c r="J266" s="98" t="s">
        <v>178</v>
      </c>
      <c r="K266" s="28">
        <v>30081</v>
      </c>
      <c r="L266" s="82" t="s">
        <v>179</v>
      </c>
      <c r="M266" s="25">
        <v>43709</v>
      </c>
      <c r="N266" s="212">
        <v>42949</v>
      </c>
      <c r="O266" s="17" t="s">
        <v>34</v>
      </c>
      <c r="P266" s="18" t="s">
        <v>386</v>
      </c>
      <c r="Q266" s="18" t="s">
        <v>181</v>
      </c>
      <c r="R266" s="17" t="s">
        <v>182</v>
      </c>
      <c r="S266" s="13" t="s">
        <v>219</v>
      </c>
      <c r="T266" s="175"/>
      <c r="U266" s="175"/>
      <c r="V266" s="21" t="s">
        <v>200</v>
      </c>
      <c r="W266" s="21" t="s">
        <v>200</v>
      </c>
      <c r="X266" s="1">
        <v>6</v>
      </c>
      <c r="Y266" s="176" t="s">
        <v>2005</v>
      </c>
      <c r="Z266" s="86"/>
      <c r="AA266" s="86">
        <v>1</v>
      </c>
      <c r="AB266" s="1"/>
      <c r="AC266" s="177" t="s">
        <v>202</v>
      </c>
      <c r="AD266" s="115"/>
      <c r="AE266" s="115"/>
      <c r="AF266" s="124"/>
      <c r="AG266" s="122"/>
      <c r="AH266" s="178"/>
      <c r="AI266" s="178"/>
      <c r="AJ266" s="21" t="s">
        <v>203</v>
      </c>
      <c r="AK266" s="21" t="s">
        <v>190</v>
      </c>
      <c r="AL266" s="21" t="s">
        <v>190</v>
      </c>
      <c r="AM266" s="123" t="s">
        <v>1773</v>
      </c>
      <c r="AN266" s="22">
        <v>182</v>
      </c>
      <c r="AO266" s="22">
        <v>0</v>
      </c>
      <c r="AP266" s="22">
        <v>0</v>
      </c>
      <c r="AQ266" s="22">
        <v>0</v>
      </c>
      <c r="AR266" s="22">
        <v>0</v>
      </c>
      <c r="AS266" s="22">
        <v>7</v>
      </c>
      <c r="AT266" s="22">
        <v>10</v>
      </c>
      <c r="AU266" s="316">
        <f t="shared" si="45"/>
        <v>199</v>
      </c>
      <c r="AV266" s="22">
        <v>190</v>
      </c>
      <c r="AW266" s="22">
        <v>0</v>
      </c>
      <c r="AX266" s="22">
        <v>0</v>
      </c>
      <c r="AY266" s="22">
        <v>0</v>
      </c>
      <c r="AZ266" s="22">
        <v>0</v>
      </c>
      <c r="BA266" s="22">
        <v>7</v>
      </c>
      <c r="BB266" s="22">
        <v>10</v>
      </c>
      <c r="BC266" s="316">
        <f t="shared" si="46"/>
        <v>207</v>
      </c>
      <c r="BD266" s="58">
        <f t="shared" si="47"/>
        <v>8</v>
      </c>
      <c r="BE266" s="58">
        <f t="shared" si="48"/>
        <v>0</v>
      </c>
      <c r="BF266" s="58">
        <f t="shared" si="49"/>
        <v>0</v>
      </c>
      <c r="BG266" s="58">
        <f t="shared" si="50"/>
        <v>0</v>
      </c>
      <c r="BH266" s="58">
        <f t="shared" si="51"/>
        <v>0</v>
      </c>
      <c r="BI266" s="58">
        <f t="shared" si="52"/>
        <v>0</v>
      </c>
      <c r="BJ266" s="58">
        <f t="shared" si="53"/>
        <v>0</v>
      </c>
      <c r="BK266" s="58">
        <f t="shared" si="54"/>
        <v>8</v>
      </c>
    </row>
    <row r="267" spans="1:63" ht="27" customHeight="1">
      <c r="A267" s="13">
        <f t="shared" si="55"/>
        <v>265</v>
      </c>
      <c r="B267" s="14" t="s">
        <v>2006</v>
      </c>
      <c r="C267" s="10">
        <v>2250</v>
      </c>
      <c r="D267" s="119" t="s">
        <v>2007</v>
      </c>
      <c r="E267" s="217"/>
      <c r="F267" s="106" t="s">
        <v>2008</v>
      </c>
      <c r="G267" s="107" t="s">
        <v>2009</v>
      </c>
      <c r="H267" s="26" t="s">
        <v>2010</v>
      </c>
      <c r="I267" s="27" t="s">
        <v>2011</v>
      </c>
      <c r="J267" s="98" t="s">
        <v>178</v>
      </c>
      <c r="K267" s="28">
        <v>33856</v>
      </c>
      <c r="L267" s="82" t="s">
        <v>179</v>
      </c>
      <c r="M267" s="25">
        <v>43709</v>
      </c>
      <c r="N267" s="212">
        <v>42985</v>
      </c>
      <c r="O267" s="17" t="s">
        <v>34</v>
      </c>
      <c r="P267" s="18" t="s">
        <v>1281</v>
      </c>
      <c r="Q267" s="18" t="s">
        <v>181</v>
      </c>
      <c r="R267" s="17" t="s">
        <v>182</v>
      </c>
      <c r="S267" s="13" t="s">
        <v>331</v>
      </c>
      <c r="T267" s="175"/>
      <c r="U267" s="175"/>
      <c r="V267" s="21" t="s">
        <v>200</v>
      </c>
      <c r="W267" s="21" t="s">
        <v>200</v>
      </c>
      <c r="X267" s="1">
        <v>6</v>
      </c>
      <c r="Y267" s="176" t="s">
        <v>2012</v>
      </c>
      <c r="Z267" s="86"/>
      <c r="AA267" s="86">
        <v>1</v>
      </c>
      <c r="AB267" s="1"/>
      <c r="AC267" s="177" t="s">
        <v>202</v>
      </c>
      <c r="AD267" s="115"/>
      <c r="AE267" s="115"/>
      <c r="AF267" s="124"/>
      <c r="AG267" s="122"/>
      <c r="AH267" s="178"/>
      <c r="AI267" s="178"/>
      <c r="AJ267" s="21" t="s">
        <v>203</v>
      </c>
      <c r="AK267" s="21" t="s">
        <v>190</v>
      </c>
      <c r="AL267" s="21" t="s">
        <v>190</v>
      </c>
      <c r="AM267" s="123" t="s">
        <v>1600</v>
      </c>
      <c r="AN267" s="22">
        <v>182</v>
      </c>
      <c r="AO267" s="22">
        <v>0</v>
      </c>
      <c r="AP267" s="22">
        <v>20</v>
      </c>
      <c r="AQ267" s="22">
        <v>0</v>
      </c>
      <c r="AR267" s="22">
        <v>0</v>
      </c>
      <c r="AS267" s="22">
        <v>7</v>
      </c>
      <c r="AT267" s="22">
        <v>10</v>
      </c>
      <c r="AU267" s="316">
        <f t="shared" si="45"/>
        <v>219</v>
      </c>
      <c r="AV267" s="22">
        <v>190</v>
      </c>
      <c r="AW267" s="22">
        <v>0</v>
      </c>
      <c r="AX267" s="22">
        <v>20</v>
      </c>
      <c r="AY267" s="22">
        <v>0</v>
      </c>
      <c r="AZ267" s="22">
        <v>0</v>
      </c>
      <c r="BA267" s="22">
        <v>7</v>
      </c>
      <c r="BB267" s="22">
        <v>10</v>
      </c>
      <c r="BC267" s="316">
        <f t="shared" si="46"/>
        <v>227</v>
      </c>
      <c r="BD267" s="58">
        <f t="shared" si="47"/>
        <v>8</v>
      </c>
      <c r="BE267" s="58">
        <f t="shared" si="48"/>
        <v>0</v>
      </c>
      <c r="BF267" s="58">
        <f t="shared" si="49"/>
        <v>0</v>
      </c>
      <c r="BG267" s="58">
        <f t="shared" si="50"/>
        <v>0</v>
      </c>
      <c r="BH267" s="58">
        <f t="shared" si="51"/>
        <v>0</v>
      </c>
      <c r="BI267" s="58">
        <f t="shared" si="52"/>
        <v>0</v>
      </c>
      <c r="BJ267" s="58">
        <f t="shared" si="53"/>
        <v>0</v>
      </c>
      <c r="BK267" s="58">
        <f t="shared" si="54"/>
        <v>8</v>
      </c>
    </row>
    <row r="268" spans="1:63" ht="27" customHeight="1">
      <c r="A268" s="13">
        <f t="shared" si="55"/>
        <v>266</v>
      </c>
      <c r="B268" s="14" t="s">
        <v>2013</v>
      </c>
      <c r="C268" s="10">
        <v>2311</v>
      </c>
      <c r="D268" s="119" t="s">
        <v>2014</v>
      </c>
      <c r="E268" s="217">
        <v>110460693</v>
      </c>
      <c r="F268" s="106" t="s">
        <v>465</v>
      </c>
      <c r="G268" s="107" t="s">
        <v>2015</v>
      </c>
      <c r="H268" s="26" t="s">
        <v>29</v>
      </c>
      <c r="I268" s="27" t="s">
        <v>2016</v>
      </c>
      <c r="J268" s="98" t="s">
        <v>178</v>
      </c>
      <c r="K268" s="28">
        <v>35345</v>
      </c>
      <c r="L268" s="82" t="s">
        <v>179</v>
      </c>
      <c r="M268" s="170">
        <v>43739</v>
      </c>
      <c r="N268" s="212">
        <v>43028</v>
      </c>
      <c r="O268" s="17" t="s">
        <v>26</v>
      </c>
      <c r="P268" s="18" t="s">
        <v>1385</v>
      </c>
      <c r="Q268" s="18" t="s">
        <v>249</v>
      </c>
      <c r="R268" s="17" t="s">
        <v>182</v>
      </c>
      <c r="S268" s="13" t="s">
        <v>228</v>
      </c>
      <c r="T268" s="175"/>
      <c r="U268" s="175"/>
      <c r="V268" s="21" t="s">
        <v>200</v>
      </c>
      <c r="W268" s="21" t="s">
        <v>200</v>
      </c>
      <c r="X268" s="1">
        <v>8</v>
      </c>
      <c r="Y268" s="176" t="s">
        <v>2017</v>
      </c>
      <c r="Z268" s="86"/>
      <c r="AA268" s="86"/>
      <c r="AB268" s="1"/>
      <c r="AC268" s="177"/>
      <c r="AD268" s="115"/>
      <c r="AE268" s="115"/>
      <c r="AF268" s="124"/>
      <c r="AG268" s="122"/>
      <c r="AH268" s="178"/>
      <c r="AI268" s="178"/>
      <c r="AJ268" s="21" t="s">
        <v>203</v>
      </c>
      <c r="AK268" s="21" t="s">
        <v>190</v>
      </c>
      <c r="AL268" s="21" t="s">
        <v>190</v>
      </c>
      <c r="AM268" s="123" t="s">
        <v>1234</v>
      </c>
      <c r="AN268" s="22">
        <v>182</v>
      </c>
      <c r="AO268" s="22">
        <v>0</v>
      </c>
      <c r="AP268" s="22">
        <v>20</v>
      </c>
      <c r="AQ268" s="22">
        <v>0</v>
      </c>
      <c r="AR268" s="22">
        <v>0</v>
      </c>
      <c r="AS268" s="22">
        <v>7</v>
      </c>
      <c r="AT268" s="22">
        <v>10</v>
      </c>
      <c r="AU268" s="316">
        <f t="shared" si="45"/>
        <v>219</v>
      </c>
      <c r="AV268" s="22">
        <v>190</v>
      </c>
      <c r="AW268" s="22">
        <v>0</v>
      </c>
      <c r="AX268" s="22">
        <v>20</v>
      </c>
      <c r="AY268" s="22">
        <v>0</v>
      </c>
      <c r="AZ268" s="22">
        <v>0</v>
      </c>
      <c r="BA268" s="22">
        <v>7</v>
      </c>
      <c r="BB268" s="22">
        <v>10</v>
      </c>
      <c r="BC268" s="316">
        <f t="shared" si="46"/>
        <v>227</v>
      </c>
      <c r="BD268" s="58">
        <f t="shared" si="47"/>
        <v>8</v>
      </c>
      <c r="BE268" s="58">
        <f t="shared" si="48"/>
        <v>0</v>
      </c>
      <c r="BF268" s="58">
        <f t="shared" si="49"/>
        <v>0</v>
      </c>
      <c r="BG268" s="58">
        <f t="shared" si="50"/>
        <v>0</v>
      </c>
      <c r="BH268" s="58">
        <f t="shared" si="51"/>
        <v>0</v>
      </c>
      <c r="BI268" s="58">
        <f t="shared" si="52"/>
        <v>0</v>
      </c>
      <c r="BJ268" s="58">
        <f t="shared" si="53"/>
        <v>0</v>
      </c>
      <c r="BK268" s="58">
        <f t="shared" si="54"/>
        <v>8</v>
      </c>
    </row>
    <row r="269" spans="1:63" ht="27" customHeight="1">
      <c r="A269" s="13">
        <f t="shared" si="55"/>
        <v>267</v>
      </c>
      <c r="B269" s="14" t="s">
        <v>2018</v>
      </c>
      <c r="C269" s="10">
        <v>2313</v>
      </c>
      <c r="D269" s="119" t="s">
        <v>2019</v>
      </c>
      <c r="E269" s="217" t="s">
        <v>2020</v>
      </c>
      <c r="F269" s="106" t="s">
        <v>1814</v>
      </c>
      <c r="G269" s="107" t="s">
        <v>2021</v>
      </c>
      <c r="H269" s="26" t="s">
        <v>1816</v>
      </c>
      <c r="I269" s="27" t="s">
        <v>1165</v>
      </c>
      <c r="J269" s="98" t="s">
        <v>178</v>
      </c>
      <c r="K269" s="28">
        <v>32033</v>
      </c>
      <c r="L269" s="82" t="s">
        <v>179</v>
      </c>
      <c r="M269" s="170">
        <v>43739</v>
      </c>
      <c r="N269" s="212">
        <v>43028</v>
      </c>
      <c r="O269" s="17" t="s">
        <v>34</v>
      </c>
      <c r="P269" s="18" t="s">
        <v>292</v>
      </c>
      <c r="Q269" s="18" t="s">
        <v>181</v>
      </c>
      <c r="R269" s="17" t="s">
        <v>182</v>
      </c>
      <c r="S269" s="13" t="s">
        <v>1118</v>
      </c>
      <c r="T269" s="175"/>
      <c r="U269" s="175"/>
      <c r="V269" s="21" t="s">
        <v>200</v>
      </c>
      <c r="W269" s="21" t="s">
        <v>184</v>
      </c>
      <c r="X269" s="1">
        <v>6</v>
      </c>
      <c r="Y269" s="176" t="s">
        <v>2022</v>
      </c>
      <c r="Z269" s="86"/>
      <c r="AA269" s="86">
        <v>1</v>
      </c>
      <c r="AB269" s="1"/>
      <c r="AC269" s="177" t="s">
        <v>2023</v>
      </c>
      <c r="AD269" s="115" t="s">
        <v>188</v>
      </c>
      <c r="AE269" s="115" t="s">
        <v>188</v>
      </c>
      <c r="AF269" s="124"/>
      <c r="AG269" s="122"/>
      <c r="AH269" s="178"/>
      <c r="AI269" s="178"/>
      <c r="AJ269" s="21" t="s">
        <v>203</v>
      </c>
      <c r="AK269" s="21" t="s">
        <v>190</v>
      </c>
      <c r="AL269" s="21" t="s">
        <v>190</v>
      </c>
      <c r="AM269" s="123" t="s">
        <v>1546</v>
      </c>
      <c r="AN269" s="22">
        <v>182</v>
      </c>
      <c r="AO269" s="22">
        <v>0</v>
      </c>
      <c r="AP269" s="22">
        <v>0</v>
      </c>
      <c r="AQ269" s="22">
        <v>0</v>
      </c>
      <c r="AR269" s="22">
        <v>0</v>
      </c>
      <c r="AS269" s="22">
        <v>7</v>
      </c>
      <c r="AT269" s="22">
        <v>10</v>
      </c>
      <c r="AU269" s="316">
        <f t="shared" si="45"/>
        <v>199</v>
      </c>
      <c r="AV269" s="22">
        <v>190</v>
      </c>
      <c r="AW269" s="22">
        <v>0</v>
      </c>
      <c r="AX269" s="22">
        <v>0</v>
      </c>
      <c r="AY269" s="22">
        <v>0</v>
      </c>
      <c r="AZ269" s="22">
        <v>0</v>
      </c>
      <c r="BA269" s="22">
        <v>7</v>
      </c>
      <c r="BB269" s="22">
        <v>10</v>
      </c>
      <c r="BC269" s="316">
        <f t="shared" si="46"/>
        <v>207</v>
      </c>
      <c r="BD269" s="58">
        <f t="shared" si="47"/>
        <v>8</v>
      </c>
      <c r="BE269" s="58">
        <f t="shared" si="48"/>
        <v>0</v>
      </c>
      <c r="BF269" s="58">
        <f t="shared" si="49"/>
        <v>0</v>
      </c>
      <c r="BG269" s="58">
        <f t="shared" si="50"/>
        <v>0</v>
      </c>
      <c r="BH269" s="58">
        <f t="shared" si="51"/>
        <v>0</v>
      </c>
      <c r="BI269" s="58">
        <f t="shared" si="52"/>
        <v>0</v>
      </c>
      <c r="BJ269" s="58">
        <f t="shared" si="53"/>
        <v>0</v>
      </c>
      <c r="BK269" s="58">
        <f t="shared" si="54"/>
        <v>8</v>
      </c>
    </row>
    <row r="270" spans="1:63" ht="27" customHeight="1">
      <c r="A270" s="13">
        <f t="shared" si="55"/>
        <v>268</v>
      </c>
      <c r="B270" s="14" t="s">
        <v>2024</v>
      </c>
      <c r="C270" s="10">
        <v>2305</v>
      </c>
      <c r="D270" s="119" t="s">
        <v>2025</v>
      </c>
      <c r="E270" s="217" t="s">
        <v>2026</v>
      </c>
      <c r="F270" s="106" t="s">
        <v>2027</v>
      </c>
      <c r="G270" s="107" t="s">
        <v>465</v>
      </c>
      <c r="H270" s="26" t="s">
        <v>28</v>
      </c>
      <c r="I270" s="27" t="s">
        <v>29</v>
      </c>
      <c r="J270" s="98" t="s">
        <v>209</v>
      </c>
      <c r="K270" s="28">
        <v>25691</v>
      </c>
      <c r="L270" s="82" t="s">
        <v>179</v>
      </c>
      <c r="M270" s="170">
        <v>43739</v>
      </c>
      <c r="N270" s="212">
        <v>43022</v>
      </c>
      <c r="O270" s="17" t="s">
        <v>14</v>
      </c>
      <c r="P270" s="18" t="s">
        <v>15</v>
      </c>
      <c r="Q270" s="18" t="s">
        <v>181</v>
      </c>
      <c r="R270" s="17" t="s">
        <v>182</v>
      </c>
      <c r="S270" s="19" t="s">
        <v>183</v>
      </c>
      <c r="T270" s="175"/>
      <c r="U270" s="175"/>
      <c r="V270" s="21" t="s">
        <v>184</v>
      </c>
      <c r="W270" s="21" t="s">
        <v>184</v>
      </c>
      <c r="X270" s="1">
        <v>3</v>
      </c>
      <c r="Y270" s="176" t="s">
        <v>184</v>
      </c>
      <c r="Z270" s="86"/>
      <c r="AA270" s="86">
        <v>1</v>
      </c>
      <c r="AB270" s="1"/>
      <c r="AC270" s="177"/>
      <c r="AD270" s="115"/>
      <c r="AE270" s="115"/>
      <c r="AF270" s="124"/>
      <c r="AG270" s="122"/>
      <c r="AH270" s="178"/>
      <c r="AI270" s="178"/>
      <c r="AJ270" s="21" t="s">
        <v>203</v>
      </c>
      <c r="AK270" s="21" t="s">
        <v>190</v>
      </c>
      <c r="AL270" s="21" t="s">
        <v>190</v>
      </c>
      <c r="AM270" s="123" t="s">
        <v>1234</v>
      </c>
      <c r="AN270" s="22">
        <v>182</v>
      </c>
      <c r="AO270" s="22">
        <v>0</v>
      </c>
      <c r="AP270" s="22">
        <v>0</v>
      </c>
      <c r="AQ270" s="22">
        <v>23</v>
      </c>
      <c r="AR270" s="22">
        <v>0</v>
      </c>
      <c r="AS270" s="22">
        <v>7</v>
      </c>
      <c r="AT270" s="22">
        <v>10</v>
      </c>
      <c r="AU270" s="316">
        <f t="shared" si="45"/>
        <v>222</v>
      </c>
      <c r="AV270" s="22">
        <v>190</v>
      </c>
      <c r="AW270" s="22">
        <v>0</v>
      </c>
      <c r="AX270" s="22">
        <v>0</v>
      </c>
      <c r="AY270" s="22">
        <v>23</v>
      </c>
      <c r="AZ270" s="22">
        <v>0</v>
      </c>
      <c r="BA270" s="22">
        <v>7</v>
      </c>
      <c r="BB270" s="22">
        <v>10</v>
      </c>
      <c r="BC270" s="316">
        <f t="shared" si="46"/>
        <v>230</v>
      </c>
      <c r="BD270" s="58">
        <f t="shared" si="47"/>
        <v>8</v>
      </c>
      <c r="BE270" s="58">
        <f t="shared" si="48"/>
        <v>0</v>
      </c>
      <c r="BF270" s="58">
        <f t="shared" si="49"/>
        <v>0</v>
      </c>
      <c r="BG270" s="58">
        <f t="shared" si="50"/>
        <v>0</v>
      </c>
      <c r="BH270" s="58">
        <f t="shared" si="51"/>
        <v>0</v>
      </c>
      <c r="BI270" s="58">
        <f t="shared" si="52"/>
        <v>0</v>
      </c>
      <c r="BJ270" s="58">
        <f t="shared" si="53"/>
        <v>0</v>
      </c>
      <c r="BK270" s="58">
        <f t="shared" si="54"/>
        <v>8</v>
      </c>
    </row>
    <row r="271" spans="1:63" ht="27" customHeight="1">
      <c r="A271" s="13">
        <f t="shared" si="55"/>
        <v>269</v>
      </c>
      <c r="B271" s="14" t="s">
        <v>2028</v>
      </c>
      <c r="C271" s="10">
        <v>2304</v>
      </c>
      <c r="D271" s="119" t="s">
        <v>2029</v>
      </c>
      <c r="E271" s="217" t="s">
        <v>2030</v>
      </c>
      <c r="F271" s="106" t="s">
        <v>747</v>
      </c>
      <c r="G271" s="107" t="s">
        <v>2031</v>
      </c>
      <c r="H271" s="26" t="s">
        <v>2032</v>
      </c>
      <c r="I271" s="27" t="s">
        <v>2033</v>
      </c>
      <c r="J271" s="98" t="s">
        <v>178</v>
      </c>
      <c r="K271" s="28">
        <v>27881</v>
      </c>
      <c r="L271" s="82" t="s">
        <v>179</v>
      </c>
      <c r="M271" s="170">
        <v>43739</v>
      </c>
      <c r="N271" s="212">
        <v>43022</v>
      </c>
      <c r="O271" s="17" t="s">
        <v>26</v>
      </c>
      <c r="P271" s="18" t="s">
        <v>27</v>
      </c>
      <c r="Q271" s="18" t="s">
        <v>181</v>
      </c>
      <c r="R271" s="17" t="s">
        <v>182</v>
      </c>
      <c r="S271" s="19" t="s">
        <v>183</v>
      </c>
      <c r="T271" s="175"/>
      <c r="U271" s="175"/>
      <c r="V271" s="21" t="s">
        <v>184</v>
      </c>
      <c r="W271" s="21" t="s">
        <v>184</v>
      </c>
      <c r="X271" s="1">
        <v>6</v>
      </c>
      <c r="Y271" s="176" t="s">
        <v>184</v>
      </c>
      <c r="Z271" s="86"/>
      <c r="AA271" s="86">
        <v>1</v>
      </c>
      <c r="AB271" s="1"/>
      <c r="AC271" s="177"/>
      <c r="AD271" s="115"/>
      <c r="AE271" s="115"/>
      <c r="AF271" s="124"/>
      <c r="AG271" s="122"/>
      <c r="AH271" s="178"/>
      <c r="AI271" s="178"/>
      <c r="AJ271" s="21" t="s">
        <v>203</v>
      </c>
      <c r="AK271" s="21" t="s">
        <v>190</v>
      </c>
      <c r="AL271" s="21" t="s">
        <v>190</v>
      </c>
      <c r="AM271" s="123" t="s">
        <v>1234</v>
      </c>
      <c r="AN271" s="22">
        <v>182</v>
      </c>
      <c r="AO271" s="22">
        <v>0</v>
      </c>
      <c r="AP271" s="22">
        <v>0</v>
      </c>
      <c r="AQ271" s="22">
        <v>0</v>
      </c>
      <c r="AR271" s="22">
        <v>0</v>
      </c>
      <c r="AS271" s="22">
        <v>7</v>
      </c>
      <c r="AT271" s="22">
        <v>10</v>
      </c>
      <c r="AU271" s="316">
        <f t="shared" si="45"/>
        <v>199</v>
      </c>
      <c r="AV271" s="22">
        <v>190</v>
      </c>
      <c r="AW271" s="22">
        <v>0</v>
      </c>
      <c r="AX271" s="22">
        <v>0</v>
      </c>
      <c r="AY271" s="22">
        <v>0</v>
      </c>
      <c r="AZ271" s="22">
        <v>0</v>
      </c>
      <c r="BA271" s="22">
        <v>7</v>
      </c>
      <c r="BB271" s="22">
        <v>10</v>
      </c>
      <c r="BC271" s="316">
        <f t="shared" si="46"/>
        <v>207</v>
      </c>
      <c r="BD271" s="58">
        <f t="shared" si="47"/>
        <v>8</v>
      </c>
      <c r="BE271" s="58">
        <f t="shared" si="48"/>
        <v>0</v>
      </c>
      <c r="BF271" s="58">
        <f t="shared" si="49"/>
        <v>0</v>
      </c>
      <c r="BG271" s="58">
        <f t="shared" si="50"/>
        <v>0</v>
      </c>
      <c r="BH271" s="58">
        <f t="shared" si="51"/>
        <v>0</v>
      </c>
      <c r="BI271" s="58">
        <f t="shared" si="52"/>
        <v>0</v>
      </c>
      <c r="BJ271" s="58">
        <f t="shared" si="53"/>
        <v>0</v>
      </c>
      <c r="BK271" s="58">
        <f t="shared" si="54"/>
        <v>8</v>
      </c>
    </row>
    <row r="272" spans="1:63" ht="27" customHeight="1">
      <c r="A272" s="13">
        <f t="shared" si="55"/>
        <v>270</v>
      </c>
      <c r="B272" s="14" t="s">
        <v>2034</v>
      </c>
      <c r="C272" s="10">
        <v>2301</v>
      </c>
      <c r="D272" s="119" t="s">
        <v>2035</v>
      </c>
      <c r="E272" s="217" t="s">
        <v>2036</v>
      </c>
      <c r="F272" s="106" t="s">
        <v>2037</v>
      </c>
      <c r="G272" s="107" t="s">
        <v>2038</v>
      </c>
      <c r="H272" s="26" t="s">
        <v>2039</v>
      </c>
      <c r="I272" s="27" t="s">
        <v>2040</v>
      </c>
      <c r="J272" s="98" t="s">
        <v>178</v>
      </c>
      <c r="K272" s="28">
        <v>35895</v>
      </c>
      <c r="L272" s="82" t="s">
        <v>179</v>
      </c>
      <c r="M272" s="170">
        <v>43739</v>
      </c>
      <c r="N272" s="212">
        <v>43020</v>
      </c>
      <c r="O272" s="17" t="s">
        <v>34</v>
      </c>
      <c r="P272" s="18" t="s">
        <v>282</v>
      </c>
      <c r="Q272" s="18" t="s">
        <v>249</v>
      </c>
      <c r="R272" s="17" t="s">
        <v>182</v>
      </c>
      <c r="S272" s="13" t="s">
        <v>331</v>
      </c>
      <c r="T272" s="175"/>
      <c r="U272" s="175"/>
      <c r="V272" s="21" t="s">
        <v>184</v>
      </c>
      <c r="W272" s="21" t="s">
        <v>200</v>
      </c>
      <c r="X272" s="1">
        <v>7</v>
      </c>
      <c r="Y272" s="176" t="s">
        <v>2041</v>
      </c>
      <c r="Z272" s="86"/>
      <c r="AA272" s="86">
        <v>1</v>
      </c>
      <c r="AB272" s="1"/>
      <c r="AC272" s="177" t="s">
        <v>1363</v>
      </c>
      <c r="AD272" s="115"/>
      <c r="AE272" s="115"/>
      <c r="AF272" s="124"/>
      <c r="AG272" s="122"/>
      <c r="AH272" s="178"/>
      <c r="AI272" s="178"/>
      <c r="AJ272" s="21" t="s">
        <v>203</v>
      </c>
      <c r="AK272" s="21" t="s">
        <v>190</v>
      </c>
      <c r="AL272" s="21" t="s">
        <v>190</v>
      </c>
      <c r="AM272" s="123" t="s">
        <v>1234</v>
      </c>
      <c r="AN272" s="22">
        <v>182</v>
      </c>
      <c r="AO272" s="22">
        <v>0</v>
      </c>
      <c r="AP272" s="22">
        <v>0</v>
      </c>
      <c r="AQ272" s="22">
        <v>0</v>
      </c>
      <c r="AR272" s="22">
        <v>0</v>
      </c>
      <c r="AS272" s="22">
        <v>7</v>
      </c>
      <c r="AT272" s="22">
        <v>10</v>
      </c>
      <c r="AU272" s="316">
        <f t="shared" si="45"/>
        <v>199</v>
      </c>
      <c r="AV272" s="22">
        <v>190</v>
      </c>
      <c r="AW272" s="22">
        <v>0</v>
      </c>
      <c r="AX272" s="22">
        <v>0</v>
      </c>
      <c r="AY272" s="22">
        <v>0</v>
      </c>
      <c r="AZ272" s="22">
        <v>0</v>
      </c>
      <c r="BA272" s="22">
        <v>7</v>
      </c>
      <c r="BB272" s="22">
        <v>10</v>
      </c>
      <c r="BC272" s="316">
        <f t="shared" si="46"/>
        <v>207</v>
      </c>
      <c r="BD272" s="58">
        <f t="shared" si="47"/>
        <v>8</v>
      </c>
      <c r="BE272" s="58">
        <f t="shared" si="48"/>
        <v>0</v>
      </c>
      <c r="BF272" s="58">
        <f t="shared" si="49"/>
        <v>0</v>
      </c>
      <c r="BG272" s="58">
        <f t="shared" si="50"/>
        <v>0</v>
      </c>
      <c r="BH272" s="58">
        <f t="shared" si="51"/>
        <v>0</v>
      </c>
      <c r="BI272" s="58">
        <f t="shared" si="52"/>
        <v>0</v>
      </c>
      <c r="BJ272" s="58">
        <f t="shared" si="53"/>
        <v>0</v>
      </c>
      <c r="BK272" s="58">
        <f t="shared" si="54"/>
        <v>8</v>
      </c>
    </row>
    <row r="273" spans="1:63" ht="27" customHeight="1">
      <c r="A273" s="13">
        <f t="shared" si="55"/>
        <v>271</v>
      </c>
      <c r="B273" s="14" t="s">
        <v>2042</v>
      </c>
      <c r="C273" s="10">
        <v>2274</v>
      </c>
      <c r="D273" s="119" t="s">
        <v>2043</v>
      </c>
      <c r="E273" s="217">
        <v>180778572</v>
      </c>
      <c r="F273" s="106" t="s">
        <v>1870</v>
      </c>
      <c r="G273" s="107" t="s">
        <v>1452</v>
      </c>
      <c r="H273" s="26" t="s">
        <v>1872</v>
      </c>
      <c r="I273" s="27" t="s">
        <v>2044</v>
      </c>
      <c r="J273" s="98" t="s">
        <v>178</v>
      </c>
      <c r="K273" s="28">
        <v>30569</v>
      </c>
      <c r="L273" s="82" t="s">
        <v>179</v>
      </c>
      <c r="M273" s="170">
        <v>43739</v>
      </c>
      <c r="N273" s="212">
        <v>43011</v>
      </c>
      <c r="O273" s="17" t="s">
        <v>34</v>
      </c>
      <c r="P273" s="18" t="s">
        <v>227</v>
      </c>
      <c r="Q273" s="18" t="s">
        <v>181</v>
      </c>
      <c r="R273" s="17" t="s">
        <v>182</v>
      </c>
      <c r="S273" s="19" t="s">
        <v>211</v>
      </c>
      <c r="T273" s="175"/>
      <c r="U273" s="175"/>
      <c r="V273" s="21" t="s">
        <v>200</v>
      </c>
      <c r="W273" s="21" t="s">
        <v>184</v>
      </c>
      <c r="X273" s="1">
        <v>7</v>
      </c>
      <c r="Y273" s="176" t="s">
        <v>2045</v>
      </c>
      <c r="Z273" s="86"/>
      <c r="AA273" s="86">
        <v>1</v>
      </c>
      <c r="AB273" s="1"/>
      <c r="AC273" s="177" t="s">
        <v>356</v>
      </c>
      <c r="AD273" s="115" t="s">
        <v>188</v>
      </c>
      <c r="AE273" s="115" t="s">
        <v>188</v>
      </c>
      <c r="AF273" s="124"/>
      <c r="AG273" s="122"/>
      <c r="AH273" s="178"/>
      <c r="AI273" s="178"/>
      <c r="AJ273" s="21" t="s">
        <v>203</v>
      </c>
      <c r="AK273" s="21" t="s">
        <v>190</v>
      </c>
      <c r="AL273" s="21" t="s">
        <v>190</v>
      </c>
      <c r="AM273" s="123" t="s">
        <v>1209</v>
      </c>
      <c r="AN273" s="22">
        <v>182</v>
      </c>
      <c r="AO273" s="22">
        <v>0</v>
      </c>
      <c r="AP273" s="22">
        <v>0</v>
      </c>
      <c r="AQ273" s="22">
        <v>0</v>
      </c>
      <c r="AR273" s="22">
        <v>0</v>
      </c>
      <c r="AS273" s="22">
        <v>7</v>
      </c>
      <c r="AT273" s="22">
        <v>10</v>
      </c>
      <c r="AU273" s="316">
        <f t="shared" si="45"/>
        <v>199</v>
      </c>
      <c r="AV273" s="22">
        <v>190</v>
      </c>
      <c r="AW273" s="22">
        <v>0</v>
      </c>
      <c r="AX273" s="22">
        <v>0</v>
      </c>
      <c r="AY273" s="22">
        <v>0</v>
      </c>
      <c r="AZ273" s="22">
        <v>0</v>
      </c>
      <c r="BA273" s="22">
        <v>7</v>
      </c>
      <c r="BB273" s="22">
        <v>10</v>
      </c>
      <c r="BC273" s="316">
        <f t="shared" si="46"/>
        <v>207</v>
      </c>
      <c r="BD273" s="58">
        <f t="shared" si="47"/>
        <v>8</v>
      </c>
      <c r="BE273" s="58">
        <f t="shared" si="48"/>
        <v>0</v>
      </c>
      <c r="BF273" s="58">
        <f t="shared" si="49"/>
        <v>0</v>
      </c>
      <c r="BG273" s="58">
        <f t="shared" si="50"/>
        <v>0</v>
      </c>
      <c r="BH273" s="58">
        <f t="shared" si="51"/>
        <v>0</v>
      </c>
      <c r="BI273" s="58">
        <f t="shared" si="52"/>
        <v>0</v>
      </c>
      <c r="BJ273" s="58">
        <f t="shared" si="53"/>
        <v>0</v>
      </c>
      <c r="BK273" s="58">
        <f t="shared" si="54"/>
        <v>8</v>
      </c>
    </row>
    <row r="274" spans="1:63" ht="27" customHeight="1">
      <c r="A274" s="13">
        <f t="shared" si="55"/>
        <v>272</v>
      </c>
      <c r="B274" s="14" t="s">
        <v>2046</v>
      </c>
      <c r="C274" s="10">
        <v>2263</v>
      </c>
      <c r="D274" s="119" t="s">
        <v>2047</v>
      </c>
      <c r="E274" s="217" t="s">
        <v>2048</v>
      </c>
      <c r="F274" s="106" t="s">
        <v>1171</v>
      </c>
      <c r="G274" s="107" t="s">
        <v>2049</v>
      </c>
      <c r="H274" s="26" t="s">
        <v>1173</v>
      </c>
      <c r="I274" s="27" t="s">
        <v>543</v>
      </c>
      <c r="J274" s="98" t="s">
        <v>178</v>
      </c>
      <c r="K274" s="28">
        <v>33835</v>
      </c>
      <c r="L274" s="82" t="s">
        <v>179</v>
      </c>
      <c r="M274" s="170">
        <v>43556</v>
      </c>
      <c r="N274" s="212">
        <v>43010</v>
      </c>
      <c r="O274" s="17" t="s">
        <v>34</v>
      </c>
      <c r="P274" s="18" t="s">
        <v>386</v>
      </c>
      <c r="Q274" s="18" t="s">
        <v>249</v>
      </c>
      <c r="R274" s="17" t="s">
        <v>182</v>
      </c>
      <c r="S274" s="13" t="s">
        <v>219</v>
      </c>
      <c r="T274" s="175"/>
      <c r="U274" s="175"/>
      <c r="V274" s="21" t="s">
        <v>200</v>
      </c>
      <c r="W274" s="21" t="s">
        <v>200</v>
      </c>
      <c r="X274" s="1">
        <v>5</v>
      </c>
      <c r="Y274" s="176" t="s">
        <v>2050</v>
      </c>
      <c r="Z274" s="86"/>
      <c r="AA274" s="86">
        <v>1</v>
      </c>
      <c r="AB274" s="1"/>
      <c r="AC274" s="177"/>
      <c r="AD274" s="115"/>
      <c r="AE274" s="115"/>
      <c r="AF274" s="124"/>
      <c r="AG274" s="122"/>
      <c r="AH274" s="178"/>
      <c r="AI274" s="178"/>
      <c r="AJ274" s="21" t="s">
        <v>203</v>
      </c>
      <c r="AK274" s="21" t="s">
        <v>190</v>
      </c>
      <c r="AL274" s="21" t="s">
        <v>190</v>
      </c>
      <c r="AM274" s="123" t="s">
        <v>1546</v>
      </c>
      <c r="AN274" s="22">
        <v>182</v>
      </c>
      <c r="AO274" s="22">
        <v>0</v>
      </c>
      <c r="AP274" s="22">
        <v>0</v>
      </c>
      <c r="AQ274" s="22">
        <v>0</v>
      </c>
      <c r="AR274" s="22">
        <v>0</v>
      </c>
      <c r="AS274" s="22">
        <v>7</v>
      </c>
      <c r="AT274" s="22">
        <v>10</v>
      </c>
      <c r="AU274" s="316">
        <f t="shared" si="45"/>
        <v>199</v>
      </c>
      <c r="AV274" s="22">
        <v>190</v>
      </c>
      <c r="AW274" s="22">
        <v>0</v>
      </c>
      <c r="AX274" s="22">
        <v>0</v>
      </c>
      <c r="AY274" s="22">
        <v>0</v>
      </c>
      <c r="AZ274" s="22">
        <v>0</v>
      </c>
      <c r="BA274" s="22">
        <v>7</v>
      </c>
      <c r="BB274" s="22">
        <v>10</v>
      </c>
      <c r="BC274" s="316">
        <f t="shared" si="46"/>
        <v>207</v>
      </c>
      <c r="BD274" s="58">
        <f t="shared" si="47"/>
        <v>8</v>
      </c>
      <c r="BE274" s="58">
        <f t="shared" si="48"/>
        <v>0</v>
      </c>
      <c r="BF274" s="58">
        <f t="shared" si="49"/>
        <v>0</v>
      </c>
      <c r="BG274" s="58">
        <f t="shared" si="50"/>
        <v>0</v>
      </c>
      <c r="BH274" s="58">
        <f t="shared" si="51"/>
        <v>0</v>
      </c>
      <c r="BI274" s="58">
        <f t="shared" si="52"/>
        <v>0</v>
      </c>
      <c r="BJ274" s="58">
        <f t="shared" si="53"/>
        <v>0</v>
      </c>
      <c r="BK274" s="58">
        <f t="shared" si="54"/>
        <v>8</v>
      </c>
    </row>
    <row r="275" spans="1:63" ht="27" customHeight="1">
      <c r="A275" s="13">
        <f t="shared" si="55"/>
        <v>273</v>
      </c>
      <c r="B275" s="14" t="s">
        <v>2051</v>
      </c>
      <c r="C275" s="10">
        <v>2286</v>
      </c>
      <c r="D275" s="119" t="s">
        <v>2052</v>
      </c>
      <c r="E275" s="217" t="s">
        <v>2053</v>
      </c>
      <c r="F275" s="106" t="s">
        <v>994</v>
      </c>
      <c r="G275" s="107" t="s">
        <v>2054</v>
      </c>
      <c r="H275" s="26" t="s">
        <v>996</v>
      </c>
      <c r="I275" s="27" t="s">
        <v>2055</v>
      </c>
      <c r="J275" s="98" t="s">
        <v>178</v>
      </c>
      <c r="K275" s="28">
        <v>31491</v>
      </c>
      <c r="L275" s="82" t="s">
        <v>179</v>
      </c>
      <c r="M275" s="170">
        <v>43739</v>
      </c>
      <c r="N275" s="212">
        <v>43012</v>
      </c>
      <c r="O275" s="17" t="s">
        <v>34</v>
      </c>
      <c r="P275" s="18" t="s">
        <v>1085</v>
      </c>
      <c r="Q275" s="18" t="s">
        <v>181</v>
      </c>
      <c r="R275" s="17" t="s">
        <v>182</v>
      </c>
      <c r="S275" s="13" t="s">
        <v>331</v>
      </c>
      <c r="T275" s="175"/>
      <c r="U275" s="175"/>
      <c r="V275" s="21" t="s">
        <v>200</v>
      </c>
      <c r="W275" s="21" t="s">
        <v>184</v>
      </c>
      <c r="X275" s="1">
        <v>5</v>
      </c>
      <c r="Y275" s="176" t="s">
        <v>2056</v>
      </c>
      <c r="Z275" s="86"/>
      <c r="AA275" s="86">
        <v>1</v>
      </c>
      <c r="AB275" s="1"/>
      <c r="AC275" s="177" t="s">
        <v>202</v>
      </c>
      <c r="AD275" s="115" t="s">
        <v>188</v>
      </c>
      <c r="AE275" s="115" t="s">
        <v>188</v>
      </c>
      <c r="AF275" s="124"/>
      <c r="AG275" s="122"/>
      <c r="AH275" s="178"/>
      <c r="AI275" s="178"/>
      <c r="AJ275" s="21" t="s">
        <v>203</v>
      </c>
      <c r="AK275" s="21" t="s">
        <v>190</v>
      </c>
      <c r="AL275" s="21" t="s">
        <v>190</v>
      </c>
      <c r="AM275" s="123" t="s">
        <v>1234</v>
      </c>
      <c r="AN275" s="22">
        <v>182</v>
      </c>
      <c r="AO275" s="22">
        <v>0</v>
      </c>
      <c r="AP275" s="22">
        <v>0</v>
      </c>
      <c r="AQ275" s="22">
        <v>0</v>
      </c>
      <c r="AR275" s="22">
        <v>0</v>
      </c>
      <c r="AS275" s="22">
        <v>7</v>
      </c>
      <c r="AT275" s="22">
        <v>10</v>
      </c>
      <c r="AU275" s="316">
        <f t="shared" si="45"/>
        <v>199</v>
      </c>
      <c r="AV275" s="22">
        <v>190</v>
      </c>
      <c r="AW275" s="22">
        <v>0</v>
      </c>
      <c r="AX275" s="22">
        <v>0</v>
      </c>
      <c r="AY275" s="22">
        <v>0</v>
      </c>
      <c r="AZ275" s="22">
        <v>0</v>
      </c>
      <c r="BA275" s="22">
        <v>7</v>
      </c>
      <c r="BB275" s="22">
        <v>10</v>
      </c>
      <c r="BC275" s="316">
        <f t="shared" si="46"/>
        <v>207</v>
      </c>
      <c r="BD275" s="58">
        <f t="shared" si="47"/>
        <v>8</v>
      </c>
      <c r="BE275" s="58">
        <f t="shared" si="48"/>
        <v>0</v>
      </c>
      <c r="BF275" s="58">
        <f t="shared" si="49"/>
        <v>0</v>
      </c>
      <c r="BG275" s="58">
        <f t="shared" si="50"/>
        <v>0</v>
      </c>
      <c r="BH275" s="58">
        <f t="shared" si="51"/>
        <v>0</v>
      </c>
      <c r="BI275" s="58">
        <f t="shared" si="52"/>
        <v>0</v>
      </c>
      <c r="BJ275" s="58">
        <f t="shared" si="53"/>
        <v>0</v>
      </c>
      <c r="BK275" s="58">
        <f t="shared" si="54"/>
        <v>8</v>
      </c>
    </row>
    <row r="276" spans="1:63" ht="27" customHeight="1">
      <c r="A276" s="13">
        <f t="shared" si="55"/>
        <v>274</v>
      </c>
      <c r="B276" s="14" t="s">
        <v>2057</v>
      </c>
      <c r="C276" s="10">
        <v>2257</v>
      </c>
      <c r="D276" s="119" t="s">
        <v>2058</v>
      </c>
      <c r="E276" s="217">
        <v>110341894</v>
      </c>
      <c r="F276" s="106" t="s">
        <v>2059</v>
      </c>
      <c r="G276" s="107" t="s">
        <v>2060</v>
      </c>
      <c r="H276" s="26" t="s">
        <v>2061</v>
      </c>
      <c r="I276" s="27" t="s">
        <v>2062</v>
      </c>
      <c r="J276" s="98" t="s">
        <v>178</v>
      </c>
      <c r="K276" s="28">
        <v>32663</v>
      </c>
      <c r="L276" s="82" t="s">
        <v>179</v>
      </c>
      <c r="M276" s="170">
        <v>43739</v>
      </c>
      <c r="N276" s="212">
        <v>43010</v>
      </c>
      <c r="O276" s="17" t="s">
        <v>34</v>
      </c>
      <c r="P276" s="18" t="s">
        <v>348</v>
      </c>
      <c r="Q276" s="18" t="s">
        <v>181</v>
      </c>
      <c r="R276" s="17" t="s">
        <v>182</v>
      </c>
      <c r="S276" s="13" t="s">
        <v>228</v>
      </c>
      <c r="T276" s="175"/>
      <c r="U276" s="175"/>
      <c r="V276" s="21" t="s">
        <v>200</v>
      </c>
      <c r="W276" s="21" t="s">
        <v>200</v>
      </c>
      <c r="X276" s="1">
        <v>5</v>
      </c>
      <c r="Y276" s="77" t="s">
        <v>184</v>
      </c>
      <c r="Z276" s="86">
        <v>1</v>
      </c>
      <c r="AA276" s="86"/>
      <c r="AB276" s="1"/>
      <c r="AC276" s="177"/>
      <c r="AD276" s="115"/>
      <c r="AE276" s="115"/>
      <c r="AF276" s="124"/>
      <c r="AG276" s="122"/>
      <c r="AH276" s="178"/>
      <c r="AI276" s="178"/>
      <c r="AJ276" s="21" t="s">
        <v>203</v>
      </c>
      <c r="AK276" s="21" t="s">
        <v>190</v>
      </c>
      <c r="AL276" s="21" t="s">
        <v>190</v>
      </c>
      <c r="AM276" s="123" t="s">
        <v>1234</v>
      </c>
      <c r="AN276" s="22">
        <v>182</v>
      </c>
      <c r="AO276" s="22">
        <v>0</v>
      </c>
      <c r="AP276" s="22">
        <v>0</v>
      </c>
      <c r="AQ276" s="22">
        <v>10</v>
      </c>
      <c r="AR276" s="22">
        <v>0</v>
      </c>
      <c r="AS276" s="22">
        <v>7</v>
      </c>
      <c r="AT276" s="22">
        <v>10</v>
      </c>
      <c r="AU276" s="316">
        <f t="shared" si="45"/>
        <v>209</v>
      </c>
      <c r="AV276" s="22">
        <v>190</v>
      </c>
      <c r="AW276" s="22">
        <v>0</v>
      </c>
      <c r="AX276" s="22">
        <v>0</v>
      </c>
      <c r="AY276" s="22">
        <v>10</v>
      </c>
      <c r="AZ276" s="22">
        <v>0</v>
      </c>
      <c r="BA276" s="22">
        <v>7</v>
      </c>
      <c r="BB276" s="22">
        <v>10</v>
      </c>
      <c r="BC276" s="316">
        <f t="shared" si="46"/>
        <v>217</v>
      </c>
      <c r="BD276" s="58">
        <f t="shared" si="47"/>
        <v>8</v>
      </c>
      <c r="BE276" s="58">
        <f t="shared" si="48"/>
        <v>0</v>
      </c>
      <c r="BF276" s="58">
        <f t="shared" si="49"/>
        <v>0</v>
      </c>
      <c r="BG276" s="58">
        <f t="shared" si="50"/>
        <v>0</v>
      </c>
      <c r="BH276" s="58">
        <f t="shared" si="51"/>
        <v>0</v>
      </c>
      <c r="BI276" s="58">
        <f t="shared" si="52"/>
        <v>0</v>
      </c>
      <c r="BJ276" s="58">
        <f t="shared" si="53"/>
        <v>0</v>
      </c>
      <c r="BK276" s="58">
        <f t="shared" si="54"/>
        <v>8</v>
      </c>
    </row>
    <row r="277" spans="1:63" ht="27" customHeight="1">
      <c r="A277" s="13">
        <f t="shared" si="55"/>
        <v>275</v>
      </c>
      <c r="B277" s="14" t="s">
        <v>2063</v>
      </c>
      <c r="C277" s="10">
        <v>2325</v>
      </c>
      <c r="D277" s="119" t="s">
        <v>2064</v>
      </c>
      <c r="E277" s="217">
        <v>61569968</v>
      </c>
      <c r="F277" s="106" t="s">
        <v>178</v>
      </c>
      <c r="G277" s="107" t="s">
        <v>2065</v>
      </c>
      <c r="H277" s="26" t="s">
        <v>30</v>
      </c>
      <c r="I277" s="27" t="s">
        <v>31</v>
      </c>
      <c r="J277" s="98" t="s">
        <v>209</v>
      </c>
      <c r="K277" s="28">
        <v>33004</v>
      </c>
      <c r="L277" s="82" t="s">
        <v>179</v>
      </c>
      <c r="M277" s="170">
        <v>43770</v>
      </c>
      <c r="N277" s="212">
        <v>43050</v>
      </c>
      <c r="O277" s="17" t="s">
        <v>14</v>
      </c>
      <c r="P277" s="18" t="s">
        <v>15</v>
      </c>
      <c r="Q277" s="18" t="s">
        <v>181</v>
      </c>
      <c r="R277" s="17" t="s">
        <v>182</v>
      </c>
      <c r="S277" s="19" t="s">
        <v>183</v>
      </c>
      <c r="T277" s="175"/>
      <c r="U277" s="175"/>
      <c r="V277" s="21" t="s">
        <v>184</v>
      </c>
      <c r="W277" s="21" t="s">
        <v>200</v>
      </c>
      <c r="X277" s="1">
        <v>7</v>
      </c>
      <c r="Y277" s="77" t="s">
        <v>2066</v>
      </c>
      <c r="Z277" s="86"/>
      <c r="AA277" s="86"/>
      <c r="AB277" s="1"/>
      <c r="AC277" s="177"/>
      <c r="AD277" s="115"/>
      <c r="AE277" s="115"/>
      <c r="AF277" s="124"/>
      <c r="AG277" s="122"/>
      <c r="AH277" s="178"/>
      <c r="AI277" s="178"/>
      <c r="AJ277" s="21" t="s">
        <v>203</v>
      </c>
      <c r="AK277" s="21" t="s">
        <v>190</v>
      </c>
      <c r="AL277" s="21" t="s">
        <v>190</v>
      </c>
      <c r="AM277" s="123" t="s">
        <v>1234</v>
      </c>
      <c r="AN277" s="22">
        <v>182</v>
      </c>
      <c r="AO277" s="22">
        <v>0</v>
      </c>
      <c r="AP277" s="22">
        <v>0</v>
      </c>
      <c r="AQ277" s="22">
        <v>23</v>
      </c>
      <c r="AR277" s="22">
        <v>0</v>
      </c>
      <c r="AS277" s="22">
        <v>7</v>
      </c>
      <c r="AT277" s="22">
        <v>10</v>
      </c>
      <c r="AU277" s="316">
        <f t="shared" si="45"/>
        <v>222</v>
      </c>
      <c r="AV277" s="22">
        <v>190</v>
      </c>
      <c r="AW277" s="22">
        <v>0</v>
      </c>
      <c r="AX277" s="22">
        <v>0</v>
      </c>
      <c r="AY277" s="22">
        <v>23</v>
      </c>
      <c r="AZ277" s="22">
        <v>0</v>
      </c>
      <c r="BA277" s="22">
        <v>7</v>
      </c>
      <c r="BB277" s="22">
        <v>10</v>
      </c>
      <c r="BC277" s="316">
        <f t="shared" si="46"/>
        <v>230</v>
      </c>
      <c r="BD277" s="58">
        <f t="shared" si="47"/>
        <v>8</v>
      </c>
      <c r="BE277" s="58">
        <f t="shared" si="48"/>
        <v>0</v>
      </c>
      <c r="BF277" s="58">
        <f t="shared" si="49"/>
        <v>0</v>
      </c>
      <c r="BG277" s="58">
        <f t="shared" si="50"/>
        <v>0</v>
      </c>
      <c r="BH277" s="58">
        <f t="shared" si="51"/>
        <v>0</v>
      </c>
      <c r="BI277" s="58">
        <f t="shared" si="52"/>
        <v>0</v>
      </c>
      <c r="BJ277" s="58">
        <f t="shared" si="53"/>
        <v>0</v>
      </c>
      <c r="BK277" s="58">
        <f t="shared" si="54"/>
        <v>8</v>
      </c>
    </row>
    <row r="278" spans="1:63" ht="27" customHeight="1">
      <c r="A278" s="13">
        <f t="shared" si="55"/>
        <v>276</v>
      </c>
      <c r="B278" s="14" t="s">
        <v>2067</v>
      </c>
      <c r="C278" s="10">
        <v>2338</v>
      </c>
      <c r="D278" s="119" t="s">
        <v>2068</v>
      </c>
      <c r="E278" s="217">
        <v>150716185</v>
      </c>
      <c r="F278" s="106" t="s">
        <v>1940</v>
      </c>
      <c r="G278" s="107" t="s">
        <v>2069</v>
      </c>
      <c r="H278" s="26" t="s">
        <v>1941</v>
      </c>
      <c r="I278" s="27" t="s">
        <v>2070</v>
      </c>
      <c r="J278" s="98" t="s">
        <v>178</v>
      </c>
      <c r="K278" s="28">
        <v>34309</v>
      </c>
      <c r="L278" s="82" t="s">
        <v>179</v>
      </c>
      <c r="M278" s="170">
        <v>43770</v>
      </c>
      <c r="N278" s="212">
        <v>43053</v>
      </c>
      <c r="O278" s="17" t="s">
        <v>34</v>
      </c>
      <c r="P278" s="18" t="s">
        <v>309</v>
      </c>
      <c r="Q278" s="18" t="s">
        <v>181</v>
      </c>
      <c r="R278" s="17" t="s">
        <v>182</v>
      </c>
      <c r="S278" s="13"/>
      <c r="T278" s="175"/>
      <c r="U278" s="175"/>
      <c r="V278" s="21" t="s">
        <v>200</v>
      </c>
      <c r="W278" s="21" t="s">
        <v>200</v>
      </c>
      <c r="X278" s="1">
        <v>4</v>
      </c>
      <c r="Y278" s="77" t="s">
        <v>2071</v>
      </c>
      <c r="Z278" s="86">
        <v>1</v>
      </c>
      <c r="AA278" s="86"/>
      <c r="AB278" s="1"/>
      <c r="AC278" s="177"/>
      <c r="AD278" s="115"/>
      <c r="AE278" s="115"/>
      <c r="AF278" s="124"/>
      <c r="AG278" s="122"/>
      <c r="AH278" s="178"/>
      <c r="AI278" s="178"/>
      <c r="AJ278" s="21" t="s">
        <v>203</v>
      </c>
      <c r="AK278" s="21" t="s">
        <v>190</v>
      </c>
      <c r="AL278" s="21" t="s">
        <v>190</v>
      </c>
      <c r="AM278" s="123" t="s">
        <v>1496</v>
      </c>
      <c r="AN278" s="22">
        <v>182</v>
      </c>
      <c r="AO278" s="22">
        <v>0</v>
      </c>
      <c r="AP278" s="22">
        <v>0</v>
      </c>
      <c r="AQ278" s="22">
        <v>0</v>
      </c>
      <c r="AR278" s="22">
        <v>0</v>
      </c>
      <c r="AS278" s="22">
        <v>7</v>
      </c>
      <c r="AT278" s="22">
        <v>10</v>
      </c>
      <c r="AU278" s="316">
        <f t="shared" si="45"/>
        <v>199</v>
      </c>
      <c r="AV278" s="22">
        <v>190</v>
      </c>
      <c r="AW278" s="22">
        <v>0</v>
      </c>
      <c r="AX278" s="22">
        <v>0</v>
      </c>
      <c r="AY278" s="22">
        <v>0</v>
      </c>
      <c r="AZ278" s="22">
        <v>0</v>
      </c>
      <c r="BA278" s="22">
        <v>7</v>
      </c>
      <c r="BB278" s="22">
        <v>10</v>
      </c>
      <c r="BC278" s="316">
        <f t="shared" si="46"/>
        <v>207</v>
      </c>
      <c r="BD278" s="58">
        <f t="shared" si="47"/>
        <v>8</v>
      </c>
      <c r="BE278" s="58">
        <f t="shared" si="48"/>
        <v>0</v>
      </c>
      <c r="BF278" s="58">
        <f t="shared" si="49"/>
        <v>0</v>
      </c>
      <c r="BG278" s="58">
        <f t="shared" si="50"/>
        <v>0</v>
      </c>
      <c r="BH278" s="58">
        <f t="shared" si="51"/>
        <v>0</v>
      </c>
      <c r="BI278" s="58">
        <f t="shared" si="52"/>
        <v>0</v>
      </c>
      <c r="BJ278" s="58">
        <f t="shared" si="53"/>
        <v>0</v>
      </c>
      <c r="BK278" s="58">
        <f t="shared" si="54"/>
        <v>8</v>
      </c>
    </row>
    <row r="279" spans="1:63" ht="27" customHeight="1">
      <c r="A279" s="13">
        <f t="shared" si="55"/>
        <v>277</v>
      </c>
      <c r="B279" s="14" t="s">
        <v>2072</v>
      </c>
      <c r="C279" s="10">
        <v>2401</v>
      </c>
      <c r="D279" s="119" t="s">
        <v>2073</v>
      </c>
      <c r="E279" s="217" t="s">
        <v>2074</v>
      </c>
      <c r="F279" s="106" t="s">
        <v>1828</v>
      </c>
      <c r="G279" s="107" t="s">
        <v>2075</v>
      </c>
      <c r="H279" s="26" t="s">
        <v>1829</v>
      </c>
      <c r="I279" s="27" t="s">
        <v>2076</v>
      </c>
      <c r="J279" s="98" t="s">
        <v>178</v>
      </c>
      <c r="K279" s="28">
        <v>35065</v>
      </c>
      <c r="L279" s="82" t="s">
        <v>179</v>
      </c>
      <c r="M279" s="25">
        <v>43709</v>
      </c>
      <c r="N279" s="170">
        <v>43160</v>
      </c>
      <c r="O279" s="17" t="s">
        <v>34</v>
      </c>
      <c r="P279" s="18" t="s">
        <v>227</v>
      </c>
      <c r="Q279" s="18" t="s">
        <v>181</v>
      </c>
      <c r="R279" s="17" t="s">
        <v>182</v>
      </c>
      <c r="S279" s="13" t="s">
        <v>228</v>
      </c>
      <c r="T279" s="175"/>
      <c r="U279" s="175"/>
      <c r="V279" s="21" t="s">
        <v>184</v>
      </c>
      <c r="W279" s="21" t="s">
        <v>184</v>
      </c>
      <c r="X279" s="1">
        <v>6</v>
      </c>
      <c r="Y279" s="77" t="s">
        <v>2077</v>
      </c>
      <c r="Z279" s="86">
        <v>1</v>
      </c>
      <c r="AA279" s="86"/>
      <c r="AB279" s="1"/>
      <c r="AC279" s="177"/>
      <c r="AD279" s="115"/>
      <c r="AE279" s="115"/>
      <c r="AF279" s="124"/>
      <c r="AG279" s="122"/>
      <c r="AH279" s="178"/>
      <c r="AI279" s="178"/>
      <c r="AJ279" s="21" t="s">
        <v>203</v>
      </c>
      <c r="AK279" s="21" t="s">
        <v>190</v>
      </c>
      <c r="AL279" s="21" t="s">
        <v>190</v>
      </c>
      <c r="AM279" s="123" t="s">
        <v>2078</v>
      </c>
      <c r="AN279" s="22">
        <v>182</v>
      </c>
      <c r="AO279" s="22">
        <v>0</v>
      </c>
      <c r="AP279" s="22">
        <v>0</v>
      </c>
      <c r="AQ279" s="22">
        <v>0</v>
      </c>
      <c r="AR279" s="22">
        <v>0</v>
      </c>
      <c r="AS279" s="22">
        <v>7</v>
      </c>
      <c r="AT279" s="22">
        <v>10</v>
      </c>
      <c r="AU279" s="316">
        <f t="shared" si="45"/>
        <v>199</v>
      </c>
      <c r="AV279" s="22">
        <v>190</v>
      </c>
      <c r="AW279" s="22">
        <v>0</v>
      </c>
      <c r="AX279" s="22">
        <v>0</v>
      </c>
      <c r="AY279" s="22">
        <v>0</v>
      </c>
      <c r="AZ279" s="22">
        <v>0</v>
      </c>
      <c r="BA279" s="22">
        <v>7</v>
      </c>
      <c r="BB279" s="22">
        <v>10</v>
      </c>
      <c r="BC279" s="316">
        <f t="shared" si="46"/>
        <v>207</v>
      </c>
      <c r="BD279" s="58">
        <f t="shared" si="47"/>
        <v>8</v>
      </c>
      <c r="BE279" s="58">
        <f t="shared" si="48"/>
        <v>0</v>
      </c>
      <c r="BF279" s="58">
        <f t="shared" si="49"/>
        <v>0</v>
      </c>
      <c r="BG279" s="58">
        <f t="shared" si="50"/>
        <v>0</v>
      </c>
      <c r="BH279" s="58">
        <f t="shared" si="51"/>
        <v>0</v>
      </c>
      <c r="BI279" s="58">
        <f t="shared" si="52"/>
        <v>0</v>
      </c>
      <c r="BJ279" s="58">
        <f t="shared" si="53"/>
        <v>0</v>
      </c>
      <c r="BK279" s="58">
        <f t="shared" si="54"/>
        <v>8</v>
      </c>
    </row>
    <row r="280" spans="1:63" ht="27" customHeight="1">
      <c r="A280" s="13">
        <f t="shared" si="55"/>
        <v>278</v>
      </c>
      <c r="B280" s="14" t="s">
        <v>2079</v>
      </c>
      <c r="C280" s="10">
        <v>2403</v>
      </c>
      <c r="D280" s="119">
        <v>296031813012</v>
      </c>
      <c r="E280" s="217" t="s">
        <v>2080</v>
      </c>
      <c r="F280" s="106" t="s">
        <v>573</v>
      </c>
      <c r="G280" s="107" t="s">
        <v>2081</v>
      </c>
      <c r="H280" s="26" t="s">
        <v>542</v>
      </c>
      <c r="I280" s="27" t="s">
        <v>2082</v>
      </c>
      <c r="J280" s="98" t="s">
        <v>178</v>
      </c>
      <c r="K280" s="28">
        <v>35098</v>
      </c>
      <c r="L280" s="82" t="s">
        <v>179</v>
      </c>
      <c r="M280" s="25">
        <v>43709</v>
      </c>
      <c r="N280" s="170">
        <v>43166</v>
      </c>
      <c r="O280" s="17" t="s">
        <v>34</v>
      </c>
      <c r="P280" s="18" t="s">
        <v>301</v>
      </c>
      <c r="Q280" s="18" t="s">
        <v>181</v>
      </c>
      <c r="R280" s="17" t="s">
        <v>182</v>
      </c>
      <c r="S280" s="19" t="s">
        <v>183</v>
      </c>
      <c r="T280" s="175"/>
      <c r="U280" s="175"/>
      <c r="V280" s="21" t="s">
        <v>184</v>
      </c>
      <c r="W280" s="21" t="s">
        <v>200</v>
      </c>
      <c r="X280" s="1">
        <v>11</v>
      </c>
      <c r="Y280" s="77" t="s">
        <v>2083</v>
      </c>
      <c r="Z280" s="86">
        <v>1</v>
      </c>
      <c r="AA280" s="86"/>
      <c r="AB280" s="1"/>
      <c r="AC280" s="177"/>
      <c r="AD280" s="115"/>
      <c r="AE280" s="115"/>
      <c r="AF280" s="124"/>
      <c r="AG280" s="122"/>
      <c r="AH280" s="178"/>
      <c r="AI280" s="178"/>
      <c r="AJ280" s="21" t="s">
        <v>203</v>
      </c>
      <c r="AK280" s="21" t="s">
        <v>190</v>
      </c>
      <c r="AL280" s="21" t="s">
        <v>190</v>
      </c>
      <c r="AM280" s="123" t="s">
        <v>2084</v>
      </c>
      <c r="AN280" s="22">
        <v>182</v>
      </c>
      <c r="AO280" s="22">
        <v>0</v>
      </c>
      <c r="AP280" s="22">
        <v>0</v>
      </c>
      <c r="AQ280" s="22">
        <v>10</v>
      </c>
      <c r="AR280" s="22">
        <v>0</v>
      </c>
      <c r="AS280" s="22">
        <v>7</v>
      </c>
      <c r="AT280" s="22">
        <v>10</v>
      </c>
      <c r="AU280" s="316">
        <f t="shared" si="45"/>
        <v>209</v>
      </c>
      <c r="AV280" s="22">
        <v>190</v>
      </c>
      <c r="AW280" s="22">
        <v>0</v>
      </c>
      <c r="AX280" s="22">
        <v>0</v>
      </c>
      <c r="AY280" s="22">
        <v>10</v>
      </c>
      <c r="AZ280" s="22">
        <v>0</v>
      </c>
      <c r="BA280" s="22">
        <v>7</v>
      </c>
      <c r="BB280" s="22">
        <v>10</v>
      </c>
      <c r="BC280" s="316">
        <f t="shared" si="46"/>
        <v>217</v>
      </c>
      <c r="BD280" s="58">
        <f t="shared" si="47"/>
        <v>8</v>
      </c>
      <c r="BE280" s="58">
        <f t="shared" si="48"/>
        <v>0</v>
      </c>
      <c r="BF280" s="58">
        <f t="shared" si="49"/>
        <v>0</v>
      </c>
      <c r="BG280" s="58">
        <f t="shared" si="50"/>
        <v>0</v>
      </c>
      <c r="BH280" s="58">
        <f t="shared" si="51"/>
        <v>0</v>
      </c>
      <c r="BI280" s="58">
        <f t="shared" si="52"/>
        <v>0</v>
      </c>
      <c r="BJ280" s="58">
        <f t="shared" si="53"/>
        <v>0</v>
      </c>
      <c r="BK280" s="58">
        <f t="shared" si="54"/>
        <v>8</v>
      </c>
    </row>
    <row r="281" spans="1:63" ht="27" customHeight="1">
      <c r="A281" s="13">
        <f t="shared" si="55"/>
        <v>279</v>
      </c>
      <c r="B281" s="14"/>
      <c r="C281" s="10">
        <v>2378</v>
      </c>
      <c r="D281" s="119" t="s">
        <v>2085</v>
      </c>
      <c r="E281" s="217" t="s">
        <v>2086</v>
      </c>
      <c r="F281" s="106" t="s">
        <v>2087</v>
      </c>
      <c r="G281" s="107" t="s">
        <v>1253</v>
      </c>
      <c r="H281" s="26" t="s">
        <v>2088</v>
      </c>
      <c r="I281" s="27" t="s">
        <v>1255</v>
      </c>
      <c r="J281" s="98" t="s">
        <v>178</v>
      </c>
      <c r="K281" s="28">
        <v>31631</v>
      </c>
      <c r="L281" s="82" t="s">
        <v>179</v>
      </c>
      <c r="M281" s="170">
        <v>43800</v>
      </c>
      <c r="N281" s="212">
        <v>43075</v>
      </c>
      <c r="O281" s="17" t="s">
        <v>34</v>
      </c>
      <c r="P281" s="18" t="s">
        <v>512</v>
      </c>
      <c r="Q281" s="18" t="s">
        <v>181</v>
      </c>
      <c r="R281" s="17" t="s">
        <v>182</v>
      </c>
      <c r="S281" s="19" t="s">
        <v>256</v>
      </c>
      <c r="T281" s="175"/>
      <c r="U281" s="175"/>
      <c r="V281" s="21" t="s">
        <v>200</v>
      </c>
      <c r="W281" s="21" t="s">
        <v>200</v>
      </c>
      <c r="X281" s="1">
        <v>12</v>
      </c>
      <c r="Y281" s="77"/>
      <c r="Z281" s="86"/>
      <c r="AA281" s="86">
        <v>1</v>
      </c>
      <c r="AB281" s="86"/>
      <c r="AC281" s="123"/>
      <c r="AD281" s="218" t="s">
        <v>189</v>
      </c>
      <c r="AE281" s="218" t="s">
        <v>189</v>
      </c>
      <c r="AF281" s="219"/>
      <c r="AG281" s="220"/>
      <c r="AH281" s="221"/>
      <c r="AI281" s="221"/>
      <c r="AJ281" s="88" t="s">
        <v>203</v>
      </c>
      <c r="AK281" s="88" t="s">
        <v>190</v>
      </c>
      <c r="AL281" s="88" t="s">
        <v>190</v>
      </c>
      <c r="AM281" s="123" t="s">
        <v>2078</v>
      </c>
      <c r="AN281" s="22">
        <v>182</v>
      </c>
      <c r="AO281" s="22">
        <v>0</v>
      </c>
      <c r="AP281" s="22">
        <v>0</v>
      </c>
      <c r="AQ281" s="22">
        <v>0</v>
      </c>
      <c r="AR281" s="22">
        <v>0</v>
      </c>
      <c r="AS281" s="22">
        <v>7</v>
      </c>
      <c r="AT281" s="22">
        <v>10</v>
      </c>
      <c r="AU281" s="316">
        <f t="shared" si="45"/>
        <v>199</v>
      </c>
      <c r="AV281" s="22">
        <v>190</v>
      </c>
      <c r="AW281" s="22">
        <v>0</v>
      </c>
      <c r="AX281" s="22">
        <v>0</v>
      </c>
      <c r="AY281" s="22">
        <v>0</v>
      </c>
      <c r="AZ281" s="22">
        <v>0</v>
      </c>
      <c r="BA281" s="22">
        <v>7</v>
      </c>
      <c r="BB281" s="22">
        <v>10</v>
      </c>
      <c r="BC281" s="316">
        <f t="shared" si="46"/>
        <v>207</v>
      </c>
      <c r="BD281" s="58">
        <f t="shared" si="47"/>
        <v>8</v>
      </c>
      <c r="BE281" s="58">
        <f t="shared" si="48"/>
        <v>0</v>
      </c>
      <c r="BF281" s="58">
        <f t="shared" si="49"/>
        <v>0</v>
      </c>
      <c r="BG281" s="58">
        <f t="shared" si="50"/>
        <v>0</v>
      </c>
      <c r="BH281" s="58">
        <f t="shared" si="51"/>
        <v>0</v>
      </c>
      <c r="BI281" s="58">
        <f t="shared" si="52"/>
        <v>0</v>
      </c>
      <c r="BJ281" s="58">
        <f t="shared" si="53"/>
        <v>0</v>
      </c>
      <c r="BK281" s="58">
        <f t="shared" si="54"/>
        <v>8</v>
      </c>
    </row>
    <row r="282" spans="1:63" ht="27" customHeight="1">
      <c r="A282" s="13">
        <f t="shared" si="55"/>
        <v>280</v>
      </c>
      <c r="B282" s="14"/>
      <c r="C282" s="10">
        <v>2381</v>
      </c>
      <c r="D282" s="119" t="s">
        <v>2089</v>
      </c>
      <c r="E282" s="217" t="s">
        <v>2090</v>
      </c>
      <c r="F282" s="106" t="s">
        <v>472</v>
      </c>
      <c r="G282" s="107" t="s">
        <v>1898</v>
      </c>
      <c r="H282" s="26" t="s">
        <v>474</v>
      </c>
      <c r="I282" s="27" t="s">
        <v>1900</v>
      </c>
      <c r="J282" s="98" t="s">
        <v>178</v>
      </c>
      <c r="K282" s="28">
        <v>32615</v>
      </c>
      <c r="L282" s="82" t="s">
        <v>179</v>
      </c>
      <c r="M282" s="170">
        <v>43800</v>
      </c>
      <c r="N282" s="212">
        <v>43082</v>
      </c>
      <c r="O282" s="17" t="s">
        <v>34</v>
      </c>
      <c r="P282" s="18" t="s">
        <v>227</v>
      </c>
      <c r="Q282" s="18" t="s">
        <v>181</v>
      </c>
      <c r="R282" s="17" t="s">
        <v>182</v>
      </c>
      <c r="S282" s="19" t="s">
        <v>256</v>
      </c>
      <c r="T282" s="175"/>
      <c r="U282" s="175"/>
      <c r="V282" s="21" t="s">
        <v>200</v>
      </c>
      <c r="W282" s="21" t="s">
        <v>200</v>
      </c>
      <c r="X282" s="1"/>
      <c r="Y282" s="77"/>
      <c r="Z282" s="86"/>
      <c r="AA282" s="86">
        <v>1</v>
      </c>
      <c r="AB282" s="86"/>
      <c r="AC282" s="123" t="s">
        <v>138</v>
      </c>
      <c r="AD282" s="218"/>
      <c r="AE282" s="218"/>
      <c r="AF282" s="219"/>
      <c r="AG282" s="220"/>
      <c r="AH282" s="221"/>
      <c r="AI282" s="221"/>
      <c r="AJ282" s="88" t="s">
        <v>203</v>
      </c>
      <c r="AK282" s="88" t="s">
        <v>190</v>
      </c>
      <c r="AL282" s="88" t="s">
        <v>190</v>
      </c>
      <c r="AM282" s="123" t="s">
        <v>2084</v>
      </c>
      <c r="AN282" s="22">
        <v>182</v>
      </c>
      <c r="AO282" s="22">
        <v>0</v>
      </c>
      <c r="AP282" s="22">
        <v>0</v>
      </c>
      <c r="AQ282" s="22">
        <v>0</v>
      </c>
      <c r="AR282" s="22">
        <v>0</v>
      </c>
      <c r="AS282" s="22">
        <v>7</v>
      </c>
      <c r="AT282" s="22">
        <v>10</v>
      </c>
      <c r="AU282" s="316">
        <f t="shared" si="45"/>
        <v>199</v>
      </c>
      <c r="AV282" s="22">
        <v>190</v>
      </c>
      <c r="AW282" s="22">
        <v>0</v>
      </c>
      <c r="AX282" s="22">
        <v>0</v>
      </c>
      <c r="AY282" s="22">
        <v>0</v>
      </c>
      <c r="AZ282" s="22">
        <v>0</v>
      </c>
      <c r="BA282" s="22">
        <v>7</v>
      </c>
      <c r="BB282" s="22">
        <v>10</v>
      </c>
      <c r="BC282" s="316">
        <f t="shared" si="46"/>
        <v>207</v>
      </c>
      <c r="BD282" s="58">
        <f t="shared" si="47"/>
        <v>8</v>
      </c>
      <c r="BE282" s="58">
        <f t="shared" si="48"/>
        <v>0</v>
      </c>
      <c r="BF282" s="58">
        <f t="shared" si="49"/>
        <v>0</v>
      </c>
      <c r="BG282" s="58">
        <f t="shared" si="50"/>
        <v>0</v>
      </c>
      <c r="BH282" s="58">
        <f t="shared" si="51"/>
        <v>0</v>
      </c>
      <c r="BI282" s="58">
        <f t="shared" si="52"/>
        <v>0</v>
      </c>
      <c r="BJ282" s="58">
        <f t="shared" si="53"/>
        <v>0</v>
      </c>
      <c r="BK282" s="58">
        <f t="shared" si="54"/>
        <v>8</v>
      </c>
    </row>
    <row r="283" spans="1:63" ht="27" customHeight="1">
      <c r="A283" s="13">
        <f t="shared" si="55"/>
        <v>281</v>
      </c>
      <c r="B283" s="14"/>
      <c r="C283" s="10">
        <v>2426</v>
      </c>
      <c r="D283" s="119" t="s">
        <v>2091</v>
      </c>
      <c r="E283" s="217" t="s">
        <v>2092</v>
      </c>
      <c r="F283" s="106" t="s">
        <v>2093</v>
      </c>
      <c r="G283" s="107" t="s">
        <v>2094</v>
      </c>
      <c r="H283" s="26" t="s">
        <v>82</v>
      </c>
      <c r="I283" s="27" t="s">
        <v>83</v>
      </c>
      <c r="J283" s="98" t="s">
        <v>209</v>
      </c>
      <c r="K283" s="28">
        <v>32516</v>
      </c>
      <c r="L283" s="82" t="s">
        <v>179</v>
      </c>
      <c r="M283" s="170">
        <v>43770</v>
      </c>
      <c r="N283" s="25">
        <v>43222</v>
      </c>
      <c r="O283" s="17" t="s">
        <v>34</v>
      </c>
      <c r="P283" s="18" t="s">
        <v>84</v>
      </c>
      <c r="Q283" s="18" t="s">
        <v>181</v>
      </c>
      <c r="R283" s="17" t="s">
        <v>182</v>
      </c>
      <c r="S283" s="13" t="s">
        <v>228</v>
      </c>
      <c r="T283" s="175"/>
      <c r="U283" s="175"/>
      <c r="V283" s="21" t="s">
        <v>200</v>
      </c>
      <c r="W283" s="21" t="s">
        <v>200</v>
      </c>
      <c r="X283" s="1">
        <v>10</v>
      </c>
      <c r="Y283" s="77">
        <v>15768447</v>
      </c>
      <c r="Z283" s="222"/>
      <c r="AA283" s="86">
        <v>1</v>
      </c>
      <c r="AB283" s="223"/>
      <c r="AC283" s="123" t="s">
        <v>138</v>
      </c>
      <c r="AD283" s="218" t="s">
        <v>189</v>
      </c>
      <c r="AE283" s="218"/>
      <c r="AF283" s="219"/>
      <c r="AG283" s="220"/>
      <c r="AH283" s="221"/>
      <c r="AI283" s="221"/>
      <c r="AJ283" s="88" t="s">
        <v>203</v>
      </c>
      <c r="AK283" s="88" t="s">
        <v>190</v>
      </c>
      <c r="AL283" s="88" t="s">
        <v>190</v>
      </c>
      <c r="AM283" s="123" t="s">
        <v>2095</v>
      </c>
      <c r="AN283" s="22">
        <v>182</v>
      </c>
      <c r="AO283" s="22">
        <v>0</v>
      </c>
      <c r="AP283" s="22">
        <v>0</v>
      </c>
      <c r="AQ283" s="22">
        <v>25</v>
      </c>
      <c r="AR283" s="22">
        <v>0</v>
      </c>
      <c r="AS283" s="22">
        <v>7</v>
      </c>
      <c r="AT283" s="22">
        <v>10</v>
      </c>
      <c r="AU283" s="316">
        <f t="shared" si="45"/>
        <v>224</v>
      </c>
      <c r="AV283" s="22">
        <v>190</v>
      </c>
      <c r="AW283" s="22">
        <v>0</v>
      </c>
      <c r="AX283" s="22">
        <v>0</v>
      </c>
      <c r="AY283" s="22">
        <v>25</v>
      </c>
      <c r="AZ283" s="22">
        <v>0</v>
      </c>
      <c r="BA283" s="22">
        <v>7</v>
      </c>
      <c r="BB283" s="22">
        <v>10</v>
      </c>
      <c r="BC283" s="316">
        <f t="shared" si="46"/>
        <v>232</v>
      </c>
      <c r="BD283" s="58">
        <f t="shared" si="47"/>
        <v>8</v>
      </c>
      <c r="BE283" s="58">
        <f t="shared" si="48"/>
        <v>0</v>
      </c>
      <c r="BF283" s="58">
        <f t="shared" si="49"/>
        <v>0</v>
      </c>
      <c r="BG283" s="58">
        <f t="shared" si="50"/>
        <v>0</v>
      </c>
      <c r="BH283" s="58">
        <f t="shared" si="51"/>
        <v>0</v>
      </c>
      <c r="BI283" s="58">
        <f t="shared" si="52"/>
        <v>0</v>
      </c>
      <c r="BJ283" s="58">
        <f t="shared" si="53"/>
        <v>0</v>
      </c>
      <c r="BK283" s="58">
        <f t="shared" si="54"/>
        <v>8</v>
      </c>
    </row>
    <row r="284" spans="1:63" ht="27" customHeight="1">
      <c r="A284" s="13">
        <f t="shared" si="55"/>
        <v>282</v>
      </c>
      <c r="B284" s="14"/>
      <c r="C284" s="10">
        <v>2432</v>
      </c>
      <c r="D284" s="119" t="s">
        <v>2096</v>
      </c>
      <c r="E284" s="217" t="s">
        <v>2097</v>
      </c>
      <c r="F284" s="106" t="s">
        <v>2098</v>
      </c>
      <c r="G284" s="107" t="s">
        <v>2099</v>
      </c>
      <c r="H284" s="26" t="s">
        <v>2100</v>
      </c>
      <c r="I284" s="27" t="s">
        <v>2101</v>
      </c>
      <c r="J284" s="98" t="s">
        <v>178</v>
      </c>
      <c r="K284" s="28">
        <v>30749</v>
      </c>
      <c r="L284" s="82" t="s">
        <v>179</v>
      </c>
      <c r="M284" s="170">
        <v>43770</v>
      </c>
      <c r="N284" s="25">
        <v>43245</v>
      </c>
      <c r="O284" s="17" t="s">
        <v>34</v>
      </c>
      <c r="P284" s="18" t="s">
        <v>636</v>
      </c>
      <c r="Q284" s="18" t="s">
        <v>181</v>
      </c>
      <c r="R284" s="17" t="s">
        <v>182</v>
      </c>
      <c r="S284" s="19" t="s">
        <v>183</v>
      </c>
      <c r="T284" s="175"/>
      <c r="U284" s="175"/>
      <c r="V284" s="21" t="s">
        <v>200</v>
      </c>
      <c r="W284" s="21" t="s">
        <v>200</v>
      </c>
      <c r="X284" s="1">
        <v>3</v>
      </c>
      <c r="Y284" s="77"/>
      <c r="Z284" s="86"/>
      <c r="AA284" s="86">
        <v>1</v>
      </c>
      <c r="AB284" s="86"/>
      <c r="AC284" s="123"/>
      <c r="AD284" s="218"/>
      <c r="AE284" s="218"/>
      <c r="AF284" s="219"/>
      <c r="AG284" s="220"/>
      <c r="AH284" s="221"/>
      <c r="AI284" s="221"/>
      <c r="AJ284" s="88" t="s">
        <v>203</v>
      </c>
      <c r="AK284" s="88" t="s">
        <v>190</v>
      </c>
      <c r="AL284" s="88" t="s">
        <v>190</v>
      </c>
      <c r="AM284" s="123" t="s">
        <v>2102</v>
      </c>
      <c r="AN284" s="22">
        <v>182</v>
      </c>
      <c r="AO284" s="22">
        <v>0</v>
      </c>
      <c r="AP284" s="22">
        <v>0</v>
      </c>
      <c r="AQ284" s="22">
        <v>0</v>
      </c>
      <c r="AR284" s="22">
        <v>0</v>
      </c>
      <c r="AS284" s="22">
        <v>7</v>
      </c>
      <c r="AT284" s="22">
        <v>10</v>
      </c>
      <c r="AU284" s="316">
        <f t="shared" si="45"/>
        <v>199</v>
      </c>
      <c r="AV284" s="22">
        <v>190</v>
      </c>
      <c r="AW284" s="22">
        <v>0</v>
      </c>
      <c r="AX284" s="22">
        <v>0</v>
      </c>
      <c r="AY284" s="22">
        <v>0</v>
      </c>
      <c r="AZ284" s="22">
        <v>0</v>
      </c>
      <c r="BA284" s="22">
        <v>7</v>
      </c>
      <c r="BB284" s="22">
        <v>10</v>
      </c>
      <c r="BC284" s="316">
        <f t="shared" si="46"/>
        <v>207</v>
      </c>
      <c r="BD284" s="58">
        <f t="shared" si="47"/>
        <v>8</v>
      </c>
      <c r="BE284" s="58">
        <f t="shared" si="48"/>
        <v>0</v>
      </c>
      <c r="BF284" s="58">
        <f t="shared" si="49"/>
        <v>0</v>
      </c>
      <c r="BG284" s="58">
        <f t="shared" si="50"/>
        <v>0</v>
      </c>
      <c r="BH284" s="58">
        <f t="shared" si="51"/>
        <v>0</v>
      </c>
      <c r="BI284" s="58">
        <f t="shared" si="52"/>
        <v>0</v>
      </c>
      <c r="BJ284" s="58">
        <f t="shared" si="53"/>
        <v>0</v>
      </c>
      <c r="BK284" s="58">
        <f t="shared" si="54"/>
        <v>8</v>
      </c>
    </row>
    <row r="285" spans="1:63" ht="27" customHeight="1">
      <c r="A285" s="13">
        <f t="shared" si="55"/>
        <v>283</v>
      </c>
      <c r="B285" s="14"/>
      <c r="C285" s="10">
        <v>2431</v>
      </c>
      <c r="D285" s="119" t="s">
        <v>2103</v>
      </c>
      <c r="E285" s="217" t="s">
        <v>2104</v>
      </c>
      <c r="F285" s="106" t="s">
        <v>360</v>
      </c>
      <c r="G285" s="107" t="s">
        <v>2105</v>
      </c>
      <c r="H285" s="26" t="s">
        <v>2106</v>
      </c>
      <c r="I285" s="27" t="s">
        <v>2107</v>
      </c>
      <c r="J285" s="98" t="s">
        <v>178</v>
      </c>
      <c r="K285" s="28">
        <v>36671</v>
      </c>
      <c r="L285" s="82" t="s">
        <v>179</v>
      </c>
      <c r="M285" s="170">
        <v>43770</v>
      </c>
      <c r="N285" s="25">
        <v>43245</v>
      </c>
      <c r="O285" s="17" t="s">
        <v>34</v>
      </c>
      <c r="P285" s="18" t="s">
        <v>636</v>
      </c>
      <c r="Q285" s="18" t="s">
        <v>181</v>
      </c>
      <c r="R285" s="17" t="s">
        <v>182</v>
      </c>
      <c r="S285" s="19" t="s">
        <v>183</v>
      </c>
      <c r="T285" s="175"/>
      <c r="U285" s="175"/>
      <c r="V285" s="21" t="s">
        <v>200</v>
      </c>
      <c r="W285" s="21" t="s">
        <v>200</v>
      </c>
      <c r="X285" s="1">
        <v>3</v>
      </c>
      <c r="Y285" s="77"/>
      <c r="Z285" s="86"/>
      <c r="AA285" s="86">
        <v>1</v>
      </c>
      <c r="AB285" s="86"/>
      <c r="AC285" s="123"/>
      <c r="AD285" s="218"/>
      <c r="AE285" s="218"/>
      <c r="AF285" s="219"/>
      <c r="AG285" s="220"/>
      <c r="AH285" s="221"/>
      <c r="AI285" s="221"/>
      <c r="AJ285" s="88" t="s">
        <v>203</v>
      </c>
      <c r="AK285" s="88" t="s">
        <v>190</v>
      </c>
      <c r="AL285" s="88" t="s">
        <v>190</v>
      </c>
      <c r="AM285" s="123" t="s">
        <v>2102</v>
      </c>
      <c r="AN285" s="22">
        <v>182</v>
      </c>
      <c r="AO285" s="22">
        <v>0</v>
      </c>
      <c r="AP285" s="22">
        <v>0</v>
      </c>
      <c r="AQ285" s="22">
        <v>0</v>
      </c>
      <c r="AR285" s="22">
        <v>0</v>
      </c>
      <c r="AS285" s="22">
        <v>7</v>
      </c>
      <c r="AT285" s="22">
        <v>10</v>
      </c>
      <c r="AU285" s="316">
        <f t="shared" si="45"/>
        <v>199</v>
      </c>
      <c r="AV285" s="22">
        <v>190</v>
      </c>
      <c r="AW285" s="22">
        <v>0</v>
      </c>
      <c r="AX285" s="22">
        <v>0</v>
      </c>
      <c r="AY285" s="22">
        <v>0</v>
      </c>
      <c r="AZ285" s="22">
        <v>0</v>
      </c>
      <c r="BA285" s="22">
        <v>7</v>
      </c>
      <c r="BB285" s="22">
        <v>10</v>
      </c>
      <c r="BC285" s="316">
        <f t="shared" si="46"/>
        <v>207</v>
      </c>
      <c r="BD285" s="58">
        <f t="shared" si="47"/>
        <v>8</v>
      </c>
      <c r="BE285" s="58">
        <f t="shared" si="48"/>
        <v>0</v>
      </c>
      <c r="BF285" s="58">
        <f t="shared" si="49"/>
        <v>0</v>
      </c>
      <c r="BG285" s="58">
        <f t="shared" si="50"/>
        <v>0</v>
      </c>
      <c r="BH285" s="58">
        <f t="shared" si="51"/>
        <v>0</v>
      </c>
      <c r="BI285" s="58">
        <f t="shared" si="52"/>
        <v>0</v>
      </c>
      <c r="BJ285" s="58">
        <f t="shared" si="53"/>
        <v>0</v>
      </c>
      <c r="BK285" s="58">
        <f t="shared" si="54"/>
        <v>8</v>
      </c>
    </row>
    <row r="286" spans="1:63" ht="27" customHeight="1">
      <c r="A286" s="13">
        <f t="shared" si="55"/>
        <v>284</v>
      </c>
      <c r="B286" s="14"/>
      <c r="C286" s="10">
        <v>2437</v>
      </c>
      <c r="D286" s="119" t="s">
        <v>2108</v>
      </c>
      <c r="E286" s="217" t="s">
        <v>2109</v>
      </c>
      <c r="F286" s="106" t="s">
        <v>322</v>
      </c>
      <c r="G286" s="107" t="s">
        <v>897</v>
      </c>
      <c r="H286" s="26" t="s">
        <v>324</v>
      </c>
      <c r="I286" s="27" t="s">
        <v>2110</v>
      </c>
      <c r="J286" s="98" t="s">
        <v>178</v>
      </c>
      <c r="K286" s="28">
        <v>30483</v>
      </c>
      <c r="L286" s="82" t="s">
        <v>179</v>
      </c>
      <c r="M286" s="224">
        <v>43800</v>
      </c>
      <c r="N286" s="25">
        <v>43264</v>
      </c>
      <c r="O286" s="25" t="s">
        <v>34</v>
      </c>
      <c r="P286" s="18" t="s">
        <v>386</v>
      </c>
      <c r="Q286" s="18" t="s">
        <v>181</v>
      </c>
      <c r="R286" s="13" t="s">
        <v>182</v>
      </c>
      <c r="S286" s="17" t="s">
        <v>228</v>
      </c>
      <c r="T286" s="175"/>
      <c r="U286" s="175"/>
      <c r="V286" s="175" t="s">
        <v>200</v>
      </c>
      <c r="W286" s="21" t="s">
        <v>200</v>
      </c>
      <c r="X286" s="21"/>
      <c r="Y286" s="176">
        <v>976721396</v>
      </c>
      <c r="Z286" s="225"/>
      <c r="AA286" s="86" t="s">
        <v>186</v>
      </c>
      <c r="AB286" s="86"/>
      <c r="AC286" s="86"/>
      <c r="AD286" s="123" t="s">
        <v>188</v>
      </c>
      <c r="AE286" s="218" t="s">
        <v>188</v>
      </c>
      <c r="AF286" s="218"/>
      <c r="AG286" s="219"/>
      <c r="AH286" s="220"/>
      <c r="AI286" s="221"/>
      <c r="AJ286" s="223" t="s">
        <v>203</v>
      </c>
      <c r="AK286" s="88" t="s">
        <v>190</v>
      </c>
      <c r="AL286" s="88" t="s">
        <v>190</v>
      </c>
      <c r="AM286" s="88" t="s">
        <v>1234</v>
      </c>
      <c r="AN286" s="22">
        <v>182</v>
      </c>
      <c r="AO286" s="22">
        <v>0</v>
      </c>
      <c r="AP286" s="22">
        <v>0</v>
      </c>
      <c r="AQ286" s="22">
        <v>10</v>
      </c>
      <c r="AR286" s="22">
        <v>0</v>
      </c>
      <c r="AS286" s="22">
        <v>7</v>
      </c>
      <c r="AT286" s="22">
        <v>10</v>
      </c>
      <c r="AU286" s="316">
        <f t="shared" si="45"/>
        <v>209</v>
      </c>
      <c r="AV286" s="22">
        <v>190</v>
      </c>
      <c r="AW286" s="22">
        <v>0</v>
      </c>
      <c r="AX286" s="22">
        <v>0</v>
      </c>
      <c r="AY286" s="22">
        <v>10</v>
      </c>
      <c r="AZ286" s="22">
        <v>0</v>
      </c>
      <c r="BA286" s="22">
        <v>7</v>
      </c>
      <c r="BB286" s="22">
        <v>10</v>
      </c>
      <c r="BC286" s="316">
        <f t="shared" si="46"/>
        <v>217</v>
      </c>
      <c r="BD286" s="58">
        <f t="shared" si="47"/>
        <v>8</v>
      </c>
      <c r="BE286" s="58">
        <f t="shared" si="48"/>
        <v>0</v>
      </c>
      <c r="BF286" s="58">
        <f t="shared" si="49"/>
        <v>0</v>
      </c>
      <c r="BG286" s="58">
        <f t="shared" si="50"/>
        <v>0</v>
      </c>
      <c r="BH286" s="58">
        <f t="shared" si="51"/>
        <v>0</v>
      </c>
      <c r="BI286" s="58">
        <f t="shared" si="52"/>
        <v>0</v>
      </c>
      <c r="BJ286" s="58">
        <f t="shared" si="53"/>
        <v>0</v>
      </c>
      <c r="BK286" s="58">
        <f t="shared" si="54"/>
        <v>8</v>
      </c>
    </row>
    <row r="287" spans="1:63" ht="27" customHeight="1">
      <c r="A287" s="13">
        <f t="shared" si="55"/>
        <v>285</v>
      </c>
      <c r="B287" s="14"/>
      <c r="C287" s="10">
        <v>2435</v>
      </c>
      <c r="D287" s="119" t="s">
        <v>2111</v>
      </c>
      <c r="E287" s="217" t="s">
        <v>2112</v>
      </c>
      <c r="F287" s="106" t="s">
        <v>1796</v>
      </c>
      <c r="G287" s="107" t="s">
        <v>1641</v>
      </c>
      <c r="H287" s="26" t="s">
        <v>2113</v>
      </c>
      <c r="I287" s="27" t="s">
        <v>2114</v>
      </c>
      <c r="J287" s="98" t="s">
        <v>178</v>
      </c>
      <c r="K287" s="28">
        <v>32785</v>
      </c>
      <c r="L287" s="82" t="s">
        <v>179</v>
      </c>
      <c r="M287" s="224">
        <v>43800</v>
      </c>
      <c r="N287" s="25">
        <v>43263</v>
      </c>
      <c r="O287" s="25" t="s">
        <v>34</v>
      </c>
      <c r="P287" s="18" t="s">
        <v>386</v>
      </c>
      <c r="Q287" s="18" t="s">
        <v>181</v>
      </c>
      <c r="R287" s="13" t="s">
        <v>182</v>
      </c>
      <c r="S287" s="19" t="s">
        <v>211</v>
      </c>
      <c r="T287" s="175"/>
      <c r="U287" s="175"/>
      <c r="V287" s="175" t="s">
        <v>200</v>
      </c>
      <c r="W287" s="21" t="s">
        <v>200</v>
      </c>
      <c r="X287" s="21"/>
      <c r="Y287" s="176">
        <v>965279787</v>
      </c>
      <c r="Z287" s="225"/>
      <c r="AA287" s="86" t="s">
        <v>186</v>
      </c>
      <c r="AB287" s="86"/>
      <c r="AC287" s="86"/>
      <c r="AD287" s="123" t="s">
        <v>188</v>
      </c>
      <c r="AE287" s="218" t="s">
        <v>188</v>
      </c>
      <c r="AF287" s="218"/>
      <c r="AG287" s="219"/>
      <c r="AH287" s="220"/>
      <c r="AI287" s="221"/>
      <c r="AJ287" s="223" t="s">
        <v>203</v>
      </c>
      <c r="AK287" s="88" t="s">
        <v>190</v>
      </c>
      <c r="AL287" s="88" t="s">
        <v>190</v>
      </c>
      <c r="AM287" s="88" t="s">
        <v>1234</v>
      </c>
      <c r="AN287" s="22">
        <v>182</v>
      </c>
      <c r="AO287" s="22">
        <v>0</v>
      </c>
      <c r="AP287" s="22">
        <v>0</v>
      </c>
      <c r="AQ287" s="22">
        <v>0</v>
      </c>
      <c r="AR287" s="22">
        <v>0</v>
      </c>
      <c r="AS287" s="22">
        <v>7</v>
      </c>
      <c r="AT287" s="22">
        <v>10</v>
      </c>
      <c r="AU287" s="316">
        <f t="shared" si="45"/>
        <v>199</v>
      </c>
      <c r="AV287" s="22">
        <v>190</v>
      </c>
      <c r="AW287" s="22">
        <v>0</v>
      </c>
      <c r="AX287" s="22">
        <v>0</v>
      </c>
      <c r="AY287" s="22">
        <v>0</v>
      </c>
      <c r="AZ287" s="22">
        <v>0</v>
      </c>
      <c r="BA287" s="22">
        <v>7</v>
      </c>
      <c r="BB287" s="22">
        <v>10</v>
      </c>
      <c r="BC287" s="316">
        <f t="shared" si="46"/>
        <v>207</v>
      </c>
      <c r="BD287" s="58">
        <f t="shared" si="47"/>
        <v>8</v>
      </c>
      <c r="BE287" s="58">
        <f t="shared" si="48"/>
        <v>0</v>
      </c>
      <c r="BF287" s="58">
        <f t="shared" si="49"/>
        <v>0</v>
      </c>
      <c r="BG287" s="58">
        <f t="shared" si="50"/>
        <v>0</v>
      </c>
      <c r="BH287" s="58">
        <f t="shared" si="51"/>
        <v>0</v>
      </c>
      <c r="BI287" s="58">
        <f t="shared" si="52"/>
        <v>0</v>
      </c>
      <c r="BJ287" s="58">
        <f t="shared" si="53"/>
        <v>0</v>
      </c>
      <c r="BK287" s="58">
        <f t="shared" si="54"/>
        <v>8</v>
      </c>
    </row>
    <row r="288" spans="1:63" ht="27" customHeight="1">
      <c r="A288" s="13">
        <f t="shared" si="55"/>
        <v>286</v>
      </c>
      <c r="B288" s="14"/>
      <c r="C288" s="10">
        <v>2444</v>
      </c>
      <c r="D288" s="119" t="s">
        <v>2115</v>
      </c>
      <c r="E288" s="217" t="s">
        <v>2116</v>
      </c>
      <c r="F288" s="106" t="s">
        <v>2117</v>
      </c>
      <c r="G288" s="107" t="s">
        <v>2118</v>
      </c>
      <c r="H288" s="26" t="s">
        <v>32</v>
      </c>
      <c r="I288" s="27" t="s">
        <v>33</v>
      </c>
      <c r="J288" s="98" t="s">
        <v>178</v>
      </c>
      <c r="K288" s="28">
        <v>26613</v>
      </c>
      <c r="L288" s="82" t="s">
        <v>179</v>
      </c>
      <c r="M288" s="25">
        <v>43647</v>
      </c>
      <c r="N288" s="25">
        <v>43273</v>
      </c>
      <c r="O288" s="25" t="s">
        <v>34</v>
      </c>
      <c r="P288" s="18" t="s">
        <v>15</v>
      </c>
      <c r="Q288" s="18" t="s">
        <v>181</v>
      </c>
      <c r="R288" s="13" t="s">
        <v>182</v>
      </c>
      <c r="S288" s="17" t="s">
        <v>228</v>
      </c>
      <c r="T288" s="175"/>
      <c r="U288" s="175"/>
      <c r="V288" s="175" t="s">
        <v>200</v>
      </c>
      <c r="W288" s="21" t="s">
        <v>200</v>
      </c>
      <c r="X288" s="21"/>
      <c r="Y288" s="176">
        <v>968309346</v>
      </c>
      <c r="Z288" s="225" t="s">
        <v>186</v>
      </c>
      <c r="AA288" s="86"/>
      <c r="AB288" s="86"/>
      <c r="AC288" s="86"/>
      <c r="AD288" s="123" t="s">
        <v>187</v>
      </c>
      <c r="AE288" s="218" t="s">
        <v>187</v>
      </c>
      <c r="AF288" s="218" t="s">
        <v>188</v>
      </c>
      <c r="AG288" s="219"/>
      <c r="AH288" s="220"/>
      <c r="AI288" s="221"/>
      <c r="AJ288" s="223" t="s">
        <v>203</v>
      </c>
      <c r="AK288" s="88" t="s">
        <v>190</v>
      </c>
      <c r="AL288" s="88" t="s">
        <v>190</v>
      </c>
      <c r="AM288" s="88" t="s">
        <v>1234</v>
      </c>
      <c r="AN288" s="22">
        <v>182</v>
      </c>
      <c r="AO288" s="22">
        <v>0</v>
      </c>
      <c r="AP288" s="22">
        <v>0</v>
      </c>
      <c r="AQ288" s="22">
        <v>0</v>
      </c>
      <c r="AR288" s="22">
        <v>0</v>
      </c>
      <c r="AS288" s="22">
        <v>7</v>
      </c>
      <c r="AT288" s="22">
        <v>10</v>
      </c>
      <c r="AU288" s="316">
        <f t="shared" si="45"/>
        <v>199</v>
      </c>
      <c r="AV288" s="22">
        <v>190</v>
      </c>
      <c r="AW288" s="22">
        <v>0</v>
      </c>
      <c r="AX288" s="22">
        <v>0</v>
      </c>
      <c r="AY288" s="22">
        <v>0</v>
      </c>
      <c r="AZ288" s="22">
        <v>0</v>
      </c>
      <c r="BA288" s="22">
        <v>7</v>
      </c>
      <c r="BB288" s="22">
        <v>10</v>
      </c>
      <c r="BC288" s="316">
        <f t="shared" si="46"/>
        <v>207</v>
      </c>
      <c r="BD288" s="58">
        <f t="shared" si="47"/>
        <v>8</v>
      </c>
      <c r="BE288" s="58">
        <f t="shared" si="48"/>
        <v>0</v>
      </c>
      <c r="BF288" s="58">
        <f t="shared" si="49"/>
        <v>0</v>
      </c>
      <c r="BG288" s="58">
        <f t="shared" si="50"/>
        <v>0</v>
      </c>
      <c r="BH288" s="58">
        <f t="shared" si="51"/>
        <v>0</v>
      </c>
      <c r="BI288" s="58">
        <f t="shared" si="52"/>
        <v>0</v>
      </c>
      <c r="BJ288" s="58">
        <f t="shared" si="53"/>
        <v>0</v>
      </c>
      <c r="BK288" s="58">
        <f t="shared" si="54"/>
        <v>8</v>
      </c>
    </row>
    <row r="289" spans="1:63" ht="27" customHeight="1">
      <c r="A289" s="13">
        <f t="shared" si="55"/>
        <v>287</v>
      </c>
      <c r="B289" s="14"/>
      <c r="C289" s="10">
        <v>2448</v>
      </c>
      <c r="D289" s="119" t="s">
        <v>2119</v>
      </c>
      <c r="E289" s="217" t="s">
        <v>296</v>
      </c>
      <c r="F289" s="106" t="s">
        <v>2120</v>
      </c>
      <c r="G289" s="107" t="s">
        <v>791</v>
      </c>
      <c r="H289" s="26" t="s">
        <v>2121</v>
      </c>
      <c r="I289" s="27" t="s">
        <v>2122</v>
      </c>
      <c r="J289" s="98" t="s">
        <v>178</v>
      </c>
      <c r="K289" s="28">
        <v>36068</v>
      </c>
      <c r="L289" s="82" t="s">
        <v>179</v>
      </c>
      <c r="M289" s="25">
        <v>43647</v>
      </c>
      <c r="N289" s="25">
        <v>43273</v>
      </c>
      <c r="O289" s="25" t="s">
        <v>34</v>
      </c>
      <c r="P289" s="18" t="s">
        <v>27</v>
      </c>
      <c r="Q289" s="18" t="s">
        <v>181</v>
      </c>
      <c r="R289" s="13" t="s">
        <v>182</v>
      </c>
      <c r="S289" s="17" t="s">
        <v>503</v>
      </c>
      <c r="T289" s="175"/>
      <c r="U289" s="175"/>
      <c r="V289" s="175" t="s">
        <v>200</v>
      </c>
      <c r="W289" s="21" t="s">
        <v>200</v>
      </c>
      <c r="X289" s="21"/>
      <c r="Y289" s="176">
        <v>962097751</v>
      </c>
      <c r="Z289" s="225"/>
      <c r="AA289" s="86"/>
      <c r="AB289" s="86"/>
      <c r="AC289" s="86"/>
      <c r="AD289" s="123"/>
      <c r="AE289" s="218"/>
      <c r="AF289" s="218"/>
      <c r="AG289" s="219"/>
      <c r="AH289" s="220"/>
      <c r="AI289" s="221"/>
      <c r="AJ289" s="223" t="s">
        <v>203</v>
      </c>
      <c r="AK289" s="88" t="s">
        <v>190</v>
      </c>
      <c r="AL289" s="88" t="s">
        <v>190</v>
      </c>
      <c r="AM289" s="88" t="s">
        <v>1234</v>
      </c>
      <c r="AN289" s="22">
        <v>182</v>
      </c>
      <c r="AO289" s="22">
        <v>0</v>
      </c>
      <c r="AP289" s="22">
        <v>0</v>
      </c>
      <c r="AQ289" s="22">
        <v>0</v>
      </c>
      <c r="AR289" s="22">
        <v>0</v>
      </c>
      <c r="AS289" s="22">
        <v>7</v>
      </c>
      <c r="AT289" s="22">
        <v>10</v>
      </c>
      <c r="AU289" s="316">
        <f t="shared" si="45"/>
        <v>199</v>
      </c>
      <c r="AV289" s="22">
        <v>190</v>
      </c>
      <c r="AW289" s="22">
        <v>0</v>
      </c>
      <c r="AX289" s="22">
        <v>0</v>
      </c>
      <c r="AY289" s="22">
        <v>0</v>
      </c>
      <c r="AZ289" s="22">
        <v>0</v>
      </c>
      <c r="BA289" s="22">
        <v>7</v>
      </c>
      <c r="BB289" s="22">
        <v>10</v>
      </c>
      <c r="BC289" s="316">
        <f t="shared" si="46"/>
        <v>207</v>
      </c>
      <c r="BD289" s="58">
        <f t="shared" si="47"/>
        <v>8</v>
      </c>
      <c r="BE289" s="58">
        <f t="shared" si="48"/>
        <v>0</v>
      </c>
      <c r="BF289" s="58">
        <f t="shared" si="49"/>
        <v>0</v>
      </c>
      <c r="BG289" s="58">
        <f t="shared" si="50"/>
        <v>0</v>
      </c>
      <c r="BH289" s="58">
        <f t="shared" si="51"/>
        <v>0</v>
      </c>
      <c r="BI289" s="58">
        <f t="shared" si="52"/>
        <v>0</v>
      </c>
      <c r="BJ289" s="58">
        <f t="shared" si="53"/>
        <v>0</v>
      </c>
      <c r="BK289" s="58">
        <f t="shared" si="54"/>
        <v>8</v>
      </c>
    </row>
    <row r="290" spans="1:63" ht="27" customHeight="1">
      <c r="A290" s="13">
        <f t="shared" si="55"/>
        <v>288</v>
      </c>
      <c r="B290" s="14"/>
      <c r="C290" s="10">
        <v>2451</v>
      </c>
      <c r="D290" s="119" t="s">
        <v>2123</v>
      </c>
      <c r="E290" s="217" t="s">
        <v>2124</v>
      </c>
      <c r="F290" s="106" t="s">
        <v>716</v>
      </c>
      <c r="G290" s="107" t="s">
        <v>2125</v>
      </c>
      <c r="H290" s="26" t="s">
        <v>2126</v>
      </c>
      <c r="I290" s="27" t="s">
        <v>2127</v>
      </c>
      <c r="J290" s="98" t="s">
        <v>178</v>
      </c>
      <c r="K290" s="28">
        <v>32725</v>
      </c>
      <c r="L290" s="82" t="s">
        <v>179</v>
      </c>
      <c r="M290" s="25">
        <v>43647</v>
      </c>
      <c r="N290" s="25">
        <v>43277</v>
      </c>
      <c r="O290" s="25" t="s">
        <v>34</v>
      </c>
      <c r="P290" s="18" t="s">
        <v>309</v>
      </c>
      <c r="Q290" s="18" t="s">
        <v>181</v>
      </c>
      <c r="R290" s="13" t="s">
        <v>182</v>
      </c>
      <c r="S290" s="17" t="s">
        <v>228</v>
      </c>
      <c r="T290" s="175"/>
      <c r="U290" s="175"/>
      <c r="V290" s="175" t="s">
        <v>200</v>
      </c>
      <c r="W290" s="21" t="s">
        <v>200</v>
      </c>
      <c r="X290" s="21">
        <v>8</v>
      </c>
      <c r="Y290" s="176"/>
      <c r="Z290" s="225"/>
      <c r="AA290" s="86"/>
      <c r="AB290" s="86"/>
      <c r="AC290" s="86"/>
      <c r="AD290" s="123"/>
      <c r="AE290" s="218"/>
      <c r="AF290" s="218"/>
      <c r="AG290" s="219"/>
      <c r="AH290" s="220"/>
      <c r="AI290" s="221"/>
      <c r="AJ290" s="223" t="s">
        <v>203</v>
      </c>
      <c r="AK290" s="88" t="s">
        <v>190</v>
      </c>
      <c r="AL290" s="88" t="s">
        <v>190</v>
      </c>
      <c r="AM290" s="88" t="s">
        <v>1234</v>
      </c>
      <c r="AN290" s="22">
        <v>182</v>
      </c>
      <c r="AO290" s="22">
        <v>0</v>
      </c>
      <c r="AP290" s="22">
        <v>0</v>
      </c>
      <c r="AQ290" s="22">
        <v>10</v>
      </c>
      <c r="AR290" s="22">
        <v>0</v>
      </c>
      <c r="AS290" s="22">
        <v>7</v>
      </c>
      <c r="AT290" s="22">
        <v>10</v>
      </c>
      <c r="AU290" s="316">
        <f t="shared" si="45"/>
        <v>209</v>
      </c>
      <c r="AV290" s="22">
        <v>190</v>
      </c>
      <c r="AW290" s="22">
        <v>0</v>
      </c>
      <c r="AX290" s="22">
        <v>0</v>
      </c>
      <c r="AY290" s="22">
        <v>10</v>
      </c>
      <c r="AZ290" s="22">
        <v>0</v>
      </c>
      <c r="BA290" s="22">
        <v>7</v>
      </c>
      <c r="BB290" s="22">
        <v>10</v>
      </c>
      <c r="BC290" s="316">
        <f t="shared" si="46"/>
        <v>217</v>
      </c>
      <c r="BD290" s="58">
        <f t="shared" si="47"/>
        <v>8</v>
      </c>
      <c r="BE290" s="58">
        <f t="shared" si="48"/>
        <v>0</v>
      </c>
      <c r="BF290" s="58">
        <f t="shared" si="49"/>
        <v>0</v>
      </c>
      <c r="BG290" s="58">
        <f t="shared" si="50"/>
        <v>0</v>
      </c>
      <c r="BH290" s="58">
        <f t="shared" si="51"/>
        <v>0</v>
      </c>
      <c r="BI290" s="58">
        <f t="shared" si="52"/>
        <v>0</v>
      </c>
      <c r="BJ290" s="58">
        <f t="shared" si="53"/>
        <v>0</v>
      </c>
      <c r="BK290" s="58">
        <f t="shared" si="54"/>
        <v>8</v>
      </c>
    </row>
    <row r="291" spans="1:63" ht="27" customHeight="1">
      <c r="A291" s="13">
        <f t="shared" si="55"/>
        <v>289</v>
      </c>
      <c r="B291" s="14"/>
      <c r="C291" s="10">
        <v>2469</v>
      </c>
      <c r="D291" s="119" t="s">
        <v>2128</v>
      </c>
      <c r="E291" s="217" t="s">
        <v>2129</v>
      </c>
      <c r="F291" s="106" t="s">
        <v>2130</v>
      </c>
      <c r="G291" s="107" t="s">
        <v>413</v>
      </c>
      <c r="H291" s="26" t="s">
        <v>2131</v>
      </c>
      <c r="I291" s="27" t="s">
        <v>2132</v>
      </c>
      <c r="J291" s="98" t="s">
        <v>178</v>
      </c>
      <c r="K291" s="28">
        <v>30170</v>
      </c>
      <c r="L291" s="82" t="s">
        <v>179</v>
      </c>
      <c r="M291" s="25">
        <v>43647</v>
      </c>
      <c r="N291" s="25">
        <v>43287</v>
      </c>
      <c r="O291" s="25" t="s">
        <v>34</v>
      </c>
      <c r="P291" s="18" t="s">
        <v>301</v>
      </c>
      <c r="Q291" s="18" t="s">
        <v>181</v>
      </c>
      <c r="R291" s="13" t="s">
        <v>182</v>
      </c>
      <c r="S291" s="13" t="s">
        <v>219</v>
      </c>
      <c r="T291" s="175"/>
      <c r="U291" s="175"/>
      <c r="V291" s="21" t="s">
        <v>200</v>
      </c>
      <c r="W291" s="21" t="s">
        <v>200</v>
      </c>
      <c r="X291" s="1">
        <v>6</v>
      </c>
      <c r="Y291" s="77" t="s">
        <v>2133</v>
      </c>
      <c r="Z291" s="86"/>
      <c r="AA291" s="86" t="s">
        <v>186</v>
      </c>
      <c r="AB291" s="86"/>
      <c r="AC291" s="123"/>
      <c r="AD291" s="218" t="s">
        <v>188</v>
      </c>
      <c r="AE291" s="218"/>
      <c r="AF291" s="219"/>
      <c r="AG291" s="220"/>
      <c r="AH291" s="221"/>
      <c r="AI291" s="221"/>
      <c r="AJ291" s="223" t="s">
        <v>203</v>
      </c>
      <c r="AK291" s="88" t="s">
        <v>190</v>
      </c>
      <c r="AL291" s="88" t="s">
        <v>190</v>
      </c>
      <c r="AM291" s="88" t="s">
        <v>1234</v>
      </c>
      <c r="AN291" s="22">
        <v>182</v>
      </c>
      <c r="AO291" s="22">
        <v>0</v>
      </c>
      <c r="AP291" s="22">
        <v>0</v>
      </c>
      <c r="AQ291" s="22">
        <v>0</v>
      </c>
      <c r="AR291" s="22">
        <v>0</v>
      </c>
      <c r="AS291" s="22">
        <v>7</v>
      </c>
      <c r="AT291" s="22">
        <v>10</v>
      </c>
      <c r="AU291" s="316">
        <f t="shared" si="45"/>
        <v>199</v>
      </c>
      <c r="AV291" s="22">
        <v>190</v>
      </c>
      <c r="AW291" s="22">
        <v>0</v>
      </c>
      <c r="AX291" s="22">
        <v>0</v>
      </c>
      <c r="AY291" s="22">
        <v>0</v>
      </c>
      <c r="AZ291" s="22">
        <v>0</v>
      </c>
      <c r="BA291" s="22">
        <v>7</v>
      </c>
      <c r="BB291" s="22">
        <v>10</v>
      </c>
      <c r="BC291" s="316">
        <f t="shared" si="46"/>
        <v>207</v>
      </c>
      <c r="BD291" s="58">
        <f t="shared" si="47"/>
        <v>8</v>
      </c>
      <c r="BE291" s="58">
        <f t="shared" si="48"/>
        <v>0</v>
      </c>
      <c r="BF291" s="58">
        <f t="shared" si="49"/>
        <v>0</v>
      </c>
      <c r="BG291" s="58">
        <f t="shared" si="50"/>
        <v>0</v>
      </c>
      <c r="BH291" s="58">
        <f t="shared" si="51"/>
        <v>0</v>
      </c>
      <c r="BI291" s="58">
        <f t="shared" si="52"/>
        <v>0</v>
      </c>
      <c r="BJ291" s="58">
        <f t="shared" si="53"/>
        <v>0</v>
      </c>
      <c r="BK291" s="58">
        <f t="shared" si="54"/>
        <v>8</v>
      </c>
    </row>
    <row r="292" spans="1:63" ht="27" customHeight="1">
      <c r="A292" s="13">
        <f t="shared" si="55"/>
        <v>290</v>
      </c>
      <c r="B292" s="14"/>
      <c r="C292" s="10">
        <v>2478</v>
      </c>
      <c r="D292" s="119" t="s">
        <v>2134</v>
      </c>
      <c r="E292" s="217" t="s">
        <v>2135</v>
      </c>
      <c r="F292" s="106" t="s">
        <v>1763</v>
      </c>
      <c r="G292" s="107" t="s">
        <v>1298</v>
      </c>
      <c r="H292" s="26" t="s">
        <v>2136</v>
      </c>
      <c r="I292" s="27" t="s">
        <v>2137</v>
      </c>
      <c r="J292" s="98" t="s">
        <v>178</v>
      </c>
      <c r="K292" s="28">
        <v>29373</v>
      </c>
      <c r="L292" s="82" t="s">
        <v>179</v>
      </c>
      <c r="M292" s="25">
        <v>43678</v>
      </c>
      <c r="N292" s="25">
        <v>43299</v>
      </c>
      <c r="O292" s="25" t="s">
        <v>34</v>
      </c>
      <c r="P292" s="18" t="s">
        <v>386</v>
      </c>
      <c r="Q292" s="18" t="s">
        <v>181</v>
      </c>
      <c r="R292" s="13" t="s">
        <v>182</v>
      </c>
      <c r="S292" s="19" t="s">
        <v>256</v>
      </c>
      <c r="T292" s="175"/>
      <c r="U292" s="175"/>
      <c r="V292" s="21" t="s">
        <v>200</v>
      </c>
      <c r="W292" s="21" t="s">
        <v>200</v>
      </c>
      <c r="X292" s="1">
        <v>5</v>
      </c>
      <c r="Y292" s="77" t="s">
        <v>2138</v>
      </c>
      <c r="Z292" s="86"/>
      <c r="AA292" s="86" t="s">
        <v>186</v>
      </c>
      <c r="AB292" s="86"/>
      <c r="AC292" s="123"/>
      <c r="AD292" s="218" t="s">
        <v>189</v>
      </c>
      <c r="AE292" s="218"/>
      <c r="AF292" s="219"/>
      <c r="AG292" s="220"/>
      <c r="AH292" s="221"/>
      <c r="AI292" s="221"/>
      <c r="AJ292" s="223" t="s">
        <v>203</v>
      </c>
      <c r="AK292" s="88" t="s">
        <v>190</v>
      </c>
      <c r="AL292" s="88" t="s">
        <v>190</v>
      </c>
      <c r="AM292" s="88" t="s">
        <v>1514</v>
      </c>
      <c r="AN292" s="22">
        <v>182</v>
      </c>
      <c r="AO292" s="22">
        <v>0</v>
      </c>
      <c r="AP292" s="22">
        <v>0</v>
      </c>
      <c r="AQ292" s="22">
        <v>0</v>
      </c>
      <c r="AR292" s="22">
        <v>0</v>
      </c>
      <c r="AS292" s="22">
        <v>7</v>
      </c>
      <c r="AT292" s="22">
        <v>10</v>
      </c>
      <c r="AU292" s="316">
        <f t="shared" si="45"/>
        <v>199</v>
      </c>
      <c r="AV292" s="22">
        <v>190</v>
      </c>
      <c r="AW292" s="22">
        <v>0</v>
      </c>
      <c r="AX292" s="22">
        <v>0</v>
      </c>
      <c r="AY292" s="22">
        <v>0</v>
      </c>
      <c r="AZ292" s="22">
        <v>0</v>
      </c>
      <c r="BA292" s="22">
        <v>7</v>
      </c>
      <c r="BB292" s="22">
        <v>10</v>
      </c>
      <c r="BC292" s="316">
        <f t="shared" si="46"/>
        <v>207</v>
      </c>
      <c r="BD292" s="58">
        <f t="shared" si="47"/>
        <v>8</v>
      </c>
      <c r="BE292" s="58">
        <f t="shared" si="48"/>
        <v>0</v>
      </c>
      <c r="BF292" s="58">
        <f t="shared" si="49"/>
        <v>0</v>
      </c>
      <c r="BG292" s="58">
        <f t="shared" si="50"/>
        <v>0</v>
      </c>
      <c r="BH292" s="58">
        <f t="shared" si="51"/>
        <v>0</v>
      </c>
      <c r="BI292" s="58">
        <f t="shared" si="52"/>
        <v>0</v>
      </c>
      <c r="BJ292" s="58">
        <f t="shared" si="53"/>
        <v>0</v>
      </c>
      <c r="BK292" s="58">
        <f t="shared" si="54"/>
        <v>8</v>
      </c>
    </row>
    <row r="293" spans="1:63" ht="27" customHeight="1">
      <c r="A293" s="13">
        <f t="shared" si="55"/>
        <v>291</v>
      </c>
      <c r="B293" s="14"/>
      <c r="C293" s="10">
        <v>2480</v>
      </c>
      <c r="D293" s="119" t="s">
        <v>2139</v>
      </c>
      <c r="E293" s="217" t="s">
        <v>2140</v>
      </c>
      <c r="F293" s="106" t="s">
        <v>2141</v>
      </c>
      <c r="G293" s="107" t="s">
        <v>2142</v>
      </c>
      <c r="H293" s="26" t="s">
        <v>2143</v>
      </c>
      <c r="I293" s="27" t="s">
        <v>2144</v>
      </c>
      <c r="J293" s="98" t="s">
        <v>178</v>
      </c>
      <c r="K293" s="28">
        <v>35888</v>
      </c>
      <c r="L293" s="82" t="s">
        <v>179</v>
      </c>
      <c r="M293" s="25">
        <v>43678</v>
      </c>
      <c r="N293" s="25">
        <v>43299</v>
      </c>
      <c r="O293" s="25" t="s">
        <v>26</v>
      </c>
      <c r="P293" s="18" t="s">
        <v>27</v>
      </c>
      <c r="Q293" s="18" t="s">
        <v>181</v>
      </c>
      <c r="R293" s="13" t="s">
        <v>182</v>
      </c>
      <c r="S293" s="19" t="s">
        <v>256</v>
      </c>
      <c r="T293" s="175"/>
      <c r="U293" s="175"/>
      <c r="V293" s="21" t="s">
        <v>200</v>
      </c>
      <c r="W293" s="21" t="s">
        <v>200</v>
      </c>
      <c r="X293" s="1">
        <v>8</v>
      </c>
      <c r="Y293" s="77" t="s">
        <v>2145</v>
      </c>
      <c r="Z293" s="86"/>
      <c r="AA293" s="86" t="s">
        <v>186</v>
      </c>
      <c r="AB293" s="86"/>
      <c r="AC293" s="123"/>
      <c r="AD293" s="218"/>
      <c r="AE293" s="218"/>
      <c r="AF293" s="219"/>
      <c r="AG293" s="220"/>
      <c r="AH293" s="221"/>
      <c r="AI293" s="221"/>
      <c r="AJ293" s="223" t="s">
        <v>203</v>
      </c>
      <c r="AK293" s="88" t="s">
        <v>190</v>
      </c>
      <c r="AL293" s="88" t="s">
        <v>190</v>
      </c>
      <c r="AM293" s="88" t="s">
        <v>1539</v>
      </c>
      <c r="AN293" s="22">
        <v>182</v>
      </c>
      <c r="AO293" s="22">
        <v>0</v>
      </c>
      <c r="AP293" s="22">
        <v>0</v>
      </c>
      <c r="AQ293" s="22">
        <v>0</v>
      </c>
      <c r="AR293" s="22">
        <v>0</v>
      </c>
      <c r="AS293" s="22">
        <v>7</v>
      </c>
      <c r="AT293" s="22">
        <v>10</v>
      </c>
      <c r="AU293" s="316">
        <f t="shared" si="45"/>
        <v>199</v>
      </c>
      <c r="AV293" s="22">
        <v>190</v>
      </c>
      <c r="AW293" s="22">
        <v>0</v>
      </c>
      <c r="AX293" s="22">
        <v>0</v>
      </c>
      <c r="AY293" s="22">
        <v>0</v>
      </c>
      <c r="AZ293" s="22">
        <v>0</v>
      </c>
      <c r="BA293" s="22">
        <v>7</v>
      </c>
      <c r="BB293" s="22">
        <v>10</v>
      </c>
      <c r="BC293" s="316">
        <f t="shared" si="46"/>
        <v>207</v>
      </c>
      <c r="BD293" s="58">
        <f t="shared" si="47"/>
        <v>8</v>
      </c>
      <c r="BE293" s="58">
        <f t="shared" si="48"/>
        <v>0</v>
      </c>
      <c r="BF293" s="58">
        <f t="shared" si="49"/>
        <v>0</v>
      </c>
      <c r="BG293" s="58">
        <f t="shared" si="50"/>
        <v>0</v>
      </c>
      <c r="BH293" s="58">
        <f t="shared" si="51"/>
        <v>0</v>
      </c>
      <c r="BI293" s="58">
        <f t="shared" si="52"/>
        <v>0</v>
      </c>
      <c r="BJ293" s="58">
        <f t="shared" si="53"/>
        <v>0</v>
      </c>
      <c r="BK293" s="58">
        <f t="shared" si="54"/>
        <v>8</v>
      </c>
    </row>
    <row r="294" spans="1:63" ht="27" customHeight="1">
      <c r="A294" s="13">
        <f t="shared" si="55"/>
        <v>292</v>
      </c>
      <c r="B294" s="10"/>
      <c r="C294" s="10">
        <v>2481</v>
      </c>
      <c r="D294" s="211" t="s">
        <v>2146</v>
      </c>
      <c r="E294" s="213" t="s">
        <v>2147</v>
      </c>
      <c r="F294" s="78" t="s">
        <v>420</v>
      </c>
      <c r="G294" s="79" t="s">
        <v>413</v>
      </c>
      <c r="H294" s="15" t="s">
        <v>422</v>
      </c>
      <c r="I294" s="16" t="s">
        <v>2132</v>
      </c>
      <c r="J294" s="80" t="s">
        <v>178</v>
      </c>
      <c r="K294" s="24">
        <v>32154</v>
      </c>
      <c r="L294" s="93" t="s">
        <v>179</v>
      </c>
      <c r="M294" s="25">
        <v>43678</v>
      </c>
      <c r="N294" s="170">
        <v>43314</v>
      </c>
      <c r="O294" s="170" t="s">
        <v>34</v>
      </c>
      <c r="P294" s="18" t="s">
        <v>386</v>
      </c>
      <c r="Q294" s="18" t="s">
        <v>181</v>
      </c>
      <c r="R294" s="18" t="s">
        <v>182</v>
      </c>
      <c r="S294" s="19" t="s">
        <v>256</v>
      </c>
      <c r="T294" s="20"/>
      <c r="U294" s="20"/>
      <c r="V294" s="84" t="s">
        <v>200</v>
      </c>
      <c r="W294" s="84" t="s">
        <v>200</v>
      </c>
      <c r="X294" s="84">
        <v>9</v>
      </c>
      <c r="Y294" s="85" t="s">
        <v>2148</v>
      </c>
      <c r="Z294" s="94" t="s">
        <v>186</v>
      </c>
      <c r="AA294" s="94"/>
      <c r="AB294" s="94"/>
      <c r="AC294" s="185"/>
      <c r="AD294" s="226" t="s">
        <v>189</v>
      </c>
      <c r="AE294" s="226"/>
      <c r="AF294" s="227"/>
      <c r="AG294" s="228"/>
      <c r="AH294" s="229"/>
      <c r="AI294" s="229"/>
      <c r="AJ294" s="97" t="s">
        <v>203</v>
      </c>
      <c r="AK294" s="97" t="s">
        <v>190</v>
      </c>
      <c r="AL294" s="97" t="s">
        <v>190</v>
      </c>
      <c r="AM294" s="97" t="s">
        <v>1234</v>
      </c>
      <c r="AN294" s="22">
        <v>182</v>
      </c>
      <c r="AO294" s="22">
        <v>0</v>
      </c>
      <c r="AP294" s="22">
        <v>0</v>
      </c>
      <c r="AQ294" s="22">
        <v>0</v>
      </c>
      <c r="AR294" s="22">
        <v>0</v>
      </c>
      <c r="AS294" s="22">
        <v>7</v>
      </c>
      <c r="AT294" s="22">
        <v>10</v>
      </c>
      <c r="AU294" s="316">
        <f t="shared" si="45"/>
        <v>199</v>
      </c>
      <c r="AV294" s="22">
        <v>190</v>
      </c>
      <c r="AW294" s="22">
        <v>0</v>
      </c>
      <c r="AX294" s="22">
        <v>0</v>
      </c>
      <c r="AY294" s="22">
        <v>0</v>
      </c>
      <c r="AZ294" s="22">
        <v>0</v>
      </c>
      <c r="BA294" s="22">
        <v>7</v>
      </c>
      <c r="BB294" s="22">
        <v>10</v>
      </c>
      <c r="BC294" s="316">
        <f t="shared" si="46"/>
        <v>207</v>
      </c>
      <c r="BD294" s="58">
        <f t="shared" si="47"/>
        <v>8</v>
      </c>
      <c r="BE294" s="58">
        <f t="shared" si="48"/>
        <v>0</v>
      </c>
      <c r="BF294" s="58">
        <f t="shared" si="49"/>
        <v>0</v>
      </c>
      <c r="BG294" s="58">
        <f t="shared" si="50"/>
        <v>0</v>
      </c>
      <c r="BH294" s="58">
        <f t="shared" si="51"/>
        <v>0</v>
      </c>
      <c r="BI294" s="58">
        <f t="shared" si="52"/>
        <v>0</v>
      </c>
      <c r="BJ294" s="58">
        <f t="shared" si="53"/>
        <v>0</v>
      </c>
      <c r="BK294" s="58">
        <f t="shared" si="54"/>
        <v>8</v>
      </c>
    </row>
    <row r="295" spans="1:63" ht="27" customHeight="1">
      <c r="A295" s="13">
        <f t="shared" si="55"/>
        <v>293</v>
      </c>
      <c r="B295" s="14"/>
      <c r="C295" s="10">
        <v>2482</v>
      </c>
      <c r="D295" s="119" t="s">
        <v>2149</v>
      </c>
      <c r="E295" s="217" t="s">
        <v>2150</v>
      </c>
      <c r="F295" s="106" t="s">
        <v>2151</v>
      </c>
      <c r="G295" s="107" t="s">
        <v>2152</v>
      </c>
      <c r="H295" s="26" t="s">
        <v>2153</v>
      </c>
      <c r="I295" s="27" t="s">
        <v>2154</v>
      </c>
      <c r="J295" s="80" t="s">
        <v>178</v>
      </c>
      <c r="K295" s="28">
        <v>34460</v>
      </c>
      <c r="L295" s="93" t="s">
        <v>179</v>
      </c>
      <c r="M295" s="25">
        <v>43678</v>
      </c>
      <c r="N295" s="25">
        <v>43314</v>
      </c>
      <c r="O295" s="170" t="s">
        <v>34</v>
      </c>
      <c r="P295" s="18" t="s">
        <v>292</v>
      </c>
      <c r="Q295" s="18" t="s">
        <v>181</v>
      </c>
      <c r="R295" s="18" t="s">
        <v>182</v>
      </c>
      <c r="S295" s="18" t="s">
        <v>228</v>
      </c>
      <c r="T295" s="175"/>
      <c r="U295" s="175"/>
      <c r="V295" s="84" t="s">
        <v>200</v>
      </c>
      <c r="W295" s="84" t="s">
        <v>200</v>
      </c>
      <c r="X295" s="1">
        <v>12</v>
      </c>
      <c r="Y295" s="77" t="s">
        <v>2155</v>
      </c>
      <c r="Z295" s="23"/>
      <c r="AA295" s="94" t="s">
        <v>186</v>
      </c>
      <c r="AB295" s="86"/>
      <c r="AC295" s="123"/>
      <c r="AD295" s="218"/>
      <c r="AE295" s="218"/>
      <c r="AF295" s="219"/>
      <c r="AG295" s="220"/>
      <c r="AH295" s="221"/>
      <c r="AI295" s="221"/>
      <c r="AJ295" s="97" t="s">
        <v>203</v>
      </c>
      <c r="AK295" s="97" t="s">
        <v>190</v>
      </c>
      <c r="AL295" s="97" t="s">
        <v>190</v>
      </c>
      <c r="AM295" s="97" t="s">
        <v>1234</v>
      </c>
      <c r="AN295" s="22">
        <v>182</v>
      </c>
      <c r="AO295" s="22">
        <v>0</v>
      </c>
      <c r="AP295" s="22">
        <v>20</v>
      </c>
      <c r="AQ295" s="22">
        <v>0</v>
      </c>
      <c r="AR295" s="22">
        <v>0</v>
      </c>
      <c r="AS295" s="22">
        <v>7</v>
      </c>
      <c r="AT295" s="22">
        <v>10</v>
      </c>
      <c r="AU295" s="316">
        <f t="shared" si="45"/>
        <v>219</v>
      </c>
      <c r="AV295" s="22">
        <v>190</v>
      </c>
      <c r="AW295" s="22">
        <v>0</v>
      </c>
      <c r="AX295" s="22">
        <v>20</v>
      </c>
      <c r="AY295" s="22">
        <v>0</v>
      </c>
      <c r="AZ295" s="22">
        <v>0</v>
      </c>
      <c r="BA295" s="22">
        <v>7</v>
      </c>
      <c r="BB295" s="22">
        <v>10</v>
      </c>
      <c r="BC295" s="316">
        <f t="shared" si="46"/>
        <v>227</v>
      </c>
      <c r="BD295" s="58">
        <f t="shared" si="47"/>
        <v>8</v>
      </c>
      <c r="BE295" s="58">
        <f t="shared" si="48"/>
        <v>0</v>
      </c>
      <c r="BF295" s="58">
        <f t="shared" si="49"/>
        <v>0</v>
      </c>
      <c r="BG295" s="58">
        <f t="shared" si="50"/>
        <v>0</v>
      </c>
      <c r="BH295" s="58">
        <f t="shared" si="51"/>
        <v>0</v>
      </c>
      <c r="BI295" s="58">
        <f t="shared" si="52"/>
        <v>0</v>
      </c>
      <c r="BJ295" s="58">
        <f t="shared" si="53"/>
        <v>0</v>
      </c>
      <c r="BK295" s="58">
        <f t="shared" si="54"/>
        <v>8</v>
      </c>
    </row>
    <row r="296" spans="1:63" ht="27" customHeight="1">
      <c r="A296" s="13">
        <f t="shared" si="55"/>
        <v>294</v>
      </c>
      <c r="B296" s="14"/>
      <c r="C296" s="10">
        <v>2491</v>
      </c>
      <c r="D296" s="119" t="s">
        <v>2156</v>
      </c>
      <c r="E296" s="217" t="s">
        <v>2157</v>
      </c>
      <c r="F296" s="106" t="s">
        <v>1162</v>
      </c>
      <c r="G296" s="107" t="s">
        <v>2158</v>
      </c>
      <c r="H296" s="26" t="s">
        <v>54</v>
      </c>
      <c r="I296" s="27" t="s">
        <v>2159</v>
      </c>
      <c r="J296" s="98" t="s">
        <v>178</v>
      </c>
      <c r="K296" s="28">
        <v>30272</v>
      </c>
      <c r="L296" s="93" t="s">
        <v>179</v>
      </c>
      <c r="M296" s="25">
        <v>43678</v>
      </c>
      <c r="N296" s="25">
        <v>43318</v>
      </c>
      <c r="O296" s="170" t="s">
        <v>34</v>
      </c>
      <c r="P296" s="18" t="s">
        <v>27</v>
      </c>
      <c r="Q296" s="18" t="s">
        <v>181</v>
      </c>
      <c r="R296" s="18" t="s">
        <v>182</v>
      </c>
      <c r="S296" s="18" t="s">
        <v>228</v>
      </c>
      <c r="T296" s="175"/>
      <c r="U296" s="175"/>
      <c r="V296" s="84" t="s">
        <v>200</v>
      </c>
      <c r="W296" s="84" t="s">
        <v>200</v>
      </c>
      <c r="X296" s="1">
        <v>10</v>
      </c>
      <c r="Y296" s="77" t="s">
        <v>2160</v>
      </c>
      <c r="Z296" s="86"/>
      <c r="AA296" s="94" t="s">
        <v>186</v>
      </c>
      <c r="AB296" s="86"/>
      <c r="AC296" s="123"/>
      <c r="AD296" s="226" t="s">
        <v>189</v>
      </c>
      <c r="AE296" s="226" t="s">
        <v>189</v>
      </c>
      <c r="AF296" s="219"/>
      <c r="AG296" s="220"/>
      <c r="AH296" s="221"/>
      <c r="AI296" s="221"/>
      <c r="AJ296" s="97" t="s">
        <v>203</v>
      </c>
      <c r="AK296" s="97" t="s">
        <v>190</v>
      </c>
      <c r="AL296" s="97" t="s">
        <v>190</v>
      </c>
      <c r="AM296" s="97" t="s">
        <v>1234</v>
      </c>
      <c r="AN296" s="22">
        <v>182</v>
      </c>
      <c r="AO296" s="22">
        <v>0</v>
      </c>
      <c r="AP296" s="22">
        <v>0</v>
      </c>
      <c r="AQ296" s="22">
        <v>0</v>
      </c>
      <c r="AR296" s="22">
        <v>0</v>
      </c>
      <c r="AS296" s="22">
        <v>7</v>
      </c>
      <c r="AT296" s="22">
        <v>10</v>
      </c>
      <c r="AU296" s="316">
        <f t="shared" si="45"/>
        <v>199</v>
      </c>
      <c r="AV296" s="22">
        <v>190</v>
      </c>
      <c r="AW296" s="22">
        <v>0</v>
      </c>
      <c r="AX296" s="22">
        <v>0</v>
      </c>
      <c r="AY296" s="22">
        <v>0</v>
      </c>
      <c r="AZ296" s="22">
        <v>0</v>
      </c>
      <c r="BA296" s="22">
        <v>7</v>
      </c>
      <c r="BB296" s="22">
        <v>10</v>
      </c>
      <c r="BC296" s="316">
        <f t="shared" si="46"/>
        <v>207</v>
      </c>
      <c r="BD296" s="58">
        <f t="shared" si="47"/>
        <v>8</v>
      </c>
      <c r="BE296" s="58">
        <f t="shared" si="48"/>
        <v>0</v>
      </c>
      <c r="BF296" s="58">
        <f t="shared" si="49"/>
        <v>0</v>
      </c>
      <c r="BG296" s="58">
        <f t="shared" si="50"/>
        <v>0</v>
      </c>
      <c r="BH296" s="58">
        <f t="shared" si="51"/>
        <v>0</v>
      </c>
      <c r="BI296" s="58">
        <f t="shared" si="52"/>
        <v>0</v>
      </c>
      <c r="BJ296" s="58">
        <f t="shared" si="53"/>
        <v>0</v>
      </c>
      <c r="BK296" s="58">
        <f t="shared" si="54"/>
        <v>8</v>
      </c>
    </row>
    <row r="297" spans="1:63" ht="27" customHeight="1">
      <c r="A297" s="13">
        <f t="shared" si="55"/>
        <v>295</v>
      </c>
      <c r="B297" s="14"/>
      <c r="C297" s="10">
        <v>2494</v>
      </c>
      <c r="D297" s="119" t="s">
        <v>2161</v>
      </c>
      <c r="E297" s="217" t="s">
        <v>2162</v>
      </c>
      <c r="F297" s="106" t="s">
        <v>2163</v>
      </c>
      <c r="G297" s="107" t="s">
        <v>2164</v>
      </c>
      <c r="H297" s="26" t="s">
        <v>2165</v>
      </c>
      <c r="I297" s="27" t="s">
        <v>2166</v>
      </c>
      <c r="J297" s="98" t="s">
        <v>178</v>
      </c>
      <c r="K297" s="28">
        <v>31052</v>
      </c>
      <c r="L297" s="93" t="s">
        <v>179</v>
      </c>
      <c r="M297" s="25">
        <v>43678</v>
      </c>
      <c r="N297" s="25">
        <v>43319</v>
      </c>
      <c r="O297" s="170" t="s">
        <v>34</v>
      </c>
      <c r="P297" s="18" t="s">
        <v>1085</v>
      </c>
      <c r="Q297" s="18" t="s">
        <v>181</v>
      </c>
      <c r="R297" s="18" t="s">
        <v>182</v>
      </c>
      <c r="S297" s="13" t="s">
        <v>841</v>
      </c>
      <c r="T297" s="175"/>
      <c r="U297" s="175"/>
      <c r="V297" s="84" t="s">
        <v>200</v>
      </c>
      <c r="W297" s="84" t="s">
        <v>200</v>
      </c>
      <c r="X297" s="1">
        <v>2</v>
      </c>
      <c r="Y297" s="77" t="s">
        <v>2162</v>
      </c>
      <c r="Z297" s="86"/>
      <c r="AA297" s="94" t="s">
        <v>186</v>
      </c>
      <c r="AB297" s="86"/>
      <c r="AC297" s="123"/>
      <c r="AD297" s="226" t="s">
        <v>189</v>
      </c>
      <c r="AE297" s="218"/>
      <c r="AF297" s="219"/>
      <c r="AG297" s="220"/>
      <c r="AH297" s="221"/>
      <c r="AI297" s="221"/>
      <c r="AJ297" s="97" t="s">
        <v>203</v>
      </c>
      <c r="AK297" s="97" t="s">
        <v>190</v>
      </c>
      <c r="AL297" s="97" t="s">
        <v>190</v>
      </c>
      <c r="AM297" s="97" t="s">
        <v>1530</v>
      </c>
      <c r="AN297" s="22">
        <v>182</v>
      </c>
      <c r="AO297" s="22">
        <v>0</v>
      </c>
      <c r="AP297" s="22">
        <v>0</v>
      </c>
      <c r="AQ297" s="22">
        <v>0</v>
      </c>
      <c r="AR297" s="22">
        <v>0</v>
      </c>
      <c r="AS297" s="22">
        <v>7</v>
      </c>
      <c r="AT297" s="22">
        <v>10</v>
      </c>
      <c r="AU297" s="316">
        <f t="shared" si="45"/>
        <v>199</v>
      </c>
      <c r="AV297" s="22">
        <v>190</v>
      </c>
      <c r="AW297" s="22">
        <v>0</v>
      </c>
      <c r="AX297" s="22">
        <v>0</v>
      </c>
      <c r="AY297" s="22">
        <v>0</v>
      </c>
      <c r="AZ297" s="22">
        <v>0</v>
      </c>
      <c r="BA297" s="22">
        <v>7</v>
      </c>
      <c r="BB297" s="22">
        <v>10</v>
      </c>
      <c r="BC297" s="316">
        <f t="shared" si="46"/>
        <v>207</v>
      </c>
      <c r="BD297" s="58">
        <f t="shared" si="47"/>
        <v>8</v>
      </c>
      <c r="BE297" s="58">
        <f t="shared" si="48"/>
        <v>0</v>
      </c>
      <c r="BF297" s="58">
        <f t="shared" si="49"/>
        <v>0</v>
      </c>
      <c r="BG297" s="58">
        <f t="shared" si="50"/>
        <v>0</v>
      </c>
      <c r="BH297" s="58">
        <f t="shared" si="51"/>
        <v>0</v>
      </c>
      <c r="BI297" s="58">
        <f t="shared" si="52"/>
        <v>0</v>
      </c>
      <c r="BJ297" s="58">
        <f t="shared" si="53"/>
        <v>0</v>
      </c>
      <c r="BK297" s="58">
        <f t="shared" si="54"/>
        <v>8</v>
      </c>
    </row>
    <row r="298" spans="1:63" ht="27" customHeight="1">
      <c r="A298" s="13">
        <f t="shared" si="55"/>
        <v>296</v>
      </c>
      <c r="B298" s="14"/>
      <c r="C298" s="10">
        <v>2519</v>
      </c>
      <c r="D298" s="119" t="s">
        <v>2167</v>
      </c>
      <c r="E298" s="217" t="s">
        <v>2168</v>
      </c>
      <c r="F298" s="106" t="s">
        <v>807</v>
      </c>
      <c r="G298" s="107" t="s">
        <v>2169</v>
      </c>
      <c r="H298" s="26" t="s">
        <v>2170</v>
      </c>
      <c r="I298" s="27" t="s">
        <v>2171</v>
      </c>
      <c r="J298" s="98" t="s">
        <v>178</v>
      </c>
      <c r="K298" s="28">
        <v>29389</v>
      </c>
      <c r="L298" s="82" t="s">
        <v>179</v>
      </c>
      <c r="M298" s="25">
        <v>43709</v>
      </c>
      <c r="N298" s="170">
        <v>43333</v>
      </c>
      <c r="O298" s="170" t="s">
        <v>34</v>
      </c>
      <c r="P298" s="18" t="s">
        <v>386</v>
      </c>
      <c r="Q298" s="18" t="s">
        <v>181</v>
      </c>
      <c r="R298" s="18" t="s">
        <v>182</v>
      </c>
      <c r="S298" s="13" t="s">
        <v>228</v>
      </c>
      <c r="T298" s="175"/>
      <c r="U298" s="175"/>
      <c r="V298" s="84" t="s">
        <v>200</v>
      </c>
      <c r="W298" s="84" t="s">
        <v>200</v>
      </c>
      <c r="X298" s="1"/>
      <c r="Y298" s="77" t="s">
        <v>2172</v>
      </c>
      <c r="Z298" s="86"/>
      <c r="AA298" s="94" t="s">
        <v>186</v>
      </c>
      <c r="AB298" s="86"/>
      <c r="AC298" s="123"/>
      <c r="AD298" s="218" t="s">
        <v>188</v>
      </c>
      <c r="AE298" s="218" t="s">
        <v>188</v>
      </c>
      <c r="AF298" s="218" t="s">
        <v>188</v>
      </c>
      <c r="AG298" s="220"/>
      <c r="AH298" s="221"/>
      <c r="AI298" s="221"/>
      <c r="AJ298" s="97" t="s">
        <v>203</v>
      </c>
      <c r="AK298" s="97" t="s">
        <v>190</v>
      </c>
      <c r="AL298" s="97" t="s">
        <v>190</v>
      </c>
      <c r="AM298" s="97" t="s">
        <v>1234</v>
      </c>
      <c r="AN298" s="22">
        <v>182</v>
      </c>
      <c r="AO298" s="22">
        <v>0</v>
      </c>
      <c r="AP298" s="22">
        <v>0</v>
      </c>
      <c r="AQ298" s="22">
        <v>0</v>
      </c>
      <c r="AR298" s="22">
        <v>0</v>
      </c>
      <c r="AS298" s="22">
        <v>7</v>
      </c>
      <c r="AT298" s="22">
        <v>10</v>
      </c>
      <c r="AU298" s="316">
        <f t="shared" si="45"/>
        <v>199</v>
      </c>
      <c r="AV298" s="22">
        <v>190</v>
      </c>
      <c r="AW298" s="22">
        <v>0</v>
      </c>
      <c r="AX298" s="22">
        <v>0</v>
      </c>
      <c r="AY298" s="22">
        <v>0</v>
      </c>
      <c r="AZ298" s="22">
        <v>0</v>
      </c>
      <c r="BA298" s="22">
        <v>7</v>
      </c>
      <c r="BB298" s="22">
        <v>10</v>
      </c>
      <c r="BC298" s="316">
        <f t="shared" si="46"/>
        <v>207</v>
      </c>
      <c r="BD298" s="58">
        <f t="shared" si="47"/>
        <v>8</v>
      </c>
      <c r="BE298" s="58">
        <f t="shared" si="48"/>
        <v>0</v>
      </c>
      <c r="BF298" s="58">
        <f t="shared" si="49"/>
        <v>0</v>
      </c>
      <c r="BG298" s="58">
        <f t="shared" si="50"/>
        <v>0</v>
      </c>
      <c r="BH298" s="58">
        <f t="shared" si="51"/>
        <v>0</v>
      </c>
      <c r="BI298" s="58">
        <f t="shared" si="52"/>
        <v>0</v>
      </c>
      <c r="BJ298" s="58">
        <f t="shared" si="53"/>
        <v>0</v>
      </c>
      <c r="BK298" s="58">
        <f t="shared" si="54"/>
        <v>8</v>
      </c>
    </row>
    <row r="299" spans="1:63" ht="27" customHeight="1">
      <c r="A299" s="13">
        <f t="shared" si="55"/>
        <v>297</v>
      </c>
      <c r="B299" s="14"/>
      <c r="C299" s="10">
        <v>2522</v>
      </c>
      <c r="D299" s="119" t="s">
        <v>2173</v>
      </c>
      <c r="E299" s="217" t="s">
        <v>2174</v>
      </c>
      <c r="F299" s="106" t="s">
        <v>2175</v>
      </c>
      <c r="G299" s="107" t="s">
        <v>2176</v>
      </c>
      <c r="H299" s="26" t="s">
        <v>2177</v>
      </c>
      <c r="I299" s="27" t="s">
        <v>2178</v>
      </c>
      <c r="J299" s="98" t="s">
        <v>178</v>
      </c>
      <c r="K299" s="28">
        <v>34251</v>
      </c>
      <c r="L299" s="93" t="s">
        <v>179</v>
      </c>
      <c r="M299" s="25">
        <v>43709</v>
      </c>
      <c r="N299" s="170">
        <v>43344</v>
      </c>
      <c r="O299" s="170" t="s">
        <v>34</v>
      </c>
      <c r="P299" s="18" t="s">
        <v>27</v>
      </c>
      <c r="Q299" s="18" t="s">
        <v>181</v>
      </c>
      <c r="R299" s="18" t="s">
        <v>182</v>
      </c>
      <c r="S299" s="19" t="s">
        <v>256</v>
      </c>
      <c r="T299" s="175"/>
      <c r="U299" s="175"/>
      <c r="V299" s="84" t="s">
        <v>200</v>
      </c>
      <c r="W299" s="84" t="s">
        <v>200</v>
      </c>
      <c r="X299" s="1">
        <v>5</v>
      </c>
      <c r="Y299" s="77" t="s">
        <v>2179</v>
      </c>
      <c r="Z299" s="86"/>
      <c r="AA299" s="94" t="s">
        <v>186</v>
      </c>
      <c r="AB299" s="86"/>
      <c r="AC299" s="123"/>
      <c r="AD299" s="218"/>
      <c r="AE299" s="218"/>
      <c r="AF299" s="219"/>
      <c r="AG299" s="220"/>
      <c r="AH299" s="221"/>
      <c r="AI299" s="221"/>
      <c r="AJ299" s="97" t="s">
        <v>203</v>
      </c>
      <c r="AK299" s="97" t="s">
        <v>190</v>
      </c>
      <c r="AL299" s="97" t="s">
        <v>190</v>
      </c>
      <c r="AM299" s="97" t="s">
        <v>1234</v>
      </c>
      <c r="AN299" s="22">
        <v>182</v>
      </c>
      <c r="AO299" s="22">
        <v>0</v>
      </c>
      <c r="AP299" s="22">
        <v>0</v>
      </c>
      <c r="AQ299" s="22">
        <v>0</v>
      </c>
      <c r="AR299" s="22">
        <v>0</v>
      </c>
      <c r="AS299" s="22">
        <v>7</v>
      </c>
      <c r="AT299" s="22">
        <v>10</v>
      </c>
      <c r="AU299" s="316">
        <f t="shared" si="45"/>
        <v>199</v>
      </c>
      <c r="AV299" s="22">
        <v>190</v>
      </c>
      <c r="AW299" s="22">
        <v>0</v>
      </c>
      <c r="AX299" s="22">
        <v>0</v>
      </c>
      <c r="AY299" s="22">
        <v>0</v>
      </c>
      <c r="AZ299" s="22">
        <v>0</v>
      </c>
      <c r="BA299" s="22">
        <v>7</v>
      </c>
      <c r="BB299" s="22">
        <v>10</v>
      </c>
      <c r="BC299" s="316">
        <f t="shared" si="46"/>
        <v>207</v>
      </c>
      <c r="BD299" s="58">
        <f t="shared" si="47"/>
        <v>8</v>
      </c>
      <c r="BE299" s="58">
        <f t="shared" si="48"/>
        <v>0</v>
      </c>
      <c r="BF299" s="58">
        <f t="shared" si="49"/>
        <v>0</v>
      </c>
      <c r="BG299" s="58">
        <f t="shared" si="50"/>
        <v>0</v>
      </c>
      <c r="BH299" s="58">
        <f t="shared" si="51"/>
        <v>0</v>
      </c>
      <c r="BI299" s="58">
        <f t="shared" si="52"/>
        <v>0</v>
      </c>
      <c r="BJ299" s="58">
        <f t="shared" si="53"/>
        <v>0</v>
      </c>
      <c r="BK299" s="58">
        <f t="shared" si="54"/>
        <v>8</v>
      </c>
    </row>
    <row r="300" spans="1:63" ht="27" customHeight="1">
      <c r="A300" s="13">
        <f t="shared" si="55"/>
        <v>298</v>
      </c>
      <c r="B300" s="14"/>
      <c r="C300" s="10">
        <v>2524</v>
      </c>
      <c r="D300" s="119" t="s">
        <v>2180</v>
      </c>
      <c r="E300" s="217" t="s">
        <v>2181</v>
      </c>
      <c r="F300" s="106" t="s">
        <v>1476</v>
      </c>
      <c r="G300" s="107" t="s">
        <v>322</v>
      </c>
      <c r="H300" s="26" t="s">
        <v>2182</v>
      </c>
      <c r="I300" s="27" t="s">
        <v>324</v>
      </c>
      <c r="J300" s="98" t="s">
        <v>178</v>
      </c>
      <c r="K300" s="28">
        <v>29803</v>
      </c>
      <c r="L300" s="82" t="s">
        <v>179</v>
      </c>
      <c r="M300" s="25">
        <v>43709</v>
      </c>
      <c r="N300" s="170">
        <v>43348</v>
      </c>
      <c r="O300" s="170" t="s">
        <v>34</v>
      </c>
      <c r="P300" s="18" t="s">
        <v>339</v>
      </c>
      <c r="Q300" s="18" t="s">
        <v>181</v>
      </c>
      <c r="R300" s="18" t="s">
        <v>182</v>
      </c>
      <c r="S300" s="19" t="s">
        <v>211</v>
      </c>
      <c r="T300" s="175"/>
      <c r="U300" s="175"/>
      <c r="V300" s="84" t="s">
        <v>200</v>
      </c>
      <c r="W300" s="84" t="s">
        <v>200</v>
      </c>
      <c r="X300" s="1">
        <v>3</v>
      </c>
      <c r="Y300" s="77" t="s">
        <v>2183</v>
      </c>
      <c r="Z300" s="86"/>
      <c r="AA300" s="94" t="s">
        <v>186</v>
      </c>
      <c r="AB300" s="86"/>
      <c r="AC300" s="123"/>
      <c r="AD300" s="218" t="s">
        <v>188</v>
      </c>
      <c r="AE300" s="218" t="s">
        <v>188</v>
      </c>
      <c r="AF300" s="218" t="s">
        <v>189</v>
      </c>
      <c r="AG300" s="220"/>
      <c r="AH300" s="221"/>
      <c r="AI300" s="221"/>
      <c r="AJ300" s="97" t="s">
        <v>203</v>
      </c>
      <c r="AK300" s="97" t="s">
        <v>190</v>
      </c>
      <c r="AL300" s="97" t="s">
        <v>190</v>
      </c>
      <c r="AM300" s="97" t="s">
        <v>1209</v>
      </c>
      <c r="AN300" s="22">
        <v>182</v>
      </c>
      <c r="AO300" s="22">
        <v>0</v>
      </c>
      <c r="AP300" s="22">
        <v>0</v>
      </c>
      <c r="AQ300" s="22">
        <v>0</v>
      </c>
      <c r="AR300" s="22">
        <v>0</v>
      </c>
      <c r="AS300" s="22">
        <v>7</v>
      </c>
      <c r="AT300" s="22">
        <v>10</v>
      </c>
      <c r="AU300" s="316">
        <f t="shared" si="45"/>
        <v>199</v>
      </c>
      <c r="AV300" s="22">
        <v>190</v>
      </c>
      <c r="AW300" s="22">
        <v>0</v>
      </c>
      <c r="AX300" s="22">
        <v>0</v>
      </c>
      <c r="AY300" s="22">
        <v>0</v>
      </c>
      <c r="AZ300" s="22">
        <v>0</v>
      </c>
      <c r="BA300" s="22">
        <v>7</v>
      </c>
      <c r="BB300" s="22">
        <v>10</v>
      </c>
      <c r="BC300" s="316">
        <f t="shared" si="46"/>
        <v>207</v>
      </c>
      <c r="BD300" s="58">
        <f t="shared" si="47"/>
        <v>8</v>
      </c>
      <c r="BE300" s="58">
        <f t="shared" si="48"/>
        <v>0</v>
      </c>
      <c r="BF300" s="58">
        <f t="shared" si="49"/>
        <v>0</v>
      </c>
      <c r="BG300" s="58">
        <f t="shared" si="50"/>
        <v>0</v>
      </c>
      <c r="BH300" s="58">
        <f t="shared" si="51"/>
        <v>0</v>
      </c>
      <c r="BI300" s="58">
        <f t="shared" si="52"/>
        <v>0</v>
      </c>
      <c r="BJ300" s="58">
        <f t="shared" si="53"/>
        <v>0</v>
      </c>
      <c r="BK300" s="58">
        <f t="shared" si="54"/>
        <v>8</v>
      </c>
    </row>
    <row r="301" spans="1:63" ht="27" customHeight="1">
      <c r="A301" s="13">
        <f t="shared" si="55"/>
        <v>299</v>
      </c>
      <c r="B301" s="14"/>
      <c r="C301" s="10">
        <v>2536</v>
      </c>
      <c r="D301" s="119" t="s">
        <v>2184</v>
      </c>
      <c r="E301" s="217" t="s">
        <v>2185</v>
      </c>
      <c r="F301" s="106" t="s">
        <v>2186</v>
      </c>
      <c r="G301" s="107" t="s">
        <v>1971</v>
      </c>
      <c r="H301" s="26" t="s">
        <v>2187</v>
      </c>
      <c r="I301" s="27" t="s">
        <v>2188</v>
      </c>
      <c r="J301" s="98" t="s">
        <v>178</v>
      </c>
      <c r="K301" s="28">
        <v>35309</v>
      </c>
      <c r="L301" s="82" t="s">
        <v>179</v>
      </c>
      <c r="M301" s="170">
        <v>43770</v>
      </c>
      <c r="N301" s="25">
        <v>43389</v>
      </c>
      <c r="O301" s="170" t="s">
        <v>34</v>
      </c>
      <c r="P301" s="18" t="s">
        <v>301</v>
      </c>
      <c r="Q301" s="18" t="s">
        <v>181</v>
      </c>
      <c r="R301" s="18" t="s">
        <v>182</v>
      </c>
      <c r="S301" s="13" t="s">
        <v>219</v>
      </c>
      <c r="T301" s="175"/>
      <c r="U301" s="175"/>
      <c r="V301" s="84" t="s">
        <v>200</v>
      </c>
      <c r="W301" s="84" t="s">
        <v>200</v>
      </c>
      <c r="X301" s="1">
        <v>8</v>
      </c>
      <c r="Y301" s="77" t="s">
        <v>2189</v>
      </c>
      <c r="Z301" s="94"/>
      <c r="AA301" s="94" t="s">
        <v>186</v>
      </c>
      <c r="AB301" s="86"/>
      <c r="AC301" s="123"/>
      <c r="AD301" s="218"/>
      <c r="AE301" s="218"/>
      <c r="AF301" s="219"/>
      <c r="AG301" s="220"/>
      <c r="AH301" s="221"/>
      <c r="AI301" s="221"/>
      <c r="AJ301" s="97" t="s">
        <v>203</v>
      </c>
      <c r="AK301" s="97" t="s">
        <v>190</v>
      </c>
      <c r="AL301" s="97" t="s">
        <v>190</v>
      </c>
      <c r="AM301" s="97" t="s">
        <v>1546</v>
      </c>
      <c r="AN301" s="22">
        <v>182</v>
      </c>
      <c r="AO301" s="22">
        <v>0</v>
      </c>
      <c r="AP301" s="22">
        <v>0</v>
      </c>
      <c r="AQ301" s="22">
        <v>0</v>
      </c>
      <c r="AR301" s="22">
        <v>0</v>
      </c>
      <c r="AS301" s="22">
        <v>7</v>
      </c>
      <c r="AT301" s="22">
        <v>10</v>
      </c>
      <c r="AU301" s="316">
        <f t="shared" si="45"/>
        <v>199</v>
      </c>
      <c r="AV301" s="22">
        <v>190</v>
      </c>
      <c r="AW301" s="22">
        <v>0</v>
      </c>
      <c r="AX301" s="22">
        <v>0</v>
      </c>
      <c r="AY301" s="22">
        <v>0</v>
      </c>
      <c r="AZ301" s="22">
        <v>0</v>
      </c>
      <c r="BA301" s="22">
        <v>7</v>
      </c>
      <c r="BB301" s="22">
        <v>10</v>
      </c>
      <c r="BC301" s="316">
        <f t="shared" si="46"/>
        <v>207</v>
      </c>
      <c r="BD301" s="58">
        <f t="shared" si="47"/>
        <v>8</v>
      </c>
      <c r="BE301" s="58">
        <f t="shared" si="48"/>
        <v>0</v>
      </c>
      <c r="BF301" s="58">
        <f t="shared" si="49"/>
        <v>0</v>
      </c>
      <c r="BG301" s="58">
        <f t="shared" si="50"/>
        <v>0</v>
      </c>
      <c r="BH301" s="58">
        <f t="shared" si="51"/>
        <v>0</v>
      </c>
      <c r="BI301" s="58">
        <f t="shared" si="52"/>
        <v>0</v>
      </c>
      <c r="BJ301" s="58">
        <f t="shared" si="53"/>
        <v>0</v>
      </c>
      <c r="BK301" s="58">
        <f t="shared" si="54"/>
        <v>8</v>
      </c>
    </row>
    <row r="302" spans="1:63" ht="27" customHeight="1">
      <c r="A302" s="13">
        <f t="shared" si="55"/>
        <v>300</v>
      </c>
      <c r="B302" s="14"/>
      <c r="C302" s="10">
        <v>2539</v>
      </c>
      <c r="D302" s="119" t="s">
        <v>2190</v>
      </c>
      <c r="E302" s="217" t="s">
        <v>2191</v>
      </c>
      <c r="F302" s="106" t="s">
        <v>420</v>
      </c>
      <c r="G302" s="107" t="s">
        <v>904</v>
      </c>
      <c r="H302" s="26" t="s">
        <v>422</v>
      </c>
      <c r="I302" s="27" t="s">
        <v>2192</v>
      </c>
      <c r="J302" s="98" t="s">
        <v>178</v>
      </c>
      <c r="K302" s="28">
        <v>31934</v>
      </c>
      <c r="L302" s="82" t="s">
        <v>179</v>
      </c>
      <c r="M302" s="170">
        <v>43770</v>
      </c>
      <c r="N302" s="25">
        <v>43390</v>
      </c>
      <c r="O302" s="170" t="s">
        <v>34</v>
      </c>
      <c r="P302" s="18" t="s">
        <v>1085</v>
      </c>
      <c r="Q302" s="18" t="s">
        <v>181</v>
      </c>
      <c r="R302" s="18" t="s">
        <v>182</v>
      </c>
      <c r="S302" s="19" t="s">
        <v>256</v>
      </c>
      <c r="T302" s="175"/>
      <c r="U302" s="175"/>
      <c r="V302" s="84" t="s">
        <v>200</v>
      </c>
      <c r="W302" s="84" t="s">
        <v>200</v>
      </c>
      <c r="X302" s="1">
        <v>6</v>
      </c>
      <c r="Y302" s="77" t="s">
        <v>2193</v>
      </c>
      <c r="Z302" s="86"/>
      <c r="AA302" s="94" t="s">
        <v>186</v>
      </c>
      <c r="AB302" s="86"/>
      <c r="AC302" s="123"/>
      <c r="AD302" s="218"/>
      <c r="AE302" s="218"/>
      <c r="AF302" s="219"/>
      <c r="AG302" s="220"/>
      <c r="AH302" s="221"/>
      <c r="AI302" s="221"/>
      <c r="AJ302" s="97" t="s">
        <v>203</v>
      </c>
      <c r="AK302" s="97" t="s">
        <v>190</v>
      </c>
      <c r="AL302" s="97" t="s">
        <v>190</v>
      </c>
      <c r="AM302" s="97" t="s">
        <v>1209</v>
      </c>
      <c r="AN302" s="22">
        <v>182</v>
      </c>
      <c r="AO302" s="22">
        <v>0</v>
      </c>
      <c r="AP302" s="22">
        <v>0</v>
      </c>
      <c r="AQ302" s="22">
        <v>0</v>
      </c>
      <c r="AR302" s="22">
        <v>0</v>
      </c>
      <c r="AS302" s="22">
        <v>7</v>
      </c>
      <c r="AT302" s="22">
        <v>10</v>
      </c>
      <c r="AU302" s="316">
        <f t="shared" si="45"/>
        <v>199</v>
      </c>
      <c r="AV302" s="22">
        <v>190</v>
      </c>
      <c r="AW302" s="22">
        <v>0</v>
      </c>
      <c r="AX302" s="22">
        <v>0</v>
      </c>
      <c r="AY302" s="22">
        <v>0</v>
      </c>
      <c r="AZ302" s="22">
        <v>0</v>
      </c>
      <c r="BA302" s="22">
        <v>7</v>
      </c>
      <c r="BB302" s="22">
        <v>10</v>
      </c>
      <c r="BC302" s="316">
        <f t="shared" si="46"/>
        <v>207</v>
      </c>
      <c r="BD302" s="58">
        <f t="shared" si="47"/>
        <v>8</v>
      </c>
      <c r="BE302" s="58">
        <f t="shared" si="48"/>
        <v>0</v>
      </c>
      <c r="BF302" s="58">
        <f t="shared" si="49"/>
        <v>0</v>
      </c>
      <c r="BG302" s="58">
        <f t="shared" si="50"/>
        <v>0</v>
      </c>
      <c r="BH302" s="58">
        <f t="shared" si="51"/>
        <v>0</v>
      </c>
      <c r="BI302" s="58">
        <f t="shared" si="52"/>
        <v>0</v>
      </c>
      <c r="BJ302" s="58">
        <f t="shared" si="53"/>
        <v>0</v>
      </c>
      <c r="BK302" s="58">
        <f t="shared" si="54"/>
        <v>8</v>
      </c>
    </row>
    <row r="303" spans="1:63" ht="27" customHeight="1">
      <c r="A303" s="13">
        <f t="shared" si="55"/>
        <v>301</v>
      </c>
      <c r="B303" s="14"/>
      <c r="C303" s="10">
        <v>2546</v>
      </c>
      <c r="D303" s="119" t="s">
        <v>2194</v>
      </c>
      <c r="E303" s="217" t="s">
        <v>2195</v>
      </c>
      <c r="F303" s="106" t="s">
        <v>573</v>
      </c>
      <c r="G303" s="107" t="s">
        <v>2196</v>
      </c>
      <c r="H303" s="26" t="s">
        <v>2197</v>
      </c>
      <c r="I303" s="27" t="s">
        <v>2198</v>
      </c>
      <c r="J303" s="98" t="s">
        <v>178</v>
      </c>
      <c r="K303" s="28">
        <v>30906</v>
      </c>
      <c r="L303" s="82" t="s">
        <v>179</v>
      </c>
      <c r="M303" s="170">
        <v>43770</v>
      </c>
      <c r="N303" s="25">
        <v>43407</v>
      </c>
      <c r="O303" s="17" t="s">
        <v>34</v>
      </c>
      <c r="P303" s="18" t="s">
        <v>348</v>
      </c>
      <c r="Q303" s="18" t="s">
        <v>181</v>
      </c>
      <c r="R303" s="17" t="s">
        <v>182</v>
      </c>
      <c r="S303" s="13" t="s">
        <v>228</v>
      </c>
      <c r="T303" s="175"/>
      <c r="U303" s="175"/>
      <c r="V303" s="21" t="s">
        <v>200</v>
      </c>
      <c r="W303" s="21" t="s">
        <v>200</v>
      </c>
      <c r="X303" s="1">
        <v>4</v>
      </c>
      <c r="Y303" s="77"/>
      <c r="Z303" s="86"/>
      <c r="AA303" s="86"/>
      <c r="AB303" s="86">
        <v>1</v>
      </c>
      <c r="AC303" s="123"/>
      <c r="AD303" s="218"/>
      <c r="AE303" s="218"/>
      <c r="AF303" s="219"/>
      <c r="AG303" s="220"/>
      <c r="AH303" s="221"/>
      <c r="AI303" s="221"/>
      <c r="AJ303" s="88" t="s">
        <v>203</v>
      </c>
      <c r="AK303" s="88" t="s">
        <v>190</v>
      </c>
      <c r="AL303" s="88" t="s">
        <v>190</v>
      </c>
      <c r="AM303" s="123" t="s">
        <v>2199</v>
      </c>
      <c r="AN303" s="22">
        <v>182</v>
      </c>
      <c r="AO303" s="22">
        <v>0</v>
      </c>
      <c r="AP303" s="22">
        <v>0</v>
      </c>
      <c r="AQ303" s="22">
        <v>0</v>
      </c>
      <c r="AR303" s="22">
        <v>0</v>
      </c>
      <c r="AS303" s="22">
        <v>7</v>
      </c>
      <c r="AT303" s="22">
        <v>10</v>
      </c>
      <c r="AU303" s="316">
        <f t="shared" si="45"/>
        <v>199</v>
      </c>
      <c r="AV303" s="22">
        <v>190</v>
      </c>
      <c r="AW303" s="22">
        <v>0</v>
      </c>
      <c r="AX303" s="22">
        <v>0</v>
      </c>
      <c r="AY303" s="22">
        <v>0</v>
      </c>
      <c r="AZ303" s="22">
        <v>0</v>
      </c>
      <c r="BA303" s="22">
        <v>7</v>
      </c>
      <c r="BB303" s="22">
        <v>10</v>
      </c>
      <c r="BC303" s="316">
        <f t="shared" si="46"/>
        <v>207</v>
      </c>
      <c r="BD303" s="58">
        <f t="shared" si="47"/>
        <v>8</v>
      </c>
      <c r="BE303" s="58">
        <f t="shared" si="48"/>
        <v>0</v>
      </c>
      <c r="BF303" s="58">
        <f t="shared" si="49"/>
        <v>0</v>
      </c>
      <c r="BG303" s="58">
        <f t="shared" si="50"/>
        <v>0</v>
      </c>
      <c r="BH303" s="58">
        <f t="shared" si="51"/>
        <v>0</v>
      </c>
      <c r="BI303" s="58">
        <f t="shared" si="52"/>
        <v>0</v>
      </c>
      <c r="BJ303" s="58">
        <f t="shared" si="53"/>
        <v>0</v>
      </c>
      <c r="BK303" s="58">
        <f t="shared" si="54"/>
        <v>8</v>
      </c>
    </row>
    <row r="304" spans="1:63" ht="27" customHeight="1">
      <c r="A304" s="13">
        <f t="shared" si="55"/>
        <v>302</v>
      </c>
      <c r="B304" s="14"/>
      <c r="C304" s="10">
        <v>2544</v>
      </c>
      <c r="D304" s="119" t="s">
        <v>2200</v>
      </c>
      <c r="E304" s="217" t="s">
        <v>296</v>
      </c>
      <c r="F304" s="106" t="s">
        <v>2008</v>
      </c>
      <c r="G304" s="107" t="s">
        <v>2201</v>
      </c>
      <c r="H304" s="26" t="s">
        <v>2202</v>
      </c>
      <c r="I304" s="27" t="s">
        <v>2203</v>
      </c>
      <c r="J304" s="98" t="s">
        <v>209</v>
      </c>
      <c r="K304" s="28">
        <v>34071</v>
      </c>
      <c r="L304" s="82" t="s">
        <v>179</v>
      </c>
      <c r="M304" s="170">
        <v>43770</v>
      </c>
      <c r="N304" s="25">
        <v>43405</v>
      </c>
      <c r="O304" s="17" t="s">
        <v>80</v>
      </c>
      <c r="P304" s="18" t="s">
        <v>102</v>
      </c>
      <c r="Q304" s="18" t="s">
        <v>181</v>
      </c>
      <c r="R304" s="17" t="s">
        <v>182</v>
      </c>
      <c r="S304" s="13" t="s">
        <v>228</v>
      </c>
      <c r="T304" s="175"/>
      <c r="U304" s="175"/>
      <c r="V304" s="21" t="s">
        <v>200</v>
      </c>
      <c r="W304" s="21" t="s">
        <v>200</v>
      </c>
      <c r="X304" s="1" t="s">
        <v>1996</v>
      </c>
      <c r="Y304" s="77" t="s">
        <v>2204</v>
      </c>
      <c r="Z304" s="86"/>
      <c r="AA304" s="94" t="s">
        <v>186</v>
      </c>
      <c r="AB304" s="86"/>
      <c r="AC304" s="123"/>
      <c r="AD304" s="218"/>
      <c r="AE304" s="218"/>
      <c r="AF304" s="219"/>
      <c r="AG304" s="220"/>
      <c r="AH304" s="221"/>
      <c r="AI304" s="221"/>
      <c r="AJ304" s="97" t="s">
        <v>203</v>
      </c>
      <c r="AK304" s="97" t="s">
        <v>190</v>
      </c>
      <c r="AL304" s="97" t="s">
        <v>190</v>
      </c>
      <c r="AM304" s="97" t="s">
        <v>1234</v>
      </c>
      <c r="AN304" s="22">
        <v>182</v>
      </c>
      <c r="AO304" s="22">
        <v>0</v>
      </c>
      <c r="AP304" s="22">
        <v>0</v>
      </c>
      <c r="AQ304" s="22">
        <v>71</v>
      </c>
      <c r="AR304" s="22">
        <v>10</v>
      </c>
      <c r="AS304" s="22">
        <v>7</v>
      </c>
      <c r="AT304" s="22">
        <v>10</v>
      </c>
      <c r="AU304" s="316">
        <f t="shared" si="45"/>
        <v>280</v>
      </c>
      <c r="AV304" s="22">
        <v>190</v>
      </c>
      <c r="AW304" s="22">
        <v>0</v>
      </c>
      <c r="AX304" s="22">
        <v>0</v>
      </c>
      <c r="AY304" s="22">
        <v>71</v>
      </c>
      <c r="AZ304" s="22">
        <v>10</v>
      </c>
      <c r="BA304" s="22">
        <v>7</v>
      </c>
      <c r="BB304" s="22">
        <v>10</v>
      </c>
      <c r="BC304" s="316">
        <f t="shared" si="46"/>
        <v>288</v>
      </c>
      <c r="BD304" s="58">
        <f t="shared" si="47"/>
        <v>8</v>
      </c>
      <c r="BE304" s="58">
        <f t="shared" si="48"/>
        <v>0</v>
      </c>
      <c r="BF304" s="58">
        <f t="shared" si="49"/>
        <v>0</v>
      </c>
      <c r="BG304" s="58">
        <f t="shared" si="50"/>
        <v>0</v>
      </c>
      <c r="BH304" s="58">
        <f t="shared" si="51"/>
        <v>0</v>
      </c>
      <c r="BI304" s="58">
        <f t="shared" si="52"/>
        <v>0</v>
      </c>
      <c r="BJ304" s="58">
        <f t="shared" si="53"/>
        <v>0</v>
      </c>
      <c r="BK304" s="58">
        <f t="shared" si="54"/>
        <v>8</v>
      </c>
    </row>
    <row r="305" spans="1:63" ht="27" customHeight="1">
      <c r="A305" s="13">
        <f t="shared" si="55"/>
        <v>303</v>
      </c>
      <c r="B305" s="14"/>
      <c r="C305" s="10">
        <v>2548</v>
      </c>
      <c r="D305" s="119" t="s">
        <v>2205</v>
      </c>
      <c r="E305" s="217" t="s">
        <v>2206</v>
      </c>
      <c r="F305" s="106" t="s">
        <v>716</v>
      </c>
      <c r="G305" s="107" t="s">
        <v>904</v>
      </c>
      <c r="H305" s="26" t="s">
        <v>2126</v>
      </c>
      <c r="I305" s="27" t="s">
        <v>2207</v>
      </c>
      <c r="J305" s="98" t="s">
        <v>178</v>
      </c>
      <c r="K305" s="28">
        <v>30169</v>
      </c>
      <c r="L305" s="82" t="s">
        <v>179</v>
      </c>
      <c r="M305" s="170">
        <v>43770</v>
      </c>
      <c r="N305" s="25">
        <v>43407</v>
      </c>
      <c r="O305" s="17" t="s">
        <v>34</v>
      </c>
      <c r="P305" s="18" t="s">
        <v>309</v>
      </c>
      <c r="Q305" s="18" t="s">
        <v>181</v>
      </c>
      <c r="R305" s="17" t="s">
        <v>182</v>
      </c>
      <c r="S305" s="19" t="s">
        <v>211</v>
      </c>
      <c r="T305" s="175"/>
      <c r="U305" s="175"/>
      <c r="V305" s="21" t="s">
        <v>200</v>
      </c>
      <c r="W305" s="21" t="s">
        <v>200</v>
      </c>
      <c r="X305" s="1">
        <v>4</v>
      </c>
      <c r="Y305" s="77" t="s">
        <v>2208</v>
      </c>
      <c r="Z305" s="86"/>
      <c r="AA305" s="94" t="s">
        <v>186</v>
      </c>
      <c r="AB305" s="94"/>
      <c r="AC305" s="123"/>
      <c r="AD305" s="218"/>
      <c r="AE305" s="218"/>
      <c r="AF305" s="219"/>
      <c r="AG305" s="220"/>
      <c r="AH305" s="221"/>
      <c r="AI305" s="221"/>
      <c r="AJ305" s="97" t="s">
        <v>203</v>
      </c>
      <c r="AK305" s="97" t="s">
        <v>190</v>
      </c>
      <c r="AL305" s="97" t="s">
        <v>190</v>
      </c>
      <c r="AM305" s="97" t="s">
        <v>1489</v>
      </c>
      <c r="AN305" s="22">
        <v>182</v>
      </c>
      <c r="AO305" s="22">
        <v>0</v>
      </c>
      <c r="AP305" s="22">
        <v>0</v>
      </c>
      <c r="AQ305" s="22">
        <v>0</v>
      </c>
      <c r="AR305" s="22">
        <v>0</v>
      </c>
      <c r="AS305" s="22">
        <v>7</v>
      </c>
      <c r="AT305" s="22">
        <v>10</v>
      </c>
      <c r="AU305" s="316">
        <f t="shared" si="45"/>
        <v>199</v>
      </c>
      <c r="AV305" s="22">
        <v>190</v>
      </c>
      <c r="AW305" s="22">
        <v>0</v>
      </c>
      <c r="AX305" s="22">
        <v>0</v>
      </c>
      <c r="AY305" s="22">
        <v>0</v>
      </c>
      <c r="AZ305" s="22">
        <v>0</v>
      </c>
      <c r="BA305" s="22">
        <v>7</v>
      </c>
      <c r="BB305" s="22">
        <v>10</v>
      </c>
      <c r="BC305" s="316">
        <f t="shared" si="46"/>
        <v>207</v>
      </c>
      <c r="BD305" s="58">
        <f t="shared" si="47"/>
        <v>8</v>
      </c>
      <c r="BE305" s="58">
        <f t="shared" si="48"/>
        <v>0</v>
      </c>
      <c r="BF305" s="58">
        <f t="shared" si="49"/>
        <v>0</v>
      </c>
      <c r="BG305" s="58">
        <f t="shared" si="50"/>
        <v>0</v>
      </c>
      <c r="BH305" s="58">
        <f t="shared" si="51"/>
        <v>0</v>
      </c>
      <c r="BI305" s="58">
        <f t="shared" si="52"/>
        <v>0</v>
      </c>
      <c r="BJ305" s="58">
        <f t="shared" si="53"/>
        <v>0</v>
      </c>
      <c r="BK305" s="58">
        <f t="shared" si="54"/>
        <v>8</v>
      </c>
    </row>
    <row r="306" spans="1:63" ht="27" customHeight="1">
      <c r="A306" s="13">
        <f t="shared" si="55"/>
        <v>304</v>
      </c>
      <c r="B306" s="14"/>
      <c r="C306" s="10">
        <v>2551</v>
      </c>
      <c r="D306" s="119" t="s">
        <v>2209</v>
      </c>
      <c r="E306" s="217" t="s">
        <v>2210</v>
      </c>
      <c r="F306" s="106" t="s">
        <v>2211</v>
      </c>
      <c r="G306" s="107" t="s">
        <v>2212</v>
      </c>
      <c r="H306" s="26" t="s">
        <v>2213</v>
      </c>
      <c r="I306" s="27" t="s">
        <v>2214</v>
      </c>
      <c r="J306" s="98" t="s">
        <v>178</v>
      </c>
      <c r="K306" s="28">
        <v>36770</v>
      </c>
      <c r="L306" s="82" t="s">
        <v>179</v>
      </c>
      <c r="M306" s="170">
        <v>43770</v>
      </c>
      <c r="N306" s="25">
        <v>43411</v>
      </c>
      <c r="O306" s="17" t="s">
        <v>34</v>
      </c>
      <c r="P306" s="18" t="s">
        <v>1343</v>
      </c>
      <c r="Q306" s="18" t="s">
        <v>181</v>
      </c>
      <c r="R306" s="17" t="s">
        <v>182</v>
      </c>
      <c r="S306" s="13" t="s">
        <v>228</v>
      </c>
      <c r="T306" s="175"/>
      <c r="U306" s="175"/>
      <c r="V306" s="21" t="s">
        <v>200</v>
      </c>
      <c r="W306" s="21" t="s">
        <v>200</v>
      </c>
      <c r="X306" s="1">
        <v>5</v>
      </c>
      <c r="Y306" s="77"/>
      <c r="Z306" s="86"/>
      <c r="AA306" s="94" t="s">
        <v>186</v>
      </c>
      <c r="AB306" s="86"/>
      <c r="AC306" s="123"/>
      <c r="AD306" s="218"/>
      <c r="AE306" s="218"/>
      <c r="AF306" s="219"/>
      <c r="AG306" s="220"/>
      <c r="AH306" s="221"/>
      <c r="AI306" s="221"/>
      <c r="AJ306" s="97" t="s">
        <v>203</v>
      </c>
      <c r="AK306" s="97" t="s">
        <v>190</v>
      </c>
      <c r="AL306" s="97" t="s">
        <v>190</v>
      </c>
      <c r="AM306" s="97" t="s">
        <v>1234</v>
      </c>
      <c r="AN306" s="22">
        <v>182</v>
      </c>
      <c r="AO306" s="22">
        <v>0</v>
      </c>
      <c r="AP306" s="22">
        <v>0</v>
      </c>
      <c r="AQ306" s="22">
        <v>0</v>
      </c>
      <c r="AR306" s="22">
        <v>0</v>
      </c>
      <c r="AS306" s="22">
        <v>7</v>
      </c>
      <c r="AT306" s="22">
        <v>10</v>
      </c>
      <c r="AU306" s="316">
        <f t="shared" si="45"/>
        <v>199</v>
      </c>
      <c r="AV306" s="22">
        <v>190</v>
      </c>
      <c r="AW306" s="22">
        <v>0</v>
      </c>
      <c r="AX306" s="22">
        <v>0</v>
      </c>
      <c r="AY306" s="22">
        <v>0</v>
      </c>
      <c r="AZ306" s="22">
        <v>0</v>
      </c>
      <c r="BA306" s="22">
        <v>7</v>
      </c>
      <c r="BB306" s="22">
        <v>10</v>
      </c>
      <c r="BC306" s="316">
        <f t="shared" si="46"/>
        <v>207</v>
      </c>
      <c r="BD306" s="58">
        <f t="shared" si="47"/>
        <v>8</v>
      </c>
      <c r="BE306" s="58">
        <f t="shared" si="48"/>
        <v>0</v>
      </c>
      <c r="BF306" s="58">
        <f t="shared" si="49"/>
        <v>0</v>
      </c>
      <c r="BG306" s="58">
        <f t="shared" si="50"/>
        <v>0</v>
      </c>
      <c r="BH306" s="58">
        <f t="shared" si="51"/>
        <v>0</v>
      </c>
      <c r="BI306" s="58">
        <f t="shared" si="52"/>
        <v>0</v>
      </c>
      <c r="BJ306" s="58">
        <f t="shared" si="53"/>
        <v>0</v>
      </c>
      <c r="BK306" s="58">
        <f t="shared" si="54"/>
        <v>8</v>
      </c>
    </row>
    <row r="307" spans="1:63" ht="27" customHeight="1">
      <c r="A307" s="13">
        <f t="shared" si="55"/>
        <v>305</v>
      </c>
      <c r="B307" s="14"/>
      <c r="C307" s="10">
        <v>2554</v>
      </c>
      <c r="D307" s="119" t="s">
        <v>2215</v>
      </c>
      <c r="E307" s="217" t="s">
        <v>2216</v>
      </c>
      <c r="F307" s="106" t="s">
        <v>2217</v>
      </c>
      <c r="G307" s="107" t="s">
        <v>2218</v>
      </c>
      <c r="H307" s="26" t="s">
        <v>2219</v>
      </c>
      <c r="I307" s="27" t="s">
        <v>2220</v>
      </c>
      <c r="J307" s="98" t="s">
        <v>209</v>
      </c>
      <c r="K307" s="28">
        <v>34011</v>
      </c>
      <c r="L307" s="82" t="s">
        <v>179</v>
      </c>
      <c r="M307" s="170">
        <v>43770</v>
      </c>
      <c r="N307" s="25">
        <v>43413</v>
      </c>
      <c r="O307" s="17" t="s">
        <v>34</v>
      </c>
      <c r="P307" s="18" t="s">
        <v>552</v>
      </c>
      <c r="Q307" s="18" t="s">
        <v>181</v>
      </c>
      <c r="R307" s="17" t="s">
        <v>182</v>
      </c>
      <c r="S307" s="13" t="s">
        <v>1118</v>
      </c>
      <c r="T307" s="175"/>
      <c r="U307" s="175"/>
      <c r="V307" s="21" t="s">
        <v>200</v>
      </c>
      <c r="W307" s="21" t="s">
        <v>200</v>
      </c>
      <c r="X307" s="1"/>
      <c r="Y307" s="77"/>
      <c r="Z307" s="86"/>
      <c r="AA307" s="94" t="s">
        <v>186</v>
      </c>
      <c r="AB307" s="86"/>
      <c r="AC307" s="123"/>
      <c r="AD307" s="218"/>
      <c r="AE307" s="218"/>
      <c r="AF307" s="219"/>
      <c r="AG307" s="220"/>
      <c r="AH307" s="221"/>
      <c r="AI307" s="221"/>
      <c r="AJ307" s="97" t="s">
        <v>203</v>
      </c>
      <c r="AK307" s="97" t="s">
        <v>190</v>
      </c>
      <c r="AL307" s="97" t="s">
        <v>190</v>
      </c>
      <c r="AM307" s="97" t="s">
        <v>1562</v>
      </c>
      <c r="AN307" s="22">
        <v>182</v>
      </c>
      <c r="AO307" s="22">
        <v>0</v>
      </c>
      <c r="AP307" s="22">
        <v>0</v>
      </c>
      <c r="AQ307" s="22">
        <v>0</v>
      </c>
      <c r="AR307" s="22">
        <v>0</v>
      </c>
      <c r="AS307" s="22">
        <v>7</v>
      </c>
      <c r="AT307" s="22">
        <v>10</v>
      </c>
      <c r="AU307" s="316">
        <f t="shared" si="45"/>
        <v>199</v>
      </c>
      <c r="AV307" s="22">
        <v>190</v>
      </c>
      <c r="AW307" s="22">
        <v>0</v>
      </c>
      <c r="AX307" s="22">
        <v>0</v>
      </c>
      <c r="AY307" s="22">
        <v>0</v>
      </c>
      <c r="AZ307" s="22">
        <v>0</v>
      </c>
      <c r="BA307" s="22">
        <v>7</v>
      </c>
      <c r="BB307" s="22">
        <v>10</v>
      </c>
      <c r="BC307" s="316">
        <f t="shared" si="46"/>
        <v>207</v>
      </c>
      <c r="BD307" s="58">
        <f t="shared" si="47"/>
        <v>8</v>
      </c>
      <c r="BE307" s="58">
        <f t="shared" si="48"/>
        <v>0</v>
      </c>
      <c r="BF307" s="58">
        <f t="shared" si="49"/>
        <v>0</v>
      </c>
      <c r="BG307" s="58">
        <f t="shared" si="50"/>
        <v>0</v>
      </c>
      <c r="BH307" s="58">
        <f t="shared" si="51"/>
        <v>0</v>
      </c>
      <c r="BI307" s="58">
        <f t="shared" si="52"/>
        <v>0</v>
      </c>
      <c r="BJ307" s="58">
        <f t="shared" si="53"/>
        <v>0</v>
      </c>
      <c r="BK307" s="58">
        <f t="shared" si="54"/>
        <v>8</v>
      </c>
    </row>
    <row r="308" spans="1:63" ht="27" customHeight="1">
      <c r="A308" s="13">
        <f t="shared" si="55"/>
        <v>306</v>
      </c>
      <c r="B308" s="14"/>
      <c r="C308" s="10">
        <v>2553</v>
      </c>
      <c r="D308" s="119" t="s">
        <v>2221</v>
      </c>
      <c r="E308" s="217" t="s">
        <v>2222</v>
      </c>
      <c r="F308" s="106" t="s">
        <v>450</v>
      </c>
      <c r="G308" s="107" t="s">
        <v>2223</v>
      </c>
      <c r="H308" s="26" t="s">
        <v>2224</v>
      </c>
      <c r="I308" s="27" t="s">
        <v>2225</v>
      </c>
      <c r="J308" s="98" t="s">
        <v>178</v>
      </c>
      <c r="K308" s="28">
        <v>32518</v>
      </c>
      <c r="L308" s="82" t="s">
        <v>179</v>
      </c>
      <c r="M308" s="170">
        <v>43770</v>
      </c>
      <c r="N308" s="25">
        <v>43413</v>
      </c>
      <c r="O308" s="17" t="s">
        <v>34</v>
      </c>
      <c r="P308" s="18" t="s">
        <v>386</v>
      </c>
      <c r="Q308" s="18" t="s">
        <v>181</v>
      </c>
      <c r="R308" s="17" t="s">
        <v>182</v>
      </c>
      <c r="S308" s="19" t="s">
        <v>256</v>
      </c>
      <c r="T308" s="175"/>
      <c r="U308" s="175"/>
      <c r="V308" s="21" t="s">
        <v>200</v>
      </c>
      <c r="W308" s="21" t="s">
        <v>200</v>
      </c>
      <c r="X308" s="1">
        <v>6</v>
      </c>
      <c r="Y308" s="77" t="s">
        <v>2226</v>
      </c>
      <c r="Z308" s="86"/>
      <c r="AA308" s="94" t="s">
        <v>186</v>
      </c>
      <c r="AB308" s="86"/>
      <c r="AC308" s="123"/>
      <c r="AD308" s="218"/>
      <c r="AE308" s="218"/>
      <c r="AF308" s="219"/>
      <c r="AG308" s="220"/>
      <c r="AH308" s="221"/>
      <c r="AI308" s="221"/>
      <c r="AJ308" s="97" t="s">
        <v>203</v>
      </c>
      <c r="AK308" s="97" t="s">
        <v>190</v>
      </c>
      <c r="AL308" s="97" t="s">
        <v>190</v>
      </c>
      <c r="AM308" s="97" t="s">
        <v>1489</v>
      </c>
      <c r="AN308" s="22">
        <v>182</v>
      </c>
      <c r="AO308" s="22">
        <v>0</v>
      </c>
      <c r="AP308" s="22">
        <v>0</v>
      </c>
      <c r="AQ308" s="22">
        <v>0</v>
      </c>
      <c r="AR308" s="22">
        <v>0</v>
      </c>
      <c r="AS308" s="22">
        <v>7</v>
      </c>
      <c r="AT308" s="22">
        <v>10</v>
      </c>
      <c r="AU308" s="316">
        <f t="shared" si="45"/>
        <v>199</v>
      </c>
      <c r="AV308" s="22">
        <v>190</v>
      </c>
      <c r="AW308" s="22">
        <v>0</v>
      </c>
      <c r="AX308" s="22">
        <v>0</v>
      </c>
      <c r="AY308" s="22">
        <v>0</v>
      </c>
      <c r="AZ308" s="22">
        <v>0</v>
      </c>
      <c r="BA308" s="22">
        <v>7</v>
      </c>
      <c r="BB308" s="22">
        <v>10</v>
      </c>
      <c r="BC308" s="316">
        <f t="shared" si="46"/>
        <v>207</v>
      </c>
      <c r="BD308" s="58">
        <f t="shared" si="47"/>
        <v>8</v>
      </c>
      <c r="BE308" s="58">
        <f t="shared" si="48"/>
        <v>0</v>
      </c>
      <c r="BF308" s="58">
        <f t="shared" si="49"/>
        <v>0</v>
      </c>
      <c r="BG308" s="58">
        <f t="shared" si="50"/>
        <v>0</v>
      </c>
      <c r="BH308" s="58">
        <f t="shared" si="51"/>
        <v>0</v>
      </c>
      <c r="BI308" s="58">
        <f t="shared" si="52"/>
        <v>0</v>
      </c>
      <c r="BJ308" s="58">
        <f t="shared" si="53"/>
        <v>0</v>
      </c>
      <c r="BK308" s="58">
        <f t="shared" si="54"/>
        <v>8</v>
      </c>
    </row>
    <row r="309" spans="1:63" ht="27" customHeight="1">
      <c r="A309" s="13">
        <f t="shared" si="55"/>
        <v>307</v>
      </c>
      <c r="B309" s="14"/>
      <c r="C309" s="10">
        <v>2555</v>
      </c>
      <c r="D309" s="119" t="s">
        <v>2227</v>
      </c>
      <c r="E309" s="217" t="s">
        <v>2228</v>
      </c>
      <c r="F309" s="106" t="s">
        <v>2229</v>
      </c>
      <c r="G309" s="107" t="s">
        <v>2230</v>
      </c>
      <c r="H309" s="26" t="s">
        <v>47</v>
      </c>
      <c r="I309" s="27" t="s">
        <v>2231</v>
      </c>
      <c r="J309" s="98" t="s">
        <v>178</v>
      </c>
      <c r="K309" s="28">
        <v>35104</v>
      </c>
      <c r="L309" s="82" t="s">
        <v>179</v>
      </c>
      <c r="M309" s="170">
        <v>43770</v>
      </c>
      <c r="N309" s="25">
        <v>43413</v>
      </c>
      <c r="O309" s="17" t="s">
        <v>34</v>
      </c>
      <c r="P309" s="18" t="s">
        <v>1343</v>
      </c>
      <c r="Q309" s="18" t="s">
        <v>181</v>
      </c>
      <c r="R309" s="17" t="s">
        <v>182</v>
      </c>
      <c r="S309" s="13" t="s">
        <v>433</v>
      </c>
      <c r="T309" s="175"/>
      <c r="U309" s="175"/>
      <c r="V309" s="21" t="s">
        <v>200</v>
      </c>
      <c r="W309" s="21" t="s">
        <v>200</v>
      </c>
      <c r="X309" s="1">
        <v>3</v>
      </c>
      <c r="Y309" s="77" t="s">
        <v>2232</v>
      </c>
      <c r="Z309" s="86"/>
      <c r="AA309" s="94" t="s">
        <v>186</v>
      </c>
      <c r="AB309" s="86"/>
      <c r="AC309" s="123"/>
      <c r="AD309" s="218"/>
      <c r="AE309" s="218"/>
      <c r="AF309" s="219"/>
      <c r="AG309" s="220"/>
      <c r="AH309" s="221"/>
      <c r="AI309" s="221"/>
      <c r="AJ309" s="97" t="s">
        <v>203</v>
      </c>
      <c r="AK309" s="97" t="s">
        <v>190</v>
      </c>
      <c r="AL309" s="97" t="s">
        <v>190</v>
      </c>
      <c r="AM309" s="97" t="s">
        <v>1562</v>
      </c>
      <c r="AN309" s="22">
        <v>182</v>
      </c>
      <c r="AO309" s="22">
        <v>0</v>
      </c>
      <c r="AP309" s="22">
        <v>0</v>
      </c>
      <c r="AQ309" s="22">
        <v>0</v>
      </c>
      <c r="AR309" s="22">
        <v>0</v>
      </c>
      <c r="AS309" s="22">
        <v>7</v>
      </c>
      <c r="AT309" s="22">
        <v>10</v>
      </c>
      <c r="AU309" s="316">
        <f t="shared" si="45"/>
        <v>199</v>
      </c>
      <c r="AV309" s="22">
        <v>190</v>
      </c>
      <c r="AW309" s="22">
        <v>0</v>
      </c>
      <c r="AX309" s="22">
        <v>0</v>
      </c>
      <c r="AY309" s="22">
        <v>0</v>
      </c>
      <c r="AZ309" s="22">
        <v>0</v>
      </c>
      <c r="BA309" s="22">
        <v>7</v>
      </c>
      <c r="BB309" s="22">
        <v>10</v>
      </c>
      <c r="BC309" s="316">
        <f t="shared" si="46"/>
        <v>207</v>
      </c>
      <c r="BD309" s="58">
        <f t="shared" si="47"/>
        <v>8</v>
      </c>
      <c r="BE309" s="58">
        <f t="shared" si="48"/>
        <v>0</v>
      </c>
      <c r="BF309" s="58">
        <f t="shared" si="49"/>
        <v>0</v>
      </c>
      <c r="BG309" s="58">
        <f t="shared" si="50"/>
        <v>0</v>
      </c>
      <c r="BH309" s="58">
        <f t="shared" si="51"/>
        <v>0</v>
      </c>
      <c r="BI309" s="58">
        <f t="shared" si="52"/>
        <v>0</v>
      </c>
      <c r="BJ309" s="58">
        <f t="shared" si="53"/>
        <v>0</v>
      </c>
      <c r="BK309" s="58">
        <f t="shared" si="54"/>
        <v>8</v>
      </c>
    </row>
    <row r="310" spans="1:63" ht="27" customHeight="1">
      <c r="A310" s="13">
        <f t="shared" si="55"/>
        <v>308</v>
      </c>
      <c r="B310" s="14"/>
      <c r="C310" s="14">
        <v>2566</v>
      </c>
      <c r="D310" s="119" t="s">
        <v>2233</v>
      </c>
      <c r="E310" s="217">
        <v>100902093</v>
      </c>
      <c r="F310" s="106" t="s">
        <v>2234</v>
      </c>
      <c r="G310" s="107" t="s">
        <v>831</v>
      </c>
      <c r="H310" s="26" t="s">
        <v>2235</v>
      </c>
      <c r="I310" s="27" t="s">
        <v>2236</v>
      </c>
      <c r="J310" s="98" t="s">
        <v>178</v>
      </c>
      <c r="K310" s="28">
        <v>31869</v>
      </c>
      <c r="L310" s="82" t="s">
        <v>179</v>
      </c>
      <c r="M310" s="224">
        <v>43800</v>
      </c>
      <c r="N310" s="25">
        <v>43421</v>
      </c>
      <c r="O310" s="17" t="s">
        <v>34</v>
      </c>
      <c r="P310" s="18" t="s">
        <v>301</v>
      </c>
      <c r="Q310" s="18" t="s">
        <v>181</v>
      </c>
      <c r="R310" s="17" t="s">
        <v>182</v>
      </c>
      <c r="S310" s="19" t="s">
        <v>211</v>
      </c>
      <c r="T310" s="175"/>
      <c r="U310" s="175"/>
      <c r="V310" s="21" t="s">
        <v>200</v>
      </c>
      <c r="W310" s="21" t="s">
        <v>200</v>
      </c>
      <c r="X310" s="1">
        <v>5</v>
      </c>
      <c r="Y310" s="214" t="s">
        <v>2237</v>
      </c>
      <c r="Z310" s="86"/>
      <c r="AA310" s="1"/>
      <c r="AB310" s="177"/>
      <c r="AC310" s="115"/>
      <c r="AD310" s="115"/>
      <c r="AE310" s="122"/>
      <c r="AF310" s="122"/>
      <c r="AG310" s="3"/>
      <c r="AH310" s="3"/>
      <c r="AI310" s="21"/>
      <c r="AJ310" s="21" t="s">
        <v>190</v>
      </c>
      <c r="AK310" s="21" t="s">
        <v>190</v>
      </c>
      <c r="AL310" s="97" t="s">
        <v>190</v>
      </c>
      <c r="AM310" s="123" t="s">
        <v>1234</v>
      </c>
      <c r="AN310" s="22">
        <v>182</v>
      </c>
      <c r="AO310" s="22">
        <v>0</v>
      </c>
      <c r="AP310" s="22">
        <v>0</v>
      </c>
      <c r="AQ310" s="22">
        <v>0</v>
      </c>
      <c r="AR310" s="22">
        <v>0</v>
      </c>
      <c r="AS310" s="22">
        <v>7</v>
      </c>
      <c r="AT310" s="22">
        <v>10</v>
      </c>
      <c r="AU310" s="316">
        <f t="shared" si="45"/>
        <v>199</v>
      </c>
      <c r="AV310" s="22">
        <v>190</v>
      </c>
      <c r="AW310" s="22">
        <v>0</v>
      </c>
      <c r="AX310" s="22">
        <v>0</v>
      </c>
      <c r="AY310" s="22">
        <v>0</v>
      </c>
      <c r="AZ310" s="22">
        <v>0</v>
      </c>
      <c r="BA310" s="22">
        <v>7</v>
      </c>
      <c r="BB310" s="22">
        <v>10</v>
      </c>
      <c r="BC310" s="316">
        <f t="shared" si="46"/>
        <v>207</v>
      </c>
      <c r="BD310" s="58">
        <f t="shared" si="47"/>
        <v>8</v>
      </c>
      <c r="BE310" s="58">
        <f t="shared" si="48"/>
        <v>0</v>
      </c>
      <c r="BF310" s="58">
        <f t="shared" si="49"/>
        <v>0</v>
      </c>
      <c r="BG310" s="58">
        <f t="shared" si="50"/>
        <v>0</v>
      </c>
      <c r="BH310" s="58">
        <f t="shared" si="51"/>
        <v>0</v>
      </c>
      <c r="BI310" s="58">
        <f t="shared" si="52"/>
        <v>0</v>
      </c>
      <c r="BJ310" s="58">
        <f t="shared" si="53"/>
        <v>0</v>
      </c>
      <c r="BK310" s="58">
        <f t="shared" si="54"/>
        <v>8</v>
      </c>
    </row>
    <row r="311" spans="1:63" ht="27" customHeight="1">
      <c r="A311" s="13">
        <f t="shared" si="55"/>
        <v>309</v>
      </c>
      <c r="B311" s="14"/>
      <c r="C311" s="10">
        <v>2572</v>
      </c>
      <c r="D311" s="119" t="s">
        <v>2238</v>
      </c>
      <c r="E311" s="217" t="s">
        <v>2239</v>
      </c>
      <c r="F311" s="106" t="s">
        <v>2240</v>
      </c>
      <c r="G311" s="107" t="s">
        <v>2241</v>
      </c>
      <c r="H311" s="26" t="s">
        <v>1791</v>
      </c>
      <c r="I311" s="27" t="s">
        <v>2242</v>
      </c>
      <c r="J311" s="98" t="s">
        <v>178</v>
      </c>
      <c r="K311" s="28">
        <v>34397</v>
      </c>
      <c r="L311" s="82" t="s">
        <v>179</v>
      </c>
      <c r="M311" s="224">
        <v>43800</v>
      </c>
      <c r="N311" s="25">
        <v>43421</v>
      </c>
      <c r="O311" s="17" t="s">
        <v>34</v>
      </c>
      <c r="P311" s="18" t="s">
        <v>227</v>
      </c>
      <c r="Q311" s="18" t="s">
        <v>181</v>
      </c>
      <c r="R311" s="17" t="s">
        <v>182</v>
      </c>
      <c r="S311" s="19" t="s">
        <v>256</v>
      </c>
      <c r="T311" s="175"/>
      <c r="U311" s="175"/>
      <c r="V311" s="21" t="s">
        <v>200</v>
      </c>
      <c r="W311" s="21" t="s">
        <v>200</v>
      </c>
      <c r="X311" s="21">
        <v>4</v>
      </c>
      <c r="Y311" s="1" t="s">
        <v>2243</v>
      </c>
      <c r="Z311" s="86" t="s">
        <v>186</v>
      </c>
      <c r="AA311" s="86"/>
      <c r="AB311" s="86"/>
      <c r="AC311" s="123"/>
      <c r="AD311" s="218"/>
      <c r="AE311" s="218"/>
      <c r="AF311" s="219"/>
      <c r="AG311" s="220"/>
      <c r="AH311" s="221"/>
      <c r="AI311" s="221"/>
      <c r="AJ311" s="97" t="s">
        <v>190</v>
      </c>
      <c r="AK311" s="97" t="s">
        <v>190</v>
      </c>
      <c r="AL311" s="97" t="s">
        <v>190</v>
      </c>
      <c r="AM311" s="97" t="s">
        <v>1514</v>
      </c>
      <c r="AN311" s="22">
        <v>182</v>
      </c>
      <c r="AO311" s="22">
        <v>0</v>
      </c>
      <c r="AP311" s="22">
        <v>0</v>
      </c>
      <c r="AQ311" s="22">
        <v>0</v>
      </c>
      <c r="AR311" s="22">
        <v>0</v>
      </c>
      <c r="AS311" s="22">
        <v>7</v>
      </c>
      <c r="AT311" s="22">
        <v>10</v>
      </c>
      <c r="AU311" s="316">
        <f t="shared" si="45"/>
        <v>199</v>
      </c>
      <c r="AV311" s="22">
        <v>190</v>
      </c>
      <c r="AW311" s="22">
        <v>0</v>
      </c>
      <c r="AX311" s="22">
        <v>0</v>
      </c>
      <c r="AY311" s="22">
        <v>0</v>
      </c>
      <c r="AZ311" s="22">
        <v>0</v>
      </c>
      <c r="BA311" s="22">
        <v>7</v>
      </c>
      <c r="BB311" s="22">
        <v>10</v>
      </c>
      <c r="BC311" s="316">
        <f t="shared" si="46"/>
        <v>207</v>
      </c>
      <c r="BD311" s="58">
        <f t="shared" si="47"/>
        <v>8</v>
      </c>
      <c r="BE311" s="58">
        <f t="shared" si="48"/>
        <v>0</v>
      </c>
      <c r="BF311" s="58">
        <f t="shared" si="49"/>
        <v>0</v>
      </c>
      <c r="BG311" s="58">
        <f t="shared" si="50"/>
        <v>0</v>
      </c>
      <c r="BH311" s="58">
        <f t="shared" si="51"/>
        <v>0</v>
      </c>
      <c r="BI311" s="58">
        <f t="shared" si="52"/>
        <v>0</v>
      </c>
      <c r="BJ311" s="58">
        <f t="shared" si="53"/>
        <v>0</v>
      </c>
      <c r="BK311" s="58">
        <f t="shared" si="54"/>
        <v>8</v>
      </c>
    </row>
    <row r="312" spans="1:63" ht="27" customHeight="1">
      <c r="A312" s="13">
        <f t="shared" si="55"/>
        <v>310</v>
      </c>
      <c r="B312" s="14"/>
      <c r="C312" s="14">
        <v>2573</v>
      </c>
      <c r="D312" s="76" t="s">
        <v>2244</v>
      </c>
      <c r="E312" s="77">
        <v>110244944</v>
      </c>
      <c r="F312" s="106" t="s">
        <v>1940</v>
      </c>
      <c r="G312" s="107" t="s">
        <v>2245</v>
      </c>
      <c r="H312" s="26" t="s">
        <v>2246</v>
      </c>
      <c r="I312" s="27" t="s">
        <v>2247</v>
      </c>
      <c r="J312" s="98" t="s">
        <v>209</v>
      </c>
      <c r="K312" s="99">
        <v>30560</v>
      </c>
      <c r="L312" s="82" t="s">
        <v>179</v>
      </c>
      <c r="M312" s="224">
        <v>43800</v>
      </c>
      <c r="N312" s="25">
        <v>43421</v>
      </c>
      <c r="O312" s="17" t="s">
        <v>34</v>
      </c>
      <c r="P312" s="18" t="s">
        <v>15</v>
      </c>
      <c r="Q312" s="18" t="s">
        <v>181</v>
      </c>
      <c r="R312" s="17" t="s">
        <v>182</v>
      </c>
      <c r="S312" s="19" t="s">
        <v>256</v>
      </c>
      <c r="T312" s="175"/>
      <c r="U312" s="175"/>
      <c r="V312" s="21" t="s">
        <v>200</v>
      </c>
      <c r="W312" s="21" t="s">
        <v>200</v>
      </c>
      <c r="X312" s="1">
        <v>9</v>
      </c>
      <c r="Y312" s="77" t="s">
        <v>2248</v>
      </c>
      <c r="Z312" s="86"/>
      <c r="AA312" s="86" t="s">
        <v>186</v>
      </c>
      <c r="AB312" s="86"/>
      <c r="AC312" s="123"/>
      <c r="AD312" s="218"/>
      <c r="AE312" s="218"/>
      <c r="AF312" s="219"/>
      <c r="AG312" s="220"/>
      <c r="AH312" s="221"/>
      <c r="AI312" s="221"/>
      <c r="AJ312" s="97" t="s">
        <v>203</v>
      </c>
      <c r="AK312" s="97" t="s">
        <v>190</v>
      </c>
      <c r="AL312" s="97" t="s">
        <v>190</v>
      </c>
      <c r="AM312" s="123" t="s">
        <v>1489</v>
      </c>
      <c r="AN312" s="22">
        <v>182</v>
      </c>
      <c r="AO312" s="22">
        <v>0</v>
      </c>
      <c r="AP312" s="22">
        <v>0</v>
      </c>
      <c r="AQ312" s="22">
        <v>133</v>
      </c>
      <c r="AR312" s="22">
        <v>30</v>
      </c>
      <c r="AS312" s="22">
        <v>7</v>
      </c>
      <c r="AT312" s="22">
        <v>10</v>
      </c>
      <c r="AU312" s="316">
        <f t="shared" si="45"/>
        <v>362</v>
      </c>
      <c r="AV312" s="22">
        <v>190</v>
      </c>
      <c r="AW312" s="22">
        <v>0</v>
      </c>
      <c r="AX312" s="22">
        <v>0</v>
      </c>
      <c r="AY312" s="22">
        <v>133</v>
      </c>
      <c r="AZ312" s="22">
        <v>30</v>
      </c>
      <c r="BA312" s="22">
        <v>7</v>
      </c>
      <c r="BB312" s="22">
        <v>10</v>
      </c>
      <c r="BC312" s="316">
        <f t="shared" si="46"/>
        <v>370</v>
      </c>
      <c r="BD312" s="58">
        <f t="shared" si="47"/>
        <v>8</v>
      </c>
      <c r="BE312" s="58">
        <f t="shared" si="48"/>
        <v>0</v>
      </c>
      <c r="BF312" s="58">
        <f t="shared" si="49"/>
        <v>0</v>
      </c>
      <c r="BG312" s="58">
        <f t="shared" si="50"/>
        <v>0</v>
      </c>
      <c r="BH312" s="58">
        <f t="shared" si="51"/>
        <v>0</v>
      </c>
      <c r="BI312" s="58">
        <f t="shared" si="52"/>
        <v>0</v>
      </c>
      <c r="BJ312" s="58">
        <f t="shared" si="53"/>
        <v>0</v>
      </c>
      <c r="BK312" s="58">
        <f t="shared" si="54"/>
        <v>8</v>
      </c>
    </row>
    <row r="313" spans="1:63" ht="27" customHeight="1">
      <c r="A313" s="13">
        <f t="shared" si="55"/>
        <v>311</v>
      </c>
      <c r="B313" s="14"/>
      <c r="C313" s="10">
        <v>2570</v>
      </c>
      <c r="D313" s="119" t="s">
        <v>2249</v>
      </c>
      <c r="E313" s="217" t="s">
        <v>2250</v>
      </c>
      <c r="F313" s="106" t="s">
        <v>963</v>
      </c>
      <c r="G313" s="107" t="s">
        <v>2251</v>
      </c>
      <c r="H313" s="26" t="s">
        <v>2252</v>
      </c>
      <c r="I313" s="27" t="s">
        <v>2253</v>
      </c>
      <c r="J313" s="98" t="s">
        <v>178</v>
      </c>
      <c r="K313" s="28">
        <v>31603</v>
      </c>
      <c r="L313" s="82" t="s">
        <v>179</v>
      </c>
      <c r="M313" s="224">
        <v>43800</v>
      </c>
      <c r="N313" s="25">
        <v>43421</v>
      </c>
      <c r="O313" s="17" t="s">
        <v>34</v>
      </c>
      <c r="P313" s="18" t="s">
        <v>301</v>
      </c>
      <c r="Q313" s="18" t="s">
        <v>181</v>
      </c>
      <c r="R313" s="17" t="s">
        <v>182</v>
      </c>
      <c r="S313" s="19" t="s">
        <v>256</v>
      </c>
      <c r="T313" s="175"/>
      <c r="U313" s="175"/>
      <c r="V313" s="21" t="s">
        <v>200</v>
      </c>
      <c r="W313" s="21" t="s">
        <v>200</v>
      </c>
      <c r="X313" s="1">
        <v>8</v>
      </c>
      <c r="Y313" s="77" t="s">
        <v>2254</v>
      </c>
      <c r="Z313" s="86"/>
      <c r="AA313" s="86" t="s">
        <v>186</v>
      </c>
      <c r="AB313" s="86"/>
      <c r="AC313" s="123"/>
      <c r="AD313" s="218"/>
      <c r="AE313" s="218"/>
      <c r="AF313" s="219"/>
      <c r="AG313" s="220"/>
      <c r="AH313" s="221"/>
      <c r="AI313" s="221"/>
      <c r="AJ313" s="97" t="s">
        <v>203</v>
      </c>
      <c r="AK313" s="97" t="s">
        <v>190</v>
      </c>
      <c r="AL313" s="97" t="s">
        <v>190</v>
      </c>
      <c r="AM313" s="123" t="s">
        <v>1530</v>
      </c>
      <c r="AN313" s="22">
        <v>182</v>
      </c>
      <c r="AO313" s="22">
        <v>0</v>
      </c>
      <c r="AP313" s="22">
        <v>0</v>
      </c>
      <c r="AQ313" s="22">
        <v>0</v>
      </c>
      <c r="AR313" s="22">
        <v>0</v>
      </c>
      <c r="AS313" s="22">
        <v>7</v>
      </c>
      <c r="AT313" s="22">
        <v>10</v>
      </c>
      <c r="AU313" s="316">
        <f t="shared" si="45"/>
        <v>199</v>
      </c>
      <c r="AV313" s="22">
        <v>190</v>
      </c>
      <c r="AW313" s="22">
        <v>0</v>
      </c>
      <c r="AX313" s="22">
        <v>0</v>
      </c>
      <c r="AY313" s="22">
        <v>0</v>
      </c>
      <c r="AZ313" s="22">
        <v>0</v>
      </c>
      <c r="BA313" s="22">
        <v>7</v>
      </c>
      <c r="BB313" s="22">
        <v>10</v>
      </c>
      <c r="BC313" s="316">
        <f t="shared" si="46"/>
        <v>207</v>
      </c>
      <c r="BD313" s="58">
        <f t="shared" si="47"/>
        <v>8</v>
      </c>
      <c r="BE313" s="58">
        <f t="shared" si="48"/>
        <v>0</v>
      </c>
      <c r="BF313" s="58">
        <f t="shared" si="49"/>
        <v>0</v>
      </c>
      <c r="BG313" s="58">
        <f t="shared" si="50"/>
        <v>0</v>
      </c>
      <c r="BH313" s="58">
        <f t="shared" si="51"/>
        <v>0</v>
      </c>
      <c r="BI313" s="58">
        <f t="shared" si="52"/>
        <v>0</v>
      </c>
      <c r="BJ313" s="58">
        <f t="shared" si="53"/>
        <v>0</v>
      </c>
      <c r="BK313" s="58">
        <f t="shared" si="54"/>
        <v>8</v>
      </c>
    </row>
    <row r="314" spans="1:63" ht="27" customHeight="1">
      <c r="A314" s="13">
        <f t="shared" si="55"/>
        <v>312</v>
      </c>
      <c r="B314" s="14"/>
      <c r="C314" s="10">
        <v>2590</v>
      </c>
      <c r="D314" s="119" t="s">
        <v>2255</v>
      </c>
      <c r="E314" s="217" t="s">
        <v>2256</v>
      </c>
      <c r="F314" s="106" t="s">
        <v>2257</v>
      </c>
      <c r="G314" s="107" t="s">
        <v>2037</v>
      </c>
      <c r="H314" s="26" t="s">
        <v>2258</v>
      </c>
      <c r="I314" s="27" t="s">
        <v>2259</v>
      </c>
      <c r="J314" s="98" t="s">
        <v>178</v>
      </c>
      <c r="K314" s="28">
        <v>32942</v>
      </c>
      <c r="L314" s="82" t="s">
        <v>179</v>
      </c>
      <c r="M314" s="224">
        <v>43800</v>
      </c>
      <c r="N314" s="25">
        <v>43421</v>
      </c>
      <c r="O314" s="17" t="s">
        <v>34</v>
      </c>
      <c r="P314" s="18" t="s">
        <v>301</v>
      </c>
      <c r="Q314" s="18" t="s">
        <v>181</v>
      </c>
      <c r="R314" s="17" t="s">
        <v>182</v>
      </c>
      <c r="S314" s="13" t="s">
        <v>219</v>
      </c>
      <c r="T314" s="175"/>
      <c r="U314" s="175"/>
      <c r="V314" s="21" t="s">
        <v>200</v>
      </c>
      <c r="W314" s="21" t="s">
        <v>200</v>
      </c>
      <c r="X314" s="1">
        <v>5</v>
      </c>
      <c r="Y314" s="77"/>
      <c r="Z314" s="86"/>
      <c r="AA314" s="86" t="s">
        <v>186</v>
      </c>
      <c r="AB314" s="86"/>
      <c r="AC314" s="123"/>
      <c r="AD314" s="218"/>
      <c r="AE314" s="218"/>
      <c r="AF314" s="219"/>
      <c r="AG314" s="220"/>
      <c r="AH314" s="221"/>
      <c r="AI314" s="221"/>
      <c r="AJ314" s="97" t="s">
        <v>203</v>
      </c>
      <c r="AK314" s="97" t="s">
        <v>190</v>
      </c>
      <c r="AL314" s="97" t="s">
        <v>190</v>
      </c>
      <c r="AM314" s="123" t="s">
        <v>1234</v>
      </c>
      <c r="AN314" s="22">
        <v>182</v>
      </c>
      <c r="AO314" s="22">
        <v>0</v>
      </c>
      <c r="AP314" s="22">
        <v>0</v>
      </c>
      <c r="AQ314" s="22">
        <v>0</v>
      </c>
      <c r="AR314" s="22">
        <v>0</v>
      </c>
      <c r="AS314" s="22">
        <v>7</v>
      </c>
      <c r="AT314" s="22">
        <v>10</v>
      </c>
      <c r="AU314" s="316">
        <f t="shared" si="45"/>
        <v>199</v>
      </c>
      <c r="AV314" s="22">
        <v>190</v>
      </c>
      <c r="AW314" s="22">
        <v>0</v>
      </c>
      <c r="AX314" s="22">
        <v>0</v>
      </c>
      <c r="AY314" s="22">
        <v>0</v>
      </c>
      <c r="AZ314" s="22">
        <v>0</v>
      </c>
      <c r="BA314" s="22">
        <v>7</v>
      </c>
      <c r="BB314" s="22">
        <v>10</v>
      </c>
      <c r="BC314" s="316">
        <f t="shared" si="46"/>
        <v>207</v>
      </c>
      <c r="BD314" s="58">
        <f t="shared" si="47"/>
        <v>8</v>
      </c>
      <c r="BE314" s="58">
        <f t="shared" si="48"/>
        <v>0</v>
      </c>
      <c r="BF314" s="58">
        <f t="shared" si="49"/>
        <v>0</v>
      </c>
      <c r="BG314" s="58">
        <f t="shared" si="50"/>
        <v>0</v>
      </c>
      <c r="BH314" s="58">
        <f t="shared" si="51"/>
        <v>0</v>
      </c>
      <c r="BI314" s="58">
        <f t="shared" si="52"/>
        <v>0</v>
      </c>
      <c r="BJ314" s="58">
        <f t="shared" si="53"/>
        <v>0</v>
      </c>
      <c r="BK314" s="58">
        <f t="shared" si="54"/>
        <v>8</v>
      </c>
    </row>
    <row r="315" spans="1:63" ht="27" customHeight="1">
      <c r="A315" s="13">
        <f t="shared" si="55"/>
        <v>313</v>
      </c>
      <c r="B315" s="14"/>
      <c r="C315" s="10">
        <v>2589</v>
      </c>
      <c r="D315" s="119" t="s">
        <v>2260</v>
      </c>
      <c r="E315" s="217" t="s">
        <v>2261</v>
      </c>
      <c r="F315" s="106" t="s">
        <v>2262</v>
      </c>
      <c r="G315" s="107" t="s">
        <v>2263</v>
      </c>
      <c r="H315" s="26" t="s">
        <v>2264</v>
      </c>
      <c r="I315" s="27" t="s">
        <v>2265</v>
      </c>
      <c r="J315" s="98" t="s">
        <v>178</v>
      </c>
      <c r="K315" s="28">
        <v>31961</v>
      </c>
      <c r="L315" s="82" t="s">
        <v>179</v>
      </c>
      <c r="M315" s="224">
        <v>43800</v>
      </c>
      <c r="N315" s="25">
        <v>43421</v>
      </c>
      <c r="O315" s="17" t="s">
        <v>34</v>
      </c>
      <c r="P315" s="18" t="s">
        <v>1343</v>
      </c>
      <c r="Q315" s="18" t="s">
        <v>181</v>
      </c>
      <c r="R315" s="17" t="s">
        <v>182</v>
      </c>
      <c r="S315" s="13" t="s">
        <v>228</v>
      </c>
      <c r="T315" s="175"/>
      <c r="U315" s="175"/>
      <c r="V315" s="21" t="s">
        <v>200</v>
      </c>
      <c r="W315" s="21" t="s">
        <v>200</v>
      </c>
      <c r="X315" s="1">
        <v>6</v>
      </c>
      <c r="Y315" s="77"/>
      <c r="Z315" s="86"/>
      <c r="AA315" s="86" t="s">
        <v>186</v>
      </c>
      <c r="AB315" s="86"/>
      <c r="AC315" s="123"/>
      <c r="AD315" s="218"/>
      <c r="AE315" s="218"/>
      <c r="AF315" s="219"/>
      <c r="AG315" s="220"/>
      <c r="AH315" s="221"/>
      <c r="AI315" s="221"/>
      <c r="AJ315" s="97" t="s">
        <v>203</v>
      </c>
      <c r="AK315" s="97" t="s">
        <v>190</v>
      </c>
      <c r="AL315" s="97" t="s">
        <v>190</v>
      </c>
      <c r="AM315" s="123" t="s">
        <v>1489</v>
      </c>
      <c r="AN315" s="22">
        <v>182</v>
      </c>
      <c r="AO315" s="22">
        <v>0</v>
      </c>
      <c r="AP315" s="22">
        <v>0</v>
      </c>
      <c r="AQ315" s="22">
        <v>0</v>
      </c>
      <c r="AR315" s="22">
        <v>0</v>
      </c>
      <c r="AS315" s="22">
        <v>7</v>
      </c>
      <c r="AT315" s="22">
        <v>10</v>
      </c>
      <c r="AU315" s="316">
        <f t="shared" si="45"/>
        <v>199</v>
      </c>
      <c r="AV315" s="22">
        <v>190</v>
      </c>
      <c r="AW315" s="22">
        <v>0</v>
      </c>
      <c r="AX315" s="22">
        <v>0</v>
      </c>
      <c r="AY315" s="22">
        <v>0</v>
      </c>
      <c r="AZ315" s="22">
        <v>0</v>
      </c>
      <c r="BA315" s="22">
        <v>7</v>
      </c>
      <c r="BB315" s="22">
        <v>10</v>
      </c>
      <c r="BC315" s="316">
        <f t="shared" si="46"/>
        <v>207</v>
      </c>
      <c r="BD315" s="58">
        <f t="shared" si="47"/>
        <v>8</v>
      </c>
      <c r="BE315" s="58">
        <f t="shared" si="48"/>
        <v>0</v>
      </c>
      <c r="BF315" s="58">
        <f t="shared" si="49"/>
        <v>0</v>
      </c>
      <c r="BG315" s="58">
        <f t="shared" si="50"/>
        <v>0</v>
      </c>
      <c r="BH315" s="58">
        <f t="shared" si="51"/>
        <v>0</v>
      </c>
      <c r="BI315" s="58">
        <f t="shared" si="52"/>
        <v>0</v>
      </c>
      <c r="BJ315" s="58">
        <f t="shared" si="53"/>
        <v>0</v>
      </c>
      <c r="BK315" s="58">
        <f t="shared" si="54"/>
        <v>8</v>
      </c>
    </row>
    <row r="316" spans="1:63" ht="27" customHeight="1">
      <c r="A316" s="13">
        <f t="shared" si="55"/>
        <v>314</v>
      </c>
      <c r="B316" s="10"/>
      <c r="C316" s="10">
        <v>2593</v>
      </c>
      <c r="D316" s="211" t="s">
        <v>2266</v>
      </c>
      <c r="E316" s="213" t="s">
        <v>2267</v>
      </c>
      <c r="F316" s="78" t="s">
        <v>881</v>
      </c>
      <c r="G316" s="79" t="s">
        <v>2268</v>
      </c>
      <c r="H316" s="15" t="s">
        <v>882</v>
      </c>
      <c r="I316" s="16" t="s">
        <v>2269</v>
      </c>
      <c r="J316" s="80" t="s">
        <v>178</v>
      </c>
      <c r="K316" s="24">
        <v>35827</v>
      </c>
      <c r="L316" s="93" t="s">
        <v>179</v>
      </c>
      <c r="M316" s="170">
        <v>43647</v>
      </c>
      <c r="N316" s="170">
        <v>43467</v>
      </c>
      <c r="O316" s="19" t="s">
        <v>34</v>
      </c>
      <c r="P316" s="18" t="s">
        <v>386</v>
      </c>
      <c r="Q316" s="18" t="s">
        <v>181</v>
      </c>
      <c r="R316" s="19" t="s">
        <v>182</v>
      </c>
      <c r="S316" s="18" t="s">
        <v>310</v>
      </c>
      <c r="T316" s="20"/>
      <c r="U316" s="230"/>
      <c r="V316" s="84" t="s">
        <v>200</v>
      </c>
      <c r="W316" s="84" t="s">
        <v>200</v>
      </c>
      <c r="X316" s="84">
        <v>7</v>
      </c>
      <c r="Y316" s="231" t="s">
        <v>2270</v>
      </c>
      <c r="Z316" s="9"/>
      <c r="AA316" s="94">
        <v>1</v>
      </c>
      <c r="AB316" s="9"/>
      <c r="AC316" s="179" t="s">
        <v>356</v>
      </c>
      <c r="AD316" s="180"/>
      <c r="AE316" s="182"/>
      <c r="AF316" s="182"/>
      <c r="AG316" s="7"/>
      <c r="AH316" s="7"/>
      <c r="AI316" s="9"/>
      <c r="AJ316" s="84" t="s">
        <v>203</v>
      </c>
      <c r="AK316" s="84" t="s">
        <v>190</v>
      </c>
      <c r="AL316" s="84" t="s">
        <v>190</v>
      </c>
      <c r="AM316" s="185" t="s">
        <v>1209</v>
      </c>
      <c r="AN316" s="22">
        <v>182</v>
      </c>
      <c r="AO316" s="22">
        <v>0</v>
      </c>
      <c r="AP316" s="22">
        <v>0</v>
      </c>
      <c r="AQ316" s="22">
        <v>0</v>
      </c>
      <c r="AR316" s="22">
        <v>0</v>
      </c>
      <c r="AS316" s="22">
        <v>7</v>
      </c>
      <c r="AT316" s="22">
        <v>10</v>
      </c>
      <c r="AU316" s="316">
        <f t="shared" si="45"/>
        <v>199</v>
      </c>
      <c r="AV316" s="22">
        <v>190</v>
      </c>
      <c r="AW316" s="22">
        <v>0</v>
      </c>
      <c r="AX316" s="22">
        <v>0</v>
      </c>
      <c r="AY316" s="22">
        <v>0</v>
      </c>
      <c r="AZ316" s="22">
        <v>0</v>
      </c>
      <c r="BA316" s="22">
        <v>7</v>
      </c>
      <c r="BB316" s="22">
        <v>10</v>
      </c>
      <c r="BC316" s="316">
        <f t="shared" si="46"/>
        <v>207</v>
      </c>
      <c r="BD316" s="58">
        <f t="shared" si="47"/>
        <v>8</v>
      </c>
      <c r="BE316" s="58">
        <f t="shared" si="48"/>
        <v>0</v>
      </c>
      <c r="BF316" s="58">
        <f t="shared" si="49"/>
        <v>0</v>
      </c>
      <c r="BG316" s="58">
        <f t="shared" si="50"/>
        <v>0</v>
      </c>
      <c r="BH316" s="58">
        <f t="shared" si="51"/>
        <v>0</v>
      </c>
      <c r="BI316" s="58">
        <f t="shared" si="52"/>
        <v>0</v>
      </c>
      <c r="BJ316" s="58">
        <f t="shared" si="53"/>
        <v>0</v>
      </c>
      <c r="BK316" s="58">
        <f t="shared" si="54"/>
        <v>8</v>
      </c>
    </row>
    <row r="317" spans="1:63" ht="27" customHeight="1">
      <c r="A317" s="13">
        <f t="shared" si="55"/>
        <v>315</v>
      </c>
      <c r="B317" s="14"/>
      <c r="C317" s="11">
        <v>2606</v>
      </c>
      <c r="D317" s="119" t="s">
        <v>2271</v>
      </c>
      <c r="E317" s="77">
        <v>130192649</v>
      </c>
      <c r="F317" s="106" t="s">
        <v>2272</v>
      </c>
      <c r="G317" s="107" t="s">
        <v>2273</v>
      </c>
      <c r="H317" s="26" t="s">
        <v>2274</v>
      </c>
      <c r="I317" s="27" t="s">
        <v>2275</v>
      </c>
      <c r="J317" s="98" t="s">
        <v>178</v>
      </c>
      <c r="K317" s="28">
        <v>33299</v>
      </c>
      <c r="L317" s="82" t="s">
        <v>179</v>
      </c>
      <c r="M317" s="25">
        <v>43647</v>
      </c>
      <c r="N317" s="25">
        <v>43469</v>
      </c>
      <c r="O317" s="17" t="s">
        <v>34</v>
      </c>
      <c r="P317" s="18" t="s">
        <v>265</v>
      </c>
      <c r="Q317" s="18" t="s">
        <v>181</v>
      </c>
      <c r="R317" s="17" t="s">
        <v>182</v>
      </c>
      <c r="S317" s="19" t="s">
        <v>256</v>
      </c>
      <c r="T317" s="175"/>
      <c r="U317" s="175"/>
      <c r="V317" s="21" t="s">
        <v>200</v>
      </c>
      <c r="W317" s="21" t="s">
        <v>200</v>
      </c>
      <c r="X317" s="1">
        <v>6</v>
      </c>
      <c r="Y317" s="77" t="s">
        <v>2276</v>
      </c>
      <c r="Z317" s="86"/>
      <c r="AA317" s="86" t="s">
        <v>186</v>
      </c>
      <c r="AB317" s="86"/>
      <c r="AC317" s="123"/>
      <c r="AD317" s="218" t="s">
        <v>189</v>
      </c>
      <c r="AE317" s="218"/>
      <c r="AF317" s="219"/>
      <c r="AG317" s="220"/>
      <c r="AH317" s="221"/>
      <c r="AI317" s="221"/>
      <c r="AJ317" s="97" t="s">
        <v>203</v>
      </c>
      <c r="AK317" s="97" t="s">
        <v>190</v>
      </c>
      <c r="AL317" s="97" t="s">
        <v>190</v>
      </c>
      <c r="AM317" s="88" t="s">
        <v>2277</v>
      </c>
      <c r="AN317" s="22">
        <v>182</v>
      </c>
      <c r="AO317" s="22">
        <v>0</v>
      </c>
      <c r="AP317" s="22">
        <v>0</v>
      </c>
      <c r="AQ317" s="22">
        <v>0</v>
      </c>
      <c r="AR317" s="22">
        <v>0</v>
      </c>
      <c r="AS317" s="22">
        <v>7</v>
      </c>
      <c r="AT317" s="22">
        <v>10</v>
      </c>
      <c r="AU317" s="316">
        <f t="shared" si="45"/>
        <v>199</v>
      </c>
      <c r="AV317" s="22">
        <v>190</v>
      </c>
      <c r="AW317" s="22">
        <v>0</v>
      </c>
      <c r="AX317" s="22">
        <v>0</v>
      </c>
      <c r="AY317" s="22">
        <v>0</v>
      </c>
      <c r="AZ317" s="22">
        <v>0</v>
      </c>
      <c r="BA317" s="22">
        <v>7</v>
      </c>
      <c r="BB317" s="22">
        <v>10</v>
      </c>
      <c r="BC317" s="316">
        <f t="shared" si="46"/>
        <v>207</v>
      </c>
      <c r="BD317" s="58">
        <f t="shared" si="47"/>
        <v>8</v>
      </c>
      <c r="BE317" s="58">
        <f t="shared" si="48"/>
        <v>0</v>
      </c>
      <c r="BF317" s="58">
        <f t="shared" si="49"/>
        <v>0</v>
      </c>
      <c r="BG317" s="58">
        <f t="shared" si="50"/>
        <v>0</v>
      </c>
      <c r="BH317" s="58">
        <f t="shared" si="51"/>
        <v>0</v>
      </c>
      <c r="BI317" s="58">
        <f t="shared" si="52"/>
        <v>0</v>
      </c>
      <c r="BJ317" s="58">
        <f t="shared" si="53"/>
        <v>0</v>
      </c>
      <c r="BK317" s="58">
        <f t="shared" si="54"/>
        <v>8</v>
      </c>
    </row>
    <row r="318" spans="1:63" ht="27" customHeight="1">
      <c r="A318" s="13">
        <f t="shared" si="55"/>
        <v>316</v>
      </c>
      <c r="B318" s="14"/>
      <c r="C318" s="10">
        <v>2614</v>
      </c>
      <c r="D318" s="119" t="s">
        <v>2278</v>
      </c>
      <c r="E318" s="217" t="s">
        <v>2279</v>
      </c>
      <c r="F318" s="106" t="s">
        <v>2280</v>
      </c>
      <c r="G318" s="107" t="s">
        <v>2281</v>
      </c>
      <c r="H318" s="26" t="s">
        <v>35</v>
      </c>
      <c r="I318" s="27" t="s">
        <v>36</v>
      </c>
      <c r="J318" s="98" t="s">
        <v>209</v>
      </c>
      <c r="K318" s="28">
        <v>34917</v>
      </c>
      <c r="L318" s="82" t="s">
        <v>179</v>
      </c>
      <c r="M318" s="25">
        <v>43647</v>
      </c>
      <c r="N318" s="25">
        <v>43474</v>
      </c>
      <c r="O318" s="17" t="s">
        <v>34</v>
      </c>
      <c r="P318" s="18" t="s">
        <v>15</v>
      </c>
      <c r="Q318" s="18" t="s">
        <v>181</v>
      </c>
      <c r="R318" s="13" t="s">
        <v>182</v>
      </c>
      <c r="S318" s="13" t="s">
        <v>1118</v>
      </c>
      <c r="T318" s="175"/>
      <c r="U318" s="175"/>
      <c r="V318" s="21" t="s">
        <v>200</v>
      </c>
      <c r="W318" s="21" t="s">
        <v>200</v>
      </c>
      <c r="X318" s="1">
        <v>3</v>
      </c>
      <c r="Y318" s="77" t="s">
        <v>2282</v>
      </c>
      <c r="Z318" s="86"/>
      <c r="AA318" s="86" t="s">
        <v>186</v>
      </c>
      <c r="AB318" s="86"/>
      <c r="AC318" s="123"/>
      <c r="AD318" s="218" t="s">
        <v>189</v>
      </c>
      <c r="AE318" s="218"/>
      <c r="AF318" s="219"/>
      <c r="AG318" s="232"/>
      <c r="AH318" s="221"/>
      <c r="AI318" s="221"/>
      <c r="AJ318" s="97" t="s">
        <v>203</v>
      </c>
      <c r="AK318" s="97" t="s">
        <v>190</v>
      </c>
      <c r="AL318" s="97" t="s">
        <v>190</v>
      </c>
      <c r="AM318" s="88" t="s">
        <v>1562</v>
      </c>
      <c r="AN318" s="22">
        <v>182</v>
      </c>
      <c r="AO318" s="22">
        <v>0</v>
      </c>
      <c r="AP318" s="22">
        <v>0</v>
      </c>
      <c r="AQ318" s="22">
        <v>15</v>
      </c>
      <c r="AR318" s="22">
        <v>0</v>
      </c>
      <c r="AS318" s="22">
        <v>7</v>
      </c>
      <c r="AT318" s="22">
        <v>10</v>
      </c>
      <c r="AU318" s="316">
        <f t="shared" si="45"/>
        <v>214</v>
      </c>
      <c r="AV318" s="22">
        <v>190</v>
      </c>
      <c r="AW318" s="22">
        <v>0</v>
      </c>
      <c r="AX318" s="22">
        <v>0</v>
      </c>
      <c r="AY318" s="22">
        <v>15</v>
      </c>
      <c r="AZ318" s="22">
        <v>0</v>
      </c>
      <c r="BA318" s="22">
        <v>7</v>
      </c>
      <c r="BB318" s="22">
        <v>10</v>
      </c>
      <c r="BC318" s="316">
        <f t="shared" si="46"/>
        <v>222</v>
      </c>
      <c r="BD318" s="58">
        <f t="shared" si="47"/>
        <v>8</v>
      </c>
      <c r="BE318" s="58">
        <f t="shared" si="48"/>
        <v>0</v>
      </c>
      <c r="BF318" s="58">
        <f t="shared" si="49"/>
        <v>0</v>
      </c>
      <c r="BG318" s="58">
        <f t="shared" si="50"/>
        <v>0</v>
      </c>
      <c r="BH318" s="58">
        <f t="shared" si="51"/>
        <v>0</v>
      </c>
      <c r="BI318" s="58">
        <f t="shared" si="52"/>
        <v>0</v>
      </c>
      <c r="BJ318" s="58">
        <f t="shared" si="53"/>
        <v>0</v>
      </c>
      <c r="BK318" s="58">
        <f t="shared" si="54"/>
        <v>8</v>
      </c>
    </row>
    <row r="319" spans="1:63" ht="27" customHeight="1">
      <c r="A319" s="13">
        <f t="shared" si="55"/>
        <v>317</v>
      </c>
      <c r="B319" s="14"/>
      <c r="C319" s="10">
        <v>2612</v>
      </c>
      <c r="D319" s="119" t="s">
        <v>2283</v>
      </c>
      <c r="E319" s="217" t="s">
        <v>2284</v>
      </c>
      <c r="F319" s="106" t="s">
        <v>924</v>
      </c>
      <c r="G319" s="107" t="s">
        <v>2285</v>
      </c>
      <c r="H319" s="26" t="s">
        <v>926</v>
      </c>
      <c r="I319" s="27" t="s">
        <v>2286</v>
      </c>
      <c r="J319" s="98" t="s">
        <v>178</v>
      </c>
      <c r="K319" s="28">
        <v>36742</v>
      </c>
      <c r="L319" s="82" t="s">
        <v>179</v>
      </c>
      <c r="M319" s="25">
        <v>43647</v>
      </c>
      <c r="N319" s="25">
        <v>43474</v>
      </c>
      <c r="O319" s="17" t="s">
        <v>34</v>
      </c>
      <c r="P319" s="18" t="s">
        <v>227</v>
      </c>
      <c r="Q319" s="18" t="s">
        <v>181</v>
      </c>
      <c r="R319" s="13" t="s">
        <v>182</v>
      </c>
      <c r="S319" s="13" t="s">
        <v>228</v>
      </c>
      <c r="T319" s="175"/>
      <c r="U319" s="175"/>
      <c r="V319" s="21" t="s">
        <v>200</v>
      </c>
      <c r="W319" s="21" t="s">
        <v>200</v>
      </c>
      <c r="X319" s="1">
        <v>12</v>
      </c>
      <c r="Y319" s="77" t="s">
        <v>2287</v>
      </c>
      <c r="Z319" s="86" t="s">
        <v>186</v>
      </c>
      <c r="AA319" s="86"/>
      <c r="AB319" s="86"/>
      <c r="AC319" s="123"/>
      <c r="AD319" s="218"/>
      <c r="AE319" s="218"/>
      <c r="AF319" s="219"/>
      <c r="AG319" s="220"/>
      <c r="AH319" s="221"/>
      <c r="AI319" s="221"/>
      <c r="AJ319" s="97" t="s">
        <v>203</v>
      </c>
      <c r="AK319" s="97" t="s">
        <v>190</v>
      </c>
      <c r="AL319" s="97" t="s">
        <v>190</v>
      </c>
      <c r="AM319" s="88" t="s">
        <v>2288</v>
      </c>
      <c r="AN319" s="22">
        <v>182</v>
      </c>
      <c r="AO319" s="22">
        <v>0</v>
      </c>
      <c r="AP319" s="22">
        <v>0</v>
      </c>
      <c r="AQ319" s="22">
        <v>0</v>
      </c>
      <c r="AR319" s="22">
        <v>0</v>
      </c>
      <c r="AS319" s="22">
        <v>7</v>
      </c>
      <c r="AT319" s="22">
        <v>10</v>
      </c>
      <c r="AU319" s="316">
        <f t="shared" si="45"/>
        <v>199</v>
      </c>
      <c r="AV319" s="22">
        <v>190</v>
      </c>
      <c r="AW319" s="22">
        <v>0</v>
      </c>
      <c r="AX319" s="22">
        <v>0</v>
      </c>
      <c r="AY319" s="22">
        <v>0</v>
      </c>
      <c r="AZ319" s="22">
        <v>0</v>
      </c>
      <c r="BA319" s="22">
        <v>7</v>
      </c>
      <c r="BB319" s="22">
        <v>10</v>
      </c>
      <c r="BC319" s="316">
        <f t="shared" si="46"/>
        <v>207</v>
      </c>
      <c r="BD319" s="58">
        <f t="shared" si="47"/>
        <v>8</v>
      </c>
      <c r="BE319" s="58">
        <f t="shared" si="48"/>
        <v>0</v>
      </c>
      <c r="BF319" s="58">
        <f t="shared" si="49"/>
        <v>0</v>
      </c>
      <c r="BG319" s="58">
        <f t="shared" si="50"/>
        <v>0</v>
      </c>
      <c r="BH319" s="58">
        <f t="shared" si="51"/>
        <v>0</v>
      </c>
      <c r="BI319" s="58">
        <f t="shared" si="52"/>
        <v>0</v>
      </c>
      <c r="BJ319" s="58">
        <f t="shared" si="53"/>
        <v>0</v>
      </c>
      <c r="BK319" s="58">
        <f t="shared" si="54"/>
        <v>8</v>
      </c>
    </row>
    <row r="320" spans="1:63" ht="27" customHeight="1">
      <c r="A320" s="13">
        <f t="shared" si="55"/>
        <v>318</v>
      </c>
      <c r="B320" s="14"/>
      <c r="C320" s="10">
        <v>2604</v>
      </c>
      <c r="D320" s="119" t="s">
        <v>2289</v>
      </c>
      <c r="E320" s="217" t="s">
        <v>2290</v>
      </c>
      <c r="F320" s="106" t="s">
        <v>457</v>
      </c>
      <c r="G320" s="107" t="s">
        <v>2291</v>
      </c>
      <c r="H320" s="26" t="s">
        <v>459</v>
      </c>
      <c r="I320" s="27" t="s">
        <v>2292</v>
      </c>
      <c r="J320" s="98" t="s">
        <v>178</v>
      </c>
      <c r="K320" s="28">
        <v>30904</v>
      </c>
      <c r="L320" s="82" t="s">
        <v>179</v>
      </c>
      <c r="M320" s="25">
        <v>43647</v>
      </c>
      <c r="N320" s="25">
        <v>43468</v>
      </c>
      <c r="O320" s="25" t="s">
        <v>34</v>
      </c>
      <c r="P320" s="18" t="s">
        <v>301</v>
      </c>
      <c r="Q320" s="18" t="s">
        <v>181</v>
      </c>
      <c r="R320" s="13" t="s">
        <v>182</v>
      </c>
      <c r="S320" s="13" t="s">
        <v>228</v>
      </c>
      <c r="T320" s="175"/>
      <c r="U320" s="175"/>
      <c r="V320" s="21" t="s">
        <v>184</v>
      </c>
      <c r="W320" s="21" t="s">
        <v>200</v>
      </c>
      <c r="X320" s="1">
        <v>7</v>
      </c>
      <c r="Y320" s="77" t="s">
        <v>2293</v>
      </c>
      <c r="Z320" s="86"/>
      <c r="AA320" s="86" t="s">
        <v>186</v>
      </c>
      <c r="AB320" s="86"/>
      <c r="AC320" s="123"/>
      <c r="AD320" s="218" t="s">
        <v>188</v>
      </c>
      <c r="AE320" s="218" t="s">
        <v>189</v>
      </c>
      <c r="AF320" s="219"/>
      <c r="AG320" s="220"/>
      <c r="AH320" s="221"/>
      <c r="AI320" s="221"/>
      <c r="AJ320" s="97" t="s">
        <v>203</v>
      </c>
      <c r="AK320" s="97" t="s">
        <v>190</v>
      </c>
      <c r="AL320" s="97" t="s">
        <v>190</v>
      </c>
      <c r="AM320" s="88" t="s">
        <v>2288</v>
      </c>
      <c r="AN320" s="22">
        <v>182</v>
      </c>
      <c r="AO320" s="22">
        <v>0</v>
      </c>
      <c r="AP320" s="22">
        <v>0</v>
      </c>
      <c r="AQ320" s="22">
        <v>0</v>
      </c>
      <c r="AR320" s="22">
        <v>0</v>
      </c>
      <c r="AS320" s="22">
        <v>7</v>
      </c>
      <c r="AT320" s="22">
        <v>10</v>
      </c>
      <c r="AU320" s="316">
        <f t="shared" si="45"/>
        <v>199</v>
      </c>
      <c r="AV320" s="22">
        <v>190</v>
      </c>
      <c r="AW320" s="22">
        <v>0</v>
      </c>
      <c r="AX320" s="22">
        <v>0</v>
      </c>
      <c r="AY320" s="22">
        <v>0</v>
      </c>
      <c r="AZ320" s="22">
        <v>0</v>
      </c>
      <c r="BA320" s="22">
        <v>7</v>
      </c>
      <c r="BB320" s="22">
        <v>10</v>
      </c>
      <c r="BC320" s="316">
        <f t="shared" si="46"/>
        <v>207</v>
      </c>
      <c r="BD320" s="58">
        <f t="shared" si="47"/>
        <v>8</v>
      </c>
      <c r="BE320" s="58">
        <f t="shared" si="48"/>
        <v>0</v>
      </c>
      <c r="BF320" s="58">
        <f t="shared" si="49"/>
        <v>0</v>
      </c>
      <c r="BG320" s="58">
        <f t="shared" si="50"/>
        <v>0</v>
      </c>
      <c r="BH320" s="58">
        <f t="shared" si="51"/>
        <v>0</v>
      </c>
      <c r="BI320" s="58">
        <f t="shared" si="52"/>
        <v>0</v>
      </c>
      <c r="BJ320" s="58">
        <f t="shared" si="53"/>
        <v>0</v>
      </c>
      <c r="BK320" s="58">
        <f t="shared" si="54"/>
        <v>8</v>
      </c>
    </row>
    <row r="321" spans="1:63" ht="27" customHeight="1">
      <c r="A321" s="13">
        <f t="shared" si="55"/>
        <v>319</v>
      </c>
      <c r="B321" s="14"/>
      <c r="C321" s="10">
        <v>2598</v>
      </c>
      <c r="D321" s="119" t="s">
        <v>2294</v>
      </c>
      <c r="E321" s="217" t="s">
        <v>2295</v>
      </c>
      <c r="F321" s="106" t="s">
        <v>2296</v>
      </c>
      <c r="G321" s="107" t="s">
        <v>2297</v>
      </c>
      <c r="H321" s="26" t="s">
        <v>2298</v>
      </c>
      <c r="I321" s="27" t="s">
        <v>2299</v>
      </c>
      <c r="J321" s="98" t="s">
        <v>178</v>
      </c>
      <c r="K321" s="28">
        <v>30806</v>
      </c>
      <c r="L321" s="82" t="s">
        <v>179</v>
      </c>
      <c r="M321" s="25">
        <v>43647</v>
      </c>
      <c r="N321" s="25">
        <v>43468</v>
      </c>
      <c r="O321" s="25" t="s">
        <v>34</v>
      </c>
      <c r="P321" s="18" t="s">
        <v>309</v>
      </c>
      <c r="Q321" s="18" t="s">
        <v>181</v>
      </c>
      <c r="R321" s="13" t="s">
        <v>182</v>
      </c>
      <c r="S321" s="13" t="s">
        <v>219</v>
      </c>
      <c r="T321" s="175"/>
      <c r="U321" s="175"/>
      <c r="V321" s="21" t="s">
        <v>200</v>
      </c>
      <c r="W321" s="21" t="s">
        <v>184</v>
      </c>
      <c r="X321" s="1">
        <v>6</v>
      </c>
      <c r="Y321" s="77" t="s">
        <v>2300</v>
      </c>
      <c r="Z321" s="86"/>
      <c r="AA321" s="86" t="s">
        <v>186</v>
      </c>
      <c r="AB321" s="86"/>
      <c r="AC321" s="123"/>
      <c r="AD321" s="218" t="s">
        <v>188</v>
      </c>
      <c r="AE321" s="218" t="s">
        <v>189</v>
      </c>
      <c r="AF321" s="219"/>
      <c r="AG321" s="220"/>
      <c r="AH321" s="221"/>
      <c r="AI321" s="221"/>
      <c r="AJ321" s="97" t="s">
        <v>203</v>
      </c>
      <c r="AK321" s="97" t="s">
        <v>190</v>
      </c>
      <c r="AL321" s="97" t="s">
        <v>190</v>
      </c>
      <c r="AM321" s="88" t="s">
        <v>2288</v>
      </c>
      <c r="AN321" s="22">
        <v>182</v>
      </c>
      <c r="AO321" s="22">
        <v>0</v>
      </c>
      <c r="AP321" s="22">
        <v>0</v>
      </c>
      <c r="AQ321" s="22">
        <v>0</v>
      </c>
      <c r="AR321" s="22">
        <v>0</v>
      </c>
      <c r="AS321" s="22">
        <v>7</v>
      </c>
      <c r="AT321" s="22">
        <v>10</v>
      </c>
      <c r="AU321" s="316">
        <f t="shared" si="45"/>
        <v>199</v>
      </c>
      <c r="AV321" s="22">
        <v>190</v>
      </c>
      <c r="AW321" s="22">
        <v>0</v>
      </c>
      <c r="AX321" s="22">
        <v>0</v>
      </c>
      <c r="AY321" s="22">
        <v>0</v>
      </c>
      <c r="AZ321" s="22">
        <v>0</v>
      </c>
      <c r="BA321" s="22">
        <v>7</v>
      </c>
      <c r="BB321" s="22">
        <v>10</v>
      </c>
      <c r="BC321" s="316">
        <f t="shared" si="46"/>
        <v>207</v>
      </c>
      <c r="BD321" s="58">
        <f t="shared" si="47"/>
        <v>8</v>
      </c>
      <c r="BE321" s="58">
        <f t="shared" si="48"/>
        <v>0</v>
      </c>
      <c r="BF321" s="58">
        <f t="shared" si="49"/>
        <v>0</v>
      </c>
      <c r="BG321" s="58">
        <f t="shared" si="50"/>
        <v>0</v>
      </c>
      <c r="BH321" s="58">
        <f t="shared" si="51"/>
        <v>0</v>
      </c>
      <c r="BI321" s="58">
        <f t="shared" si="52"/>
        <v>0</v>
      </c>
      <c r="BJ321" s="58">
        <f t="shared" si="53"/>
        <v>0</v>
      </c>
      <c r="BK321" s="58">
        <f t="shared" si="54"/>
        <v>8</v>
      </c>
    </row>
    <row r="322" spans="1:63" ht="27" customHeight="1">
      <c r="A322" s="13">
        <f t="shared" si="55"/>
        <v>320</v>
      </c>
      <c r="B322" s="14"/>
      <c r="C322" s="10">
        <v>2603</v>
      </c>
      <c r="D322" s="119" t="s">
        <v>2301</v>
      </c>
      <c r="E322" s="217" t="s">
        <v>2302</v>
      </c>
      <c r="F322" s="106" t="s">
        <v>963</v>
      </c>
      <c r="G322" s="107" t="s">
        <v>2303</v>
      </c>
      <c r="H322" s="26" t="s">
        <v>964</v>
      </c>
      <c r="I322" s="27" t="s">
        <v>2304</v>
      </c>
      <c r="J322" s="98" t="s">
        <v>178</v>
      </c>
      <c r="K322" s="28">
        <v>35613</v>
      </c>
      <c r="L322" s="82" t="s">
        <v>179</v>
      </c>
      <c r="M322" s="25">
        <v>43647</v>
      </c>
      <c r="N322" s="25">
        <v>43468</v>
      </c>
      <c r="O322" s="25" t="s">
        <v>34</v>
      </c>
      <c r="P322" s="18" t="s">
        <v>348</v>
      </c>
      <c r="Q322" s="18" t="s">
        <v>181</v>
      </c>
      <c r="R322" s="13" t="s">
        <v>182</v>
      </c>
      <c r="S322" s="19" t="s">
        <v>256</v>
      </c>
      <c r="T322" s="175"/>
      <c r="U322" s="175"/>
      <c r="V322" s="21" t="s">
        <v>184</v>
      </c>
      <c r="W322" s="21" t="s">
        <v>200</v>
      </c>
      <c r="X322" s="1">
        <v>5</v>
      </c>
      <c r="Y322" s="77" t="s">
        <v>2305</v>
      </c>
      <c r="Z322" s="86"/>
      <c r="AA322" s="86" t="s">
        <v>186</v>
      </c>
      <c r="AB322" s="86"/>
      <c r="AC322" s="123"/>
      <c r="AD322" s="218"/>
      <c r="AE322" s="218"/>
      <c r="AF322" s="219"/>
      <c r="AG322" s="220"/>
      <c r="AH322" s="221"/>
      <c r="AI322" s="221"/>
      <c r="AJ322" s="97" t="s">
        <v>203</v>
      </c>
      <c r="AK322" s="97" t="s">
        <v>190</v>
      </c>
      <c r="AL322" s="97" t="s">
        <v>190</v>
      </c>
      <c r="AM322" s="88" t="s">
        <v>2306</v>
      </c>
      <c r="AN322" s="22">
        <v>182</v>
      </c>
      <c r="AO322" s="22">
        <v>0</v>
      </c>
      <c r="AP322" s="22">
        <v>0</v>
      </c>
      <c r="AQ322" s="22">
        <v>0</v>
      </c>
      <c r="AR322" s="22">
        <v>0</v>
      </c>
      <c r="AS322" s="22">
        <v>7</v>
      </c>
      <c r="AT322" s="22">
        <v>10</v>
      </c>
      <c r="AU322" s="316">
        <f t="shared" si="45"/>
        <v>199</v>
      </c>
      <c r="AV322" s="22">
        <v>190</v>
      </c>
      <c r="AW322" s="22">
        <v>0</v>
      </c>
      <c r="AX322" s="22">
        <v>0</v>
      </c>
      <c r="AY322" s="22">
        <v>0</v>
      </c>
      <c r="AZ322" s="22">
        <v>0</v>
      </c>
      <c r="BA322" s="22">
        <v>7</v>
      </c>
      <c r="BB322" s="22">
        <v>10</v>
      </c>
      <c r="BC322" s="316">
        <f t="shared" si="46"/>
        <v>207</v>
      </c>
      <c r="BD322" s="58">
        <f t="shared" si="47"/>
        <v>8</v>
      </c>
      <c r="BE322" s="58">
        <f t="shared" si="48"/>
        <v>0</v>
      </c>
      <c r="BF322" s="58">
        <f t="shared" si="49"/>
        <v>0</v>
      </c>
      <c r="BG322" s="58">
        <f t="shared" si="50"/>
        <v>0</v>
      </c>
      <c r="BH322" s="58">
        <f t="shared" si="51"/>
        <v>0</v>
      </c>
      <c r="BI322" s="58">
        <f t="shared" si="52"/>
        <v>0</v>
      </c>
      <c r="BJ322" s="58">
        <f t="shared" si="53"/>
        <v>0</v>
      </c>
      <c r="BK322" s="58">
        <f t="shared" si="54"/>
        <v>8</v>
      </c>
    </row>
    <row r="323" spans="1:63" ht="27" customHeight="1">
      <c r="A323" s="13">
        <f t="shared" si="55"/>
        <v>321</v>
      </c>
      <c r="B323" s="14"/>
      <c r="C323" s="10">
        <v>2620</v>
      </c>
      <c r="D323" s="10" t="s">
        <v>2307</v>
      </c>
      <c r="E323" s="217" t="s">
        <v>2308</v>
      </c>
      <c r="F323" s="106" t="s">
        <v>2309</v>
      </c>
      <c r="G323" s="107" t="s">
        <v>2310</v>
      </c>
      <c r="H323" s="26" t="s">
        <v>2311</v>
      </c>
      <c r="I323" s="27" t="s">
        <v>2312</v>
      </c>
      <c r="J323" s="98" t="s">
        <v>178</v>
      </c>
      <c r="K323" s="28">
        <v>31623</v>
      </c>
      <c r="L323" s="82" t="s">
        <v>179</v>
      </c>
      <c r="M323" s="25">
        <v>43647</v>
      </c>
      <c r="N323" s="25">
        <v>43476</v>
      </c>
      <c r="O323" s="25" t="s">
        <v>34</v>
      </c>
      <c r="P323" s="18" t="s">
        <v>348</v>
      </c>
      <c r="Q323" s="18" t="s">
        <v>181</v>
      </c>
      <c r="R323" s="13" t="s">
        <v>182</v>
      </c>
      <c r="S323" s="19" t="s">
        <v>256</v>
      </c>
      <c r="T323" s="175"/>
      <c r="U323" s="175"/>
      <c r="V323" s="21" t="s">
        <v>200</v>
      </c>
      <c r="W323" s="21" t="s">
        <v>200</v>
      </c>
      <c r="X323" s="1">
        <v>3</v>
      </c>
      <c r="Y323" s="77" t="s">
        <v>2313</v>
      </c>
      <c r="Z323" s="86"/>
      <c r="AA323" s="86" t="s">
        <v>186</v>
      </c>
      <c r="AB323" s="86"/>
      <c r="AC323" s="123"/>
      <c r="AD323" s="218" t="s">
        <v>189</v>
      </c>
      <c r="AE323" s="219" t="s">
        <v>189</v>
      </c>
      <c r="AF323" s="219"/>
      <c r="AG323" s="220"/>
      <c r="AH323" s="221"/>
      <c r="AI323" s="221"/>
      <c r="AJ323" s="97" t="s">
        <v>203</v>
      </c>
      <c r="AK323" s="97" t="s">
        <v>190</v>
      </c>
      <c r="AL323" s="97" t="s">
        <v>190</v>
      </c>
      <c r="AM323" s="88" t="s">
        <v>2314</v>
      </c>
      <c r="AN323" s="22">
        <v>182</v>
      </c>
      <c r="AO323" s="22">
        <v>0</v>
      </c>
      <c r="AP323" s="22">
        <v>0</v>
      </c>
      <c r="AQ323" s="22">
        <v>0</v>
      </c>
      <c r="AR323" s="22">
        <v>0</v>
      </c>
      <c r="AS323" s="22">
        <v>7</v>
      </c>
      <c r="AT323" s="22">
        <v>10</v>
      </c>
      <c r="AU323" s="316">
        <f t="shared" si="45"/>
        <v>199</v>
      </c>
      <c r="AV323" s="22">
        <v>190</v>
      </c>
      <c r="AW323" s="22">
        <v>0</v>
      </c>
      <c r="AX323" s="22">
        <v>0</v>
      </c>
      <c r="AY323" s="22">
        <v>0</v>
      </c>
      <c r="AZ323" s="22">
        <v>0</v>
      </c>
      <c r="BA323" s="22">
        <v>7</v>
      </c>
      <c r="BB323" s="22">
        <v>10</v>
      </c>
      <c r="BC323" s="316">
        <f t="shared" si="46"/>
        <v>207</v>
      </c>
      <c r="BD323" s="58">
        <f t="shared" si="47"/>
        <v>8</v>
      </c>
      <c r="BE323" s="58">
        <f t="shared" si="48"/>
        <v>0</v>
      </c>
      <c r="BF323" s="58">
        <f t="shared" si="49"/>
        <v>0</v>
      </c>
      <c r="BG323" s="58">
        <f t="shared" si="50"/>
        <v>0</v>
      </c>
      <c r="BH323" s="58">
        <f t="shared" si="51"/>
        <v>0</v>
      </c>
      <c r="BI323" s="58">
        <f t="shared" si="52"/>
        <v>0</v>
      </c>
      <c r="BJ323" s="58">
        <f t="shared" si="53"/>
        <v>0</v>
      </c>
      <c r="BK323" s="58">
        <f t="shared" si="54"/>
        <v>8</v>
      </c>
    </row>
    <row r="324" spans="1:63" ht="27" customHeight="1">
      <c r="A324" s="13">
        <f t="shared" si="55"/>
        <v>322</v>
      </c>
      <c r="B324" s="14"/>
      <c r="C324" s="10">
        <v>2637</v>
      </c>
      <c r="D324" s="119" t="s">
        <v>2315</v>
      </c>
      <c r="E324" s="217" t="s">
        <v>2316</v>
      </c>
      <c r="F324" s="106" t="s">
        <v>2317</v>
      </c>
      <c r="G324" s="107" t="s">
        <v>2318</v>
      </c>
      <c r="H324" s="26" t="s">
        <v>2319</v>
      </c>
      <c r="I324" s="27" t="s">
        <v>2320</v>
      </c>
      <c r="J324" s="98" t="s">
        <v>178</v>
      </c>
      <c r="K324" s="28">
        <v>31696</v>
      </c>
      <c r="L324" s="82" t="s">
        <v>179</v>
      </c>
      <c r="M324" s="25">
        <v>43678</v>
      </c>
      <c r="N324" s="25">
        <v>43488</v>
      </c>
      <c r="O324" s="25" t="s">
        <v>34</v>
      </c>
      <c r="P324" s="18" t="s">
        <v>1085</v>
      </c>
      <c r="Q324" s="18" t="s">
        <v>181</v>
      </c>
      <c r="R324" s="13" t="s">
        <v>182</v>
      </c>
      <c r="S324" s="13" t="s">
        <v>228</v>
      </c>
      <c r="T324" s="175"/>
      <c r="U324" s="175"/>
      <c r="V324" s="21" t="s">
        <v>200</v>
      </c>
      <c r="W324" s="21" t="s">
        <v>200</v>
      </c>
      <c r="X324" s="1">
        <v>7</v>
      </c>
      <c r="Y324" s="77" t="s">
        <v>2321</v>
      </c>
      <c r="Z324" s="86"/>
      <c r="AA324" s="86" t="s">
        <v>186</v>
      </c>
      <c r="AB324" s="86"/>
      <c r="AC324" s="123"/>
      <c r="AD324" s="218" t="s">
        <v>189</v>
      </c>
      <c r="AE324" s="218" t="s">
        <v>189</v>
      </c>
      <c r="AF324" s="219"/>
      <c r="AG324" s="220"/>
      <c r="AH324" s="221"/>
      <c r="AI324" s="221"/>
      <c r="AJ324" s="97" t="s">
        <v>203</v>
      </c>
      <c r="AK324" s="97" t="s">
        <v>190</v>
      </c>
      <c r="AL324" s="97" t="s">
        <v>190</v>
      </c>
      <c r="AM324" s="88" t="s">
        <v>2288</v>
      </c>
      <c r="AN324" s="22">
        <v>182</v>
      </c>
      <c r="AO324" s="22">
        <v>0</v>
      </c>
      <c r="AP324" s="22">
        <v>0</v>
      </c>
      <c r="AQ324" s="22">
        <v>0</v>
      </c>
      <c r="AR324" s="22">
        <v>0</v>
      </c>
      <c r="AS324" s="22">
        <v>7</v>
      </c>
      <c r="AT324" s="22">
        <v>10</v>
      </c>
      <c r="AU324" s="316">
        <f t="shared" ref="AU324:AU387" si="56">SUM(AN324:AT324)</f>
        <v>199</v>
      </c>
      <c r="AV324" s="22">
        <v>190</v>
      </c>
      <c r="AW324" s="22">
        <v>0</v>
      </c>
      <c r="AX324" s="22">
        <v>0</v>
      </c>
      <c r="AY324" s="22">
        <v>0</v>
      </c>
      <c r="AZ324" s="22">
        <v>0</v>
      </c>
      <c r="BA324" s="22">
        <v>7</v>
      </c>
      <c r="BB324" s="22">
        <v>10</v>
      </c>
      <c r="BC324" s="316">
        <f t="shared" ref="BC324:BC387" si="57">SUM(AV324:BB324)</f>
        <v>207</v>
      </c>
      <c r="BD324" s="58">
        <f t="shared" ref="BD324:BD387" si="58">AV324-AN324</f>
        <v>8</v>
      </c>
      <c r="BE324" s="58">
        <f t="shared" ref="BE324:BE387" si="59">AW324-AO324</f>
        <v>0</v>
      </c>
      <c r="BF324" s="58">
        <f t="shared" ref="BF324:BF387" si="60">AX324-AP324</f>
        <v>0</v>
      </c>
      <c r="BG324" s="58">
        <f t="shared" ref="BG324:BG387" si="61">AY324-AQ324</f>
        <v>0</v>
      </c>
      <c r="BH324" s="58">
        <f t="shared" ref="BH324:BH387" si="62">AZ324-AR324</f>
        <v>0</v>
      </c>
      <c r="BI324" s="58">
        <f t="shared" ref="BI324:BI387" si="63">BA324-AS324</f>
        <v>0</v>
      </c>
      <c r="BJ324" s="58">
        <f t="shared" ref="BJ324:BJ387" si="64">BB324-AT324</f>
        <v>0</v>
      </c>
      <c r="BK324" s="58">
        <f t="shared" ref="BK324:BK387" si="65">BC324-AU324</f>
        <v>8</v>
      </c>
    </row>
    <row r="325" spans="1:63" ht="27" customHeight="1">
      <c r="A325" s="13">
        <f t="shared" ref="A325:A388" si="66">1+A324</f>
        <v>323</v>
      </c>
      <c r="B325" s="14"/>
      <c r="C325" s="10">
        <v>2628</v>
      </c>
      <c r="D325" s="119" t="s">
        <v>2322</v>
      </c>
      <c r="E325" s="217" t="s">
        <v>2323</v>
      </c>
      <c r="F325" s="106" t="s">
        <v>2324</v>
      </c>
      <c r="G325" s="107" t="s">
        <v>2325</v>
      </c>
      <c r="H325" s="26" t="s">
        <v>2326</v>
      </c>
      <c r="I325" s="27" t="s">
        <v>2327</v>
      </c>
      <c r="J325" s="98" t="s">
        <v>178</v>
      </c>
      <c r="K325" s="28">
        <v>35493</v>
      </c>
      <c r="L325" s="82" t="s">
        <v>179</v>
      </c>
      <c r="M325" s="25">
        <v>43678</v>
      </c>
      <c r="N325" s="25">
        <v>43482</v>
      </c>
      <c r="O325" s="25" t="s">
        <v>34</v>
      </c>
      <c r="P325" s="18" t="s">
        <v>386</v>
      </c>
      <c r="Q325" s="18" t="s">
        <v>181</v>
      </c>
      <c r="R325" s="13" t="s">
        <v>182</v>
      </c>
      <c r="S325" s="13" t="s">
        <v>1109</v>
      </c>
      <c r="T325" s="175"/>
      <c r="U325" s="175"/>
      <c r="V325" s="21" t="s">
        <v>200</v>
      </c>
      <c r="W325" s="21" t="s">
        <v>200</v>
      </c>
      <c r="X325" s="1">
        <v>8</v>
      </c>
      <c r="Y325" s="77" t="s">
        <v>2328</v>
      </c>
      <c r="Z325" s="86"/>
      <c r="AA325" s="86" t="s">
        <v>186</v>
      </c>
      <c r="AB325" s="86"/>
      <c r="AC325" s="123"/>
      <c r="AD325" s="218" t="s">
        <v>189</v>
      </c>
      <c r="AE325" s="218"/>
      <c r="AF325" s="219"/>
      <c r="AG325" s="220"/>
      <c r="AH325" s="221"/>
      <c r="AI325" s="221"/>
      <c r="AJ325" s="97" t="s">
        <v>203</v>
      </c>
      <c r="AK325" s="97" t="s">
        <v>190</v>
      </c>
      <c r="AL325" s="97" t="s">
        <v>190</v>
      </c>
      <c r="AM325" s="88" t="s">
        <v>2329</v>
      </c>
      <c r="AN325" s="22">
        <v>182</v>
      </c>
      <c r="AO325" s="22">
        <v>0</v>
      </c>
      <c r="AP325" s="22">
        <v>0</v>
      </c>
      <c r="AQ325" s="22">
        <v>0</v>
      </c>
      <c r="AR325" s="22">
        <v>0</v>
      </c>
      <c r="AS325" s="22">
        <v>7</v>
      </c>
      <c r="AT325" s="22">
        <v>10</v>
      </c>
      <c r="AU325" s="316">
        <f t="shared" si="56"/>
        <v>199</v>
      </c>
      <c r="AV325" s="22">
        <v>190</v>
      </c>
      <c r="AW325" s="22">
        <v>0</v>
      </c>
      <c r="AX325" s="22">
        <v>0</v>
      </c>
      <c r="AY325" s="22">
        <v>0</v>
      </c>
      <c r="AZ325" s="22">
        <v>0</v>
      </c>
      <c r="BA325" s="22">
        <v>7</v>
      </c>
      <c r="BB325" s="22">
        <v>10</v>
      </c>
      <c r="BC325" s="316">
        <f t="shared" si="57"/>
        <v>207</v>
      </c>
      <c r="BD325" s="58">
        <f t="shared" si="58"/>
        <v>8</v>
      </c>
      <c r="BE325" s="58">
        <f t="shared" si="59"/>
        <v>0</v>
      </c>
      <c r="BF325" s="58">
        <f t="shared" si="60"/>
        <v>0</v>
      </c>
      <c r="BG325" s="58">
        <f t="shared" si="61"/>
        <v>0</v>
      </c>
      <c r="BH325" s="58">
        <f t="shared" si="62"/>
        <v>0</v>
      </c>
      <c r="BI325" s="58">
        <f t="shared" si="63"/>
        <v>0</v>
      </c>
      <c r="BJ325" s="58">
        <f t="shared" si="64"/>
        <v>0</v>
      </c>
      <c r="BK325" s="58">
        <f t="shared" si="65"/>
        <v>8</v>
      </c>
    </row>
    <row r="326" spans="1:63" ht="27" customHeight="1">
      <c r="A326" s="13">
        <f t="shared" si="66"/>
        <v>324</v>
      </c>
      <c r="B326" s="14"/>
      <c r="C326" s="10">
        <v>2642</v>
      </c>
      <c r="D326" s="119" t="s">
        <v>2330</v>
      </c>
      <c r="E326" s="217" t="s">
        <v>2331</v>
      </c>
      <c r="F326" s="106" t="s">
        <v>557</v>
      </c>
      <c r="G326" s="107" t="s">
        <v>1006</v>
      </c>
      <c r="H326" s="26" t="s">
        <v>2332</v>
      </c>
      <c r="I326" s="27" t="s">
        <v>2333</v>
      </c>
      <c r="J326" s="98" t="s">
        <v>178</v>
      </c>
      <c r="K326" s="28">
        <v>29838</v>
      </c>
      <c r="L326" s="82" t="s">
        <v>179</v>
      </c>
      <c r="M326" s="25">
        <v>43678</v>
      </c>
      <c r="N326" s="25">
        <v>43493</v>
      </c>
      <c r="O326" s="25" t="s">
        <v>34</v>
      </c>
      <c r="P326" s="18" t="s">
        <v>227</v>
      </c>
      <c r="Q326" s="18" t="s">
        <v>181</v>
      </c>
      <c r="R326" s="13" t="s">
        <v>182</v>
      </c>
      <c r="S326" s="13" t="s">
        <v>219</v>
      </c>
      <c r="T326" s="175"/>
      <c r="U326" s="175"/>
      <c r="V326" s="21" t="s">
        <v>200</v>
      </c>
      <c r="W326" s="21" t="s">
        <v>200</v>
      </c>
      <c r="X326" s="1">
        <v>6</v>
      </c>
      <c r="Y326" s="77" t="s">
        <v>2334</v>
      </c>
      <c r="Z326" s="86"/>
      <c r="AA326" s="86" t="s">
        <v>186</v>
      </c>
      <c r="AB326" s="86"/>
      <c r="AC326" s="123"/>
      <c r="AD326" s="218" t="s">
        <v>2335</v>
      </c>
      <c r="AE326" s="218" t="s">
        <v>189</v>
      </c>
      <c r="AF326" s="219" t="s">
        <v>189</v>
      </c>
      <c r="AG326" s="220"/>
      <c r="AH326" s="221"/>
      <c r="AI326" s="221"/>
      <c r="AJ326" s="97" t="s">
        <v>203</v>
      </c>
      <c r="AK326" s="97" t="s">
        <v>190</v>
      </c>
      <c r="AL326" s="97" t="s">
        <v>190</v>
      </c>
      <c r="AM326" s="88" t="s">
        <v>2336</v>
      </c>
      <c r="AN326" s="22">
        <v>182</v>
      </c>
      <c r="AO326" s="22">
        <v>0</v>
      </c>
      <c r="AP326" s="22">
        <v>0</v>
      </c>
      <c r="AQ326" s="22">
        <v>0</v>
      </c>
      <c r="AR326" s="22">
        <v>0</v>
      </c>
      <c r="AS326" s="22">
        <v>7</v>
      </c>
      <c r="AT326" s="22">
        <v>10</v>
      </c>
      <c r="AU326" s="316">
        <f t="shared" si="56"/>
        <v>199</v>
      </c>
      <c r="AV326" s="22">
        <v>190</v>
      </c>
      <c r="AW326" s="22">
        <v>0</v>
      </c>
      <c r="AX326" s="22">
        <v>0</v>
      </c>
      <c r="AY326" s="22">
        <v>0</v>
      </c>
      <c r="AZ326" s="22">
        <v>0</v>
      </c>
      <c r="BA326" s="22">
        <v>7</v>
      </c>
      <c r="BB326" s="22">
        <v>10</v>
      </c>
      <c r="BC326" s="316">
        <f t="shared" si="57"/>
        <v>207</v>
      </c>
      <c r="BD326" s="58">
        <f t="shared" si="58"/>
        <v>8</v>
      </c>
      <c r="BE326" s="58">
        <f t="shared" si="59"/>
        <v>0</v>
      </c>
      <c r="BF326" s="58">
        <f t="shared" si="60"/>
        <v>0</v>
      </c>
      <c r="BG326" s="58">
        <f t="shared" si="61"/>
        <v>0</v>
      </c>
      <c r="BH326" s="58">
        <f t="shared" si="62"/>
        <v>0</v>
      </c>
      <c r="BI326" s="58">
        <f t="shared" si="63"/>
        <v>0</v>
      </c>
      <c r="BJ326" s="58">
        <f t="shared" si="64"/>
        <v>0</v>
      </c>
      <c r="BK326" s="58">
        <f t="shared" si="65"/>
        <v>8</v>
      </c>
    </row>
    <row r="327" spans="1:63" ht="27" customHeight="1">
      <c r="A327" s="13">
        <f t="shared" si="66"/>
        <v>325</v>
      </c>
      <c r="B327" s="14"/>
      <c r="C327" s="10">
        <v>2638</v>
      </c>
      <c r="D327" s="119" t="s">
        <v>2337</v>
      </c>
      <c r="E327" s="217" t="s">
        <v>2338</v>
      </c>
      <c r="F327" s="106" t="s">
        <v>2339</v>
      </c>
      <c r="G327" s="107" t="s">
        <v>1577</v>
      </c>
      <c r="H327" s="26" t="s">
        <v>2340</v>
      </c>
      <c r="I327" s="27" t="s">
        <v>2341</v>
      </c>
      <c r="J327" s="98" t="s">
        <v>178</v>
      </c>
      <c r="K327" s="28">
        <v>33407</v>
      </c>
      <c r="L327" s="82" t="s">
        <v>179</v>
      </c>
      <c r="M327" s="25">
        <v>43678</v>
      </c>
      <c r="N327" s="25">
        <v>43491</v>
      </c>
      <c r="O327" s="25" t="s">
        <v>34</v>
      </c>
      <c r="P327" s="18" t="s">
        <v>512</v>
      </c>
      <c r="Q327" s="18" t="s">
        <v>181</v>
      </c>
      <c r="R327" s="13" t="s">
        <v>182</v>
      </c>
      <c r="S327" s="13" t="s">
        <v>219</v>
      </c>
      <c r="T327" s="175"/>
      <c r="U327" s="175"/>
      <c r="V327" s="21" t="s">
        <v>200</v>
      </c>
      <c r="W327" s="21" t="s">
        <v>200</v>
      </c>
      <c r="X327" s="1">
        <v>5</v>
      </c>
      <c r="Y327" s="77" t="s">
        <v>2342</v>
      </c>
      <c r="Z327" s="86"/>
      <c r="AA327" s="86" t="s">
        <v>186</v>
      </c>
      <c r="AB327" s="86"/>
      <c r="AC327" s="123"/>
      <c r="AD327" s="218" t="s">
        <v>189</v>
      </c>
      <c r="AE327" s="218"/>
      <c r="AF327" s="219"/>
      <c r="AG327" s="220"/>
      <c r="AH327" s="221"/>
      <c r="AI327" s="221"/>
      <c r="AJ327" s="97" t="s">
        <v>203</v>
      </c>
      <c r="AK327" s="97" t="s">
        <v>190</v>
      </c>
      <c r="AL327" s="97" t="s">
        <v>190</v>
      </c>
      <c r="AM327" s="88" t="s">
        <v>2343</v>
      </c>
      <c r="AN327" s="22">
        <v>182</v>
      </c>
      <c r="AO327" s="22">
        <v>0</v>
      </c>
      <c r="AP327" s="22">
        <v>0</v>
      </c>
      <c r="AQ327" s="22">
        <v>0</v>
      </c>
      <c r="AR327" s="22">
        <v>0</v>
      </c>
      <c r="AS327" s="22">
        <v>7</v>
      </c>
      <c r="AT327" s="22">
        <v>10</v>
      </c>
      <c r="AU327" s="316">
        <f t="shared" si="56"/>
        <v>199</v>
      </c>
      <c r="AV327" s="22">
        <v>190</v>
      </c>
      <c r="AW327" s="22">
        <v>0</v>
      </c>
      <c r="AX327" s="22">
        <v>0</v>
      </c>
      <c r="AY327" s="22">
        <v>0</v>
      </c>
      <c r="AZ327" s="22">
        <v>0</v>
      </c>
      <c r="BA327" s="22">
        <v>7</v>
      </c>
      <c r="BB327" s="22">
        <v>10</v>
      </c>
      <c r="BC327" s="316">
        <f t="shared" si="57"/>
        <v>207</v>
      </c>
      <c r="BD327" s="58">
        <f t="shared" si="58"/>
        <v>8</v>
      </c>
      <c r="BE327" s="58">
        <f t="shared" si="59"/>
        <v>0</v>
      </c>
      <c r="BF327" s="58">
        <f t="shared" si="60"/>
        <v>0</v>
      </c>
      <c r="BG327" s="58">
        <f t="shared" si="61"/>
        <v>0</v>
      </c>
      <c r="BH327" s="58">
        <f t="shared" si="62"/>
        <v>0</v>
      </c>
      <c r="BI327" s="58">
        <f t="shared" si="63"/>
        <v>0</v>
      </c>
      <c r="BJ327" s="58">
        <f t="shared" si="64"/>
        <v>0</v>
      </c>
      <c r="BK327" s="58">
        <f t="shared" si="65"/>
        <v>8</v>
      </c>
    </row>
    <row r="328" spans="1:63" ht="27" customHeight="1">
      <c r="A328" s="13">
        <f t="shared" si="66"/>
        <v>326</v>
      </c>
      <c r="B328" s="14"/>
      <c r="C328" s="10">
        <v>2654</v>
      </c>
      <c r="D328" s="119" t="s">
        <v>2344</v>
      </c>
      <c r="E328" s="217" t="s">
        <v>2345</v>
      </c>
      <c r="F328" s="106" t="s">
        <v>2346</v>
      </c>
      <c r="G328" s="107" t="s">
        <v>1253</v>
      </c>
      <c r="H328" s="26" t="s">
        <v>2347</v>
      </c>
      <c r="I328" s="27" t="s">
        <v>1255</v>
      </c>
      <c r="J328" s="98" t="s">
        <v>178</v>
      </c>
      <c r="K328" s="28">
        <v>34061</v>
      </c>
      <c r="L328" s="82" t="s">
        <v>179</v>
      </c>
      <c r="M328" s="25">
        <v>43678</v>
      </c>
      <c r="N328" s="25">
        <v>43497</v>
      </c>
      <c r="O328" s="25" t="s">
        <v>34</v>
      </c>
      <c r="P328" s="18" t="s">
        <v>1085</v>
      </c>
      <c r="Q328" s="18" t="s">
        <v>181</v>
      </c>
      <c r="R328" s="13" t="s">
        <v>182</v>
      </c>
      <c r="S328" s="19" t="s">
        <v>256</v>
      </c>
      <c r="T328" s="175"/>
      <c r="U328" s="175"/>
      <c r="V328" s="21" t="s">
        <v>2348</v>
      </c>
      <c r="W328" s="21" t="s">
        <v>2348</v>
      </c>
      <c r="X328" s="1">
        <v>2</v>
      </c>
      <c r="Y328" s="77"/>
      <c r="Z328" s="86"/>
      <c r="AA328" s="86" t="s">
        <v>186</v>
      </c>
      <c r="AB328" s="86"/>
      <c r="AC328" s="123"/>
      <c r="AD328" s="218" t="s">
        <v>189</v>
      </c>
      <c r="AE328" s="218"/>
      <c r="AF328" s="219"/>
      <c r="AG328" s="220"/>
      <c r="AH328" s="221"/>
      <c r="AI328" s="221"/>
      <c r="AJ328" s="97" t="s">
        <v>203</v>
      </c>
      <c r="AK328" s="97" t="s">
        <v>190</v>
      </c>
      <c r="AL328" s="97" t="s">
        <v>190</v>
      </c>
      <c r="AM328" s="88" t="s">
        <v>2349</v>
      </c>
      <c r="AN328" s="22">
        <v>182</v>
      </c>
      <c r="AO328" s="22">
        <v>0</v>
      </c>
      <c r="AP328" s="22">
        <v>0</v>
      </c>
      <c r="AQ328" s="22">
        <v>0</v>
      </c>
      <c r="AR328" s="22">
        <v>0</v>
      </c>
      <c r="AS328" s="22">
        <v>7</v>
      </c>
      <c r="AT328" s="22">
        <v>10</v>
      </c>
      <c r="AU328" s="316">
        <f t="shared" si="56"/>
        <v>199</v>
      </c>
      <c r="AV328" s="22">
        <v>190</v>
      </c>
      <c r="AW328" s="22">
        <v>0</v>
      </c>
      <c r="AX328" s="22">
        <v>0</v>
      </c>
      <c r="AY328" s="22">
        <v>0</v>
      </c>
      <c r="AZ328" s="22">
        <v>0</v>
      </c>
      <c r="BA328" s="22">
        <v>7</v>
      </c>
      <c r="BB328" s="22">
        <v>10</v>
      </c>
      <c r="BC328" s="316">
        <f t="shared" si="57"/>
        <v>207</v>
      </c>
      <c r="BD328" s="58">
        <f t="shared" si="58"/>
        <v>8</v>
      </c>
      <c r="BE328" s="58">
        <f t="shared" si="59"/>
        <v>0</v>
      </c>
      <c r="BF328" s="58">
        <f t="shared" si="60"/>
        <v>0</v>
      </c>
      <c r="BG328" s="58">
        <f t="shared" si="61"/>
        <v>0</v>
      </c>
      <c r="BH328" s="58">
        <f t="shared" si="62"/>
        <v>0</v>
      </c>
      <c r="BI328" s="58">
        <f t="shared" si="63"/>
        <v>0</v>
      </c>
      <c r="BJ328" s="58">
        <f t="shared" si="64"/>
        <v>0</v>
      </c>
      <c r="BK328" s="58">
        <f t="shared" si="65"/>
        <v>8</v>
      </c>
    </row>
    <row r="329" spans="1:63" ht="27" customHeight="1">
      <c r="A329" s="13">
        <f t="shared" si="66"/>
        <v>327</v>
      </c>
      <c r="B329" s="14"/>
      <c r="C329" s="10">
        <v>2678</v>
      </c>
      <c r="D329" s="119" t="s">
        <v>2350</v>
      </c>
      <c r="E329" s="217" t="s">
        <v>2351</v>
      </c>
      <c r="F329" s="106" t="s">
        <v>675</v>
      </c>
      <c r="G329" s="107" t="s">
        <v>2352</v>
      </c>
      <c r="H329" s="26" t="s">
        <v>1966</v>
      </c>
      <c r="I329" s="27" t="s">
        <v>2235</v>
      </c>
      <c r="J329" s="98" t="s">
        <v>178</v>
      </c>
      <c r="K329" s="28">
        <v>33645</v>
      </c>
      <c r="L329" s="82" t="s">
        <v>179</v>
      </c>
      <c r="M329" s="25">
        <v>43678</v>
      </c>
      <c r="N329" s="25">
        <v>43498</v>
      </c>
      <c r="O329" s="25" t="s">
        <v>34</v>
      </c>
      <c r="P329" s="18" t="s">
        <v>1085</v>
      </c>
      <c r="Q329" s="18" t="s">
        <v>181</v>
      </c>
      <c r="R329" s="13" t="s">
        <v>182</v>
      </c>
      <c r="S329" s="13" t="s">
        <v>228</v>
      </c>
      <c r="T329" s="175"/>
      <c r="U329" s="175"/>
      <c r="V329" s="21" t="s">
        <v>200</v>
      </c>
      <c r="W329" s="21" t="s">
        <v>200</v>
      </c>
      <c r="X329" s="1">
        <v>5</v>
      </c>
      <c r="Y329" s="176" t="s">
        <v>2353</v>
      </c>
      <c r="Z329" s="86"/>
      <c r="AA329" s="86" t="s">
        <v>186</v>
      </c>
      <c r="AB329" s="1"/>
      <c r="AC329" s="123"/>
      <c r="AD329" s="218" t="s">
        <v>189</v>
      </c>
      <c r="AE329" s="218"/>
      <c r="AF329" s="219"/>
      <c r="AG329" s="220"/>
      <c r="AH329" s="221"/>
      <c r="AI329" s="221"/>
      <c r="AJ329" s="97" t="s">
        <v>203</v>
      </c>
      <c r="AK329" s="97" t="s">
        <v>190</v>
      </c>
      <c r="AL329" s="97" t="s">
        <v>190</v>
      </c>
      <c r="AM329" s="88" t="s">
        <v>2354</v>
      </c>
      <c r="AN329" s="22">
        <v>182</v>
      </c>
      <c r="AO329" s="22">
        <v>0</v>
      </c>
      <c r="AP329" s="22">
        <v>0</v>
      </c>
      <c r="AQ329" s="22">
        <v>0</v>
      </c>
      <c r="AR329" s="22">
        <v>0</v>
      </c>
      <c r="AS329" s="22">
        <v>7</v>
      </c>
      <c r="AT329" s="22">
        <v>10</v>
      </c>
      <c r="AU329" s="316">
        <f t="shared" si="56"/>
        <v>199</v>
      </c>
      <c r="AV329" s="22">
        <v>190</v>
      </c>
      <c r="AW329" s="22">
        <v>0</v>
      </c>
      <c r="AX329" s="22">
        <v>0</v>
      </c>
      <c r="AY329" s="22">
        <v>0</v>
      </c>
      <c r="AZ329" s="22">
        <v>0</v>
      </c>
      <c r="BA329" s="22">
        <v>7</v>
      </c>
      <c r="BB329" s="22">
        <v>10</v>
      </c>
      <c r="BC329" s="316">
        <f t="shared" si="57"/>
        <v>207</v>
      </c>
      <c r="BD329" s="58">
        <f t="shared" si="58"/>
        <v>8</v>
      </c>
      <c r="BE329" s="58">
        <f t="shared" si="59"/>
        <v>0</v>
      </c>
      <c r="BF329" s="58">
        <f t="shared" si="60"/>
        <v>0</v>
      </c>
      <c r="BG329" s="58">
        <f t="shared" si="61"/>
        <v>0</v>
      </c>
      <c r="BH329" s="58">
        <f t="shared" si="62"/>
        <v>0</v>
      </c>
      <c r="BI329" s="58">
        <f t="shared" si="63"/>
        <v>0</v>
      </c>
      <c r="BJ329" s="58">
        <f t="shared" si="64"/>
        <v>0</v>
      </c>
      <c r="BK329" s="58">
        <f t="shared" si="65"/>
        <v>8</v>
      </c>
    </row>
    <row r="330" spans="1:63" ht="27" customHeight="1">
      <c r="A330" s="13">
        <f t="shared" si="66"/>
        <v>328</v>
      </c>
      <c r="B330" s="14"/>
      <c r="C330" s="10">
        <v>2706</v>
      </c>
      <c r="D330" s="119" t="s">
        <v>2355</v>
      </c>
      <c r="E330" s="217" t="s">
        <v>2356</v>
      </c>
      <c r="F330" s="106" t="s">
        <v>2357</v>
      </c>
      <c r="G330" s="107" t="s">
        <v>2251</v>
      </c>
      <c r="H330" s="26" t="s">
        <v>2358</v>
      </c>
      <c r="I330" s="27" t="s">
        <v>2253</v>
      </c>
      <c r="J330" s="98" t="s">
        <v>178</v>
      </c>
      <c r="K330" s="28">
        <v>35801</v>
      </c>
      <c r="L330" s="82" t="s">
        <v>179</v>
      </c>
      <c r="M330" s="25">
        <v>43678</v>
      </c>
      <c r="N330" s="25">
        <v>43502</v>
      </c>
      <c r="O330" s="25" t="s">
        <v>34</v>
      </c>
      <c r="P330" s="18" t="s">
        <v>348</v>
      </c>
      <c r="Q330" s="18" t="s">
        <v>181</v>
      </c>
      <c r="R330" s="13" t="s">
        <v>182</v>
      </c>
      <c r="S330" s="13" t="s">
        <v>2359</v>
      </c>
      <c r="T330" s="175"/>
      <c r="U330" s="175"/>
      <c r="V330" s="21" t="s">
        <v>184</v>
      </c>
      <c r="W330" s="21" t="s">
        <v>184</v>
      </c>
      <c r="X330" s="1" t="s">
        <v>184</v>
      </c>
      <c r="Y330" s="176" t="s">
        <v>2360</v>
      </c>
      <c r="Z330" s="86"/>
      <c r="AA330" s="86"/>
      <c r="AB330" s="1"/>
      <c r="AC330" s="123"/>
      <c r="AD330" s="218"/>
      <c r="AE330" s="218"/>
      <c r="AF330" s="219"/>
      <c r="AG330" s="220"/>
      <c r="AH330" s="221"/>
      <c r="AI330" s="221"/>
      <c r="AJ330" s="97" t="s">
        <v>203</v>
      </c>
      <c r="AK330" s="97" t="s">
        <v>190</v>
      </c>
      <c r="AL330" s="97" t="s">
        <v>190</v>
      </c>
      <c r="AM330" s="88" t="s">
        <v>2354</v>
      </c>
      <c r="AN330" s="22">
        <v>182</v>
      </c>
      <c r="AO330" s="22">
        <v>0</v>
      </c>
      <c r="AP330" s="22">
        <v>0</v>
      </c>
      <c r="AQ330" s="22">
        <v>0</v>
      </c>
      <c r="AR330" s="22">
        <v>0</v>
      </c>
      <c r="AS330" s="22">
        <v>7</v>
      </c>
      <c r="AT330" s="22">
        <v>10</v>
      </c>
      <c r="AU330" s="316">
        <f t="shared" si="56"/>
        <v>199</v>
      </c>
      <c r="AV330" s="22">
        <v>190</v>
      </c>
      <c r="AW330" s="22">
        <v>0</v>
      </c>
      <c r="AX330" s="22">
        <v>0</v>
      </c>
      <c r="AY330" s="22">
        <v>0</v>
      </c>
      <c r="AZ330" s="22">
        <v>0</v>
      </c>
      <c r="BA330" s="22">
        <v>7</v>
      </c>
      <c r="BB330" s="22">
        <v>10</v>
      </c>
      <c r="BC330" s="316">
        <f t="shared" si="57"/>
        <v>207</v>
      </c>
      <c r="BD330" s="58">
        <f t="shared" si="58"/>
        <v>8</v>
      </c>
      <c r="BE330" s="58">
        <f t="shared" si="59"/>
        <v>0</v>
      </c>
      <c r="BF330" s="58">
        <f t="shared" si="60"/>
        <v>0</v>
      </c>
      <c r="BG330" s="58">
        <f t="shared" si="61"/>
        <v>0</v>
      </c>
      <c r="BH330" s="58">
        <f t="shared" si="62"/>
        <v>0</v>
      </c>
      <c r="BI330" s="58">
        <f t="shared" si="63"/>
        <v>0</v>
      </c>
      <c r="BJ330" s="58">
        <f t="shared" si="64"/>
        <v>0</v>
      </c>
      <c r="BK330" s="58">
        <f t="shared" si="65"/>
        <v>8</v>
      </c>
    </row>
    <row r="331" spans="1:63" ht="27" customHeight="1">
      <c r="A331" s="13">
        <f t="shared" si="66"/>
        <v>329</v>
      </c>
      <c r="B331" s="14"/>
      <c r="C331" s="10">
        <v>2715</v>
      </c>
      <c r="D331" s="119" t="s">
        <v>2361</v>
      </c>
      <c r="E331" s="217" t="s">
        <v>2362</v>
      </c>
      <c r="F331" s="106" t="s">
        <v>2363</v>
      </c>
      <c r="G331" s="107" t="s">
        <v>2364</v>
      </c>
      <c r="H331" s="26" t="s">
        <v>2365</v>
      </c>
      <c r="I331" s="27" t="s">
        <v>2366</v>
      </c>
      <c r="J331" s="98" t="s">
        <v>178</v>
      </c>
      <c r="K331" s="28">
        <v>33727</v>
      </c>
      <c r="L331" s="82" t="s">
        <v>179</v>
      </c>
      <c r="M331" s="25">
        <v>43678</v>
      </c>
      <c r="N331" s="25">
        <v>43504</v>
      </c>
      <c r="O331" s="25" t="s">
        <v>34</v>
      </c>
      <c r="P331" s="18" t="s">
        <v>309</v>
      </c>
      <c r="Q331" s="18" t="s">
        <v>181</v>
      </c>
      <c r="R331" s="13" t="s">
        <v>182</v>
      </c>
      <c r="S331" s="13" t="s">
        <v>2359</v>
      </c>
      <c r="T331" s="175"/>
      <c r="U331" s="175"/>
      <c r="V331" s="21" t="s">
        <v>184</v>
      </c>
      <c r="W331" s="21" t="s">
        <v>184</v>
      </c>
      <c r="X331" s="1" t="s">
        <v>184</v>
      </c>
      <c r="Y331" s="176" t="s">
        <v>2367</v>
      </c>
      <c r="Z331" s="86"/>
      <c r="AA331" s="86"/>
      <c r="AB331" s="1"/>
      <c r="AC331" s="123"/>
      <c r="AD331" s="218"/>
      <c r="AE331" s="218"/>
      <c r="AF331" s="219"/>
      <c r="AG331" s="220"/>
      <c r="AH331" s="221"/>
      <c r="AI331" s="221"/>
      <c r="AJ331" s="97" t="s">
        <v>203</v>
      </c>
      <c r="AK331" s="97" t="s">
        <v>190</v>
      </c>
      <c r="AL331" s="97" t="s">
        <v>190</v>
      </c>
      <c r="AM331" s="88" t="s">
        <v>2354</v>
      </c>
      <c r="AN331" s="22">
        <v>182</v>
      </c>
      <c r="AO331" s="22">
        <v>0</v>
      </c>
      <c r="AP331" s="22">
        <v>0</v>
      </c>
      <c r="AQ331" s="22">
        <v>0</v>
      </c>
      <c r="AR331" s="22">
        <v>0</v>
      </c>
      <c r="AS331" s="22">
        <v>7</v>
      </c>
      <c r="AT331" s="22">
        <v>10</v>
      </c>
      <c r="AU331" s="316">
        <f t="shared" si="56"/>
        <v>199</v>
      </c>
      <c r="AV331" s="22">
        <v>190</v>
      </c>
      <c r="AW331" s="22">
        <v>0</v>
      </c>
      <c r="AX331" s="22">
        <v>0</v>
      </c>
      <c r="AY331" s="22">
        <v>0</v>
      </c>
      <c r="AZ331" s="22">
        <v>0</v>
      </c>
      <c r="BA331" s="22">
        <v>7</v>
      </c>
      <c r="BB331" s="22">
        <v>10</v>
      </c>
      <c r="BC331" s="316">
        <f t="shared" si="57"/>
        <v>207</v>
      </c>
      <c r="BD331" s="58">
        <f t="shared" si="58"/>
        <v>8</v>
      </c>
      <c r="BE331" s="58">
        <f t="shared" si="59"/>
        <v>0</v>
      </c>
      <c r="BF331" s="58">
        <f t="shared" si="60"/>
        <v>0</v>
      </c>
      <c r="BG331" s="58">
        <f t="shared" si="61"/>
        <v>0</v>
      </c>
      <c r="BH331" s="58">
        <f t="shared" si="62"/>
        <v>0</v>
      </c>
      <c r="BI331" s="58">
        <f t="shared" si="63"/>
        <v>0</v>
      </c>
      <c r="BJ331" s="58">
        <f t="shared" si="64"/>
        <v>0</v>
      </c>
      <c r="BK331" s="58">
        <f t="shared" si="65"/>
        <v>8</v>
      </c>
    </row>
    <row r="332" spans="1:63" ht="27" customHeight="1">
      <c r="A332" s="13">
        <f t="shared" si="66"/>
        <v>330</v>
      </c>
      <c r="B332" s="14"/>
      <c r="C332" s="10">
        <v>2702</v>
      </c>
      <c r="D332" s="119" t="s">
        <v>2368</v>
      </c>
      <c r="E332" s="217" t="s">
        <v>2369</v>
      </c>
      <c r="F332" s="106" t="s">
        <v>1870</v>
      </c>
      <c r="G332" s="107" t="s">
        <v>2370</v>
      </c>
      <c r="H332" s="26" t="s">
        <v>2371</v>
      </c>
      <c r="I332" s="27" t="s">
        <v>2372</v>
      </c>
      <c r="J332" s="98" t="s">
        <v>178</v>
      </c>
      <c r="K332" s="28">
        <v>30012</v>
      </c>
      <c r="L332" s="82" t="s">
        <v>179</v>
      </c>
      <c r="M332" s="25">
        <v>43678</v>
      </c>
      <c r="N332" s="25">
        <v>43502</v>
      </c>
      <c r="O332" s="25" t="s">
        <v>34</v>
      </c>
      <c r="P332" s="18" t="s">
        <v>265</v>
      </c>
      <c r="Q332" s="18" t="s">
        <v>181</v>
      </c>
      <c r="R332" s="13" t="s">
        <v>182</v>
      </c>
      <c r="S332" s="13" t="s">
        <v>2359</v>
      </c>
      <c r="T332" s="175"/>
      <c r="U332" s="175"/>
      <c r="V332" s="21" t="s">
        <v>184</v>
      </c>
      <c r="W332" s="21" t="s">
        <v>184</v>
      </c>
      <c r="X332" s="1" t="s">
        <v>184</v>
      </c>
      <c r="Y332" s="176" t="s">
        <v>184</v>
      </c>
      <c r="Z332" s="86"/>
      <c r="AA332" s="86"/>
      <c r="AB332" s="1"/>
      <c r="AC332" s="123"/>
      <c r="AD332" s="218"/>
      <c r="AE332" s="218"/>
      <c r="AF332" s="219"/>
      <c r="AG332" s="220"/>
      <c r="AH332" s="221"/>
      <c r="AI332" s="221"/>
      <c r="AJ332" s="97" t="s">
        <v>203</v>
      </c>
      <c r="AK332" s="97" t="s">
        <v>190</v>
      </c>
      <c r="AL332" s="97" t="s">
        <v>190</v>
      </c>
      <c r="AM332" s="88" t="s">
        <v>2354</v>
      </c>
      <c r="AN332" s="22">
        <v>182</v>
      </c>
      <c r="AO332" s="22">
        <v>0</v>
      </c>
      <c r="AP332" s="22">
        <v>0</v>
      </c>
      <c r="AQ332" s="22">
        <v>0</v>
      </c>
      <c r="AR332" s="22">
        <v>0</v>
      </c>
      <c r="AS332" s="22">
        <v>7</v>
      </c>
      <c r="AT332" s="22">
        <v>10</v>
      </c>
      <c r="AU332" s="316">
        <f t="shared" si="56"/>
        <v>199</v>
      </c>
      <c r="AV332" s="22">
        <v>190</v>
      </c>
      <c r="AW332" s="22">
        <v>0</v>
      </c>
      <c r="AX332" s="22">
        <v>0</v>
      </c>
      <c r="AY332" s="22">
        <v>0</v>
      </c>
      <c r="AZ332" s="22">
        <v>0</v>
      </c>
      <c r="BA332" s="22">
        <v>7</v>
      </c>
      <c r="BB332" s="22">
        <v>10</v>
      </c>
      <c r="BC332" s="316">
        <f t="shared" si="57"/>
        <v>207</v>
      </c>
      <c r="BD332" s="58">
        <f t="shared" si="58"/>
        <v>8</v>
      </c>
      <c r="BE332" s="58">
        <f t="shared" si="59"/>
        <v>0</v>
      </c>
      <c r="BF332" s="58">
        <f t="shared" si="60"/>
        <v>0</v>
      </c>
      <c r="BG332" s="58">
        <f t="shared" si="61"/>
        <v>0</v>
      </c>
      <c r="BH332" s="58">
        <f t="shared" si="62"/>
        <v>0</v>
      </c>
      <c r="BI332" s="58">
        <f t="shared" si="63"/>
        <v>0</v>
      </c>
      <c r="BJ332" s="58">
        <f t="shared" si="64"/>
        <v>0</v>
      </c>
      <c r="BK332" s="58">
        <f t="shared" si="65"/>
        <v>8</v>
      </c>
    </row>
    <row r="333" spans="1:63" ht="27" customHeight="1">
      <c r="A333" s="13">
        <f t="shared" si="66"/>
        <v>331</v>
      </c>
      <c r="B333" s="14"/>
      <c r="C333" s="10">
        <v>2716</v>
      </c>
      <c r="D333" s="119" t="s">
        <v>2373</v>
      </c>
      <c r="E333" s="217" t="s">
        <v>2374</v>
      </c>
      <c r="F333" s="106" t="s">
        <v>2375</v>
      </c>
      <c r="G333" s="107" t="s">
        <v>2376</v>
      </c>
      <c r="H333" s="26" t="s">
        <v>2377</v>
      </c>
      <c r="I333" s="27" t="s">
        <v>2378</v>
      </c>
      <c r="J333" s="98" t="s">
        <v>178</v>
      </c>
      <c r="K333" s="28">
        <v>32265</v>
      </c>
      <c r="L333" s="82" t="s">
        <v>179</v>
      </c>
      <c r="M333" s="25">
        <v>43678</v>
      </c>
      <c r="N333" s="25">
        <v>43504</v>
      </c>
      <c r="O333" s="25" t="s">
        <v>34</v>
      </c>
      <c r="P333" s="18" t="s">
        <v>1085</v>
      </c>
      <c r="Q333" s="18" t="s">
        <v>181</v>
      </c>
      <c r="R333" s="13" t="s">
        <v>182</v>
      </c>
      <c r="S333" s="13" t="s">
        <v>2359</v>
      </c>
      <c r="T333" s="175"/>
      <c r="U333" s="175"/>
      <c r="V333" s="21" t="s">
        <v>184</v>
      </c>
      <c r="W333" s="21" t="s">
        <v>184</v>
      </c>
      <c r="X333" s="1" t="s">
        <v>184</v>
      </c>
      <c r="Y333" s="176" t="s">
        <v>2379</v>
      </c>
      <c r="Z333" s="86"/>
      <c r="AA333" s="86"/>
      <c r="AB333" s="1"/>
      <c r="AC333" s="123"/>
      <c r="AD333" s="218"/>
      <c r="AE333" s="218"/>
      <c r="AF333" s="219"/>
      <c r="AG333" s="220"/>
      <c r="AH333" s="221"/>
      <c r="AI333" s="221"/>
      <c r="AJ333" s="97" t="s">
        <v>203</v>
      </c>
      <c r="AK333" s="97" t="s">
        <v>190</v>
      </c>
      <c r="AL333" s="97" t="s">
        <v>190</v>
      </c>
      <c r="AM333" s="88" t="s">
        <v>2354</v>
      </c>
      <c r="AN333" s="22">
        <v>182</v>
      </c>
      <c r="AO333" s="22">
        <v>0</v>
      </c>
      <c r="AP333" s="22">
        <v>0</v>
      </c>
      <c r="AQ333" s="22">
        <v>0</v>
      </c>
      <c r="AR333" s="22">
        <v>0</v>
      </c>
      <c r="AS333" s="22">
        <v>7</v>
      </c>
      <c r="AT333" s="22">
        <v>10</v>
      </c>
      <c r="AU333" s="316">
        <f t="shared" si="56"/>
        <v>199</v>
      </c>
      <c r="AV333" s="22">
        <v>190</v>
      </c>
      <c r="AW333" s="22">
        <v>0</v>
      </c>
      <c r="AX333" s="22">
        <v>0</v>
      </c>
      <c r="AY333" s="22">
        <v>0</v>
      </c>
      <c r="AZ333" s="22">
        <v>0</v>
      </c>
      <c r="BA333" s="22">
        <v>7</v>
      </c>
      <c r="BB333" s="22">
        <v>10</v>
      </c>
      <c r="BC333" s="316">
        <f t="shared" si="57"/>
        <v>207</v>
      </c>
      <c r="BD333" s="58">
        <f t="shared" si="58"/>
        <v>8</v>
      </c>
      <c r="BE333" s="58">
        <f t="shared" si="59"/>
        <v>0</v>
      </c>
      <c r="BF333" s="58">
        <f t="shared" si="60"/>
        <v>0</v>
      </c>
      <c r="BG333" s="58">
        <f t="shared" si="61"/>
        <v>0</v>
      </c>
      <c r="BH333" s="58">
        <f t="shared" si="62"/>
        <v>0</v>
      </c>
      <c r="BI333" s="58">
        <f t="shared" si="63"/>
        <v>0</v>
      </c>
      <c r="BJ333" s="58">
        <f t="shared" si="64"/>
        <v>0</v>
      </c>
      <c r="BK333" s="58">
        <f t="shared" si="65"/>
        <v>8</v>
      </c>
    </row>
    <row r="334" spans="1:63" ht="27" customHeight="1">
      <c r="A334" s="13">
        <f t="shared" si="66"/>
        <v>332</v>
      </c>
      <c r="B334" s="14"/>
      <c r="C334" s="10">
        <v>2695</v>
      </c>
      <c r="D334" s="119" t="s">
        <v>2380</v>
      </c>
      <c r="E334" s="217" t="s">
        <v>2381</v>
      </c>
      <c r="F334" s="106" t="s">
        <v>1162</v>
      </c>
      <c r="G334" s="107" t="s">
        <v>2382</v>
      </c>
      <c r="H334" s="26" t="s">
        <v>54</v>
      </c>
      <c r="I334" s="27" t="s">
        <v>2383</v>
      </c>
      <c r="J334" s="98" t="s">
        <v>178</v>
      </c>
      <c r="K334" s="28">
        <v>32307</v>
      </c>
      <c r="L334" s="82" t="s">
        <v>179</v>
      </c>
      <c r="M334" s="25">
        <v>43678</v>
      </c>
      <c r="N334" s="25">
        <v>43503</v>
      </c>
      <c r="O334" s="25" t="s">
        <v>34</v>
      </c>
      <c r="P334" s="18" t="s">
        <v>386</v>
      </c>
      <c r="Q334" s="18" t="s">
        <v>181</v>
      </c>
      <c r="R334" s="13" t="s">
        <v>182</v>
      </c>
      <c r="S334" s="13" t="s">
        <v>2384</v>
      </c>
      <c r="T334" s="175"/>
      <c r="U334" s="175"/>
      <c r="V334" s="21" t="s">
        <v>184</v>
      </c>
      <c r="W334" s="21" t="s">
        <v>184</v>
      </c>
      <c r="X334" s="1" t="s">
        <v>184</v>
      </c>
      <c r="Y334" s="176" t="s">
        <v>184</v>
      </c>
      <c r="Z334" s="86"/>
      <c r="AA334" s="86"/>
      <c r="AB334" s="1"/>
      <c r="AC334" s="123"/>
      <c r="AD334" s="218"/>
      <c r="AE334" s="218"/>
      <c r="AF334" s="219"/>
      <c r="AG334" s="220"/>
      <c r="AH334" s="221"/>
      <c r="AI334" s="221"/>
      <c r="AJ334" s="97" t="s">
        <v>203</v>
      </c>
      <c r="AK334" s="97" t="s">
        <v>190</v>
      </c>
      <c r="AL334" s="97" t="s">
        <v>190</v>
      </c>
      <c r="AM334" s="88" t="s">
        <v>2354</v>
      </c>
      <c r="AN334" s="22">
        <v>182</v>
      </c>
      <c r="AO334" s="22">
        <v>0</v>
      </c>
      <c r="AP334" s="22">
        <v>0</v>
      </c>
      <c r="AQ334" s="22">
        <v>0</v>
      </c>
      <c r="AR334" s="22">
        <v>0</v>
      </c>
      <c r="AS334" s="22">
        <v>7</v>
      </c>
      <c r="AT334" s="22">
        <v>10</v>
      </c>
      <c r="AU334" s="316">
        <f t="shared" si="56"/>
        <v>199</v>
      </c>
      <c r="AV334" s="22">
        <v>190</v>
      </c>
      <c r="AW334" s="22">
        <v>0</v>
      </c>
      <c r="AX334" s="22">
        <v>0</v>
      </c>
      <c r="AY334" s="22">
        <v>0</v>
      </c>
      <c r="AZ334" s="22">
        <v>0</v>
      </c>
      <c r="BA334" s="22">
        <v>7</v>
      </c>
      <c r="BB334" s="22">
        <v>10</v>
      </c>
      <c r="BC334" s="316">
        <f t="shared" si="57"/>
        <v>207</v>
      </c>
      <c r="BD334" s="58">
        <f t="shared" si="58"/>
        <v>8</v>
      </c>
      <c r="BE334" s="58">
        <f t="shared" si="59"/>
        <v>0</v>
      </c>
      <c r="BF334" s="58">
        <f t="shared" si="60"/>
        <v>0</v>
      </c>
      <c r="BG334" s="58">
        <f t="shared" si="61"/>
        <v>0</v>
      </c>
      <c r="BH334" s="58">
        <f t="shared" si="62"/>
        <v>0</v>
      </c>
      <c r="BI334" s="58">
        <f t="shared" si="63"/>
        <v>0</v>
      </c>
      <c r="BJ334" s="58">
        <f t="shared" si="64"/>
        <v>0</v>
      </c>
      <c r="BK334" s="58">
        <f t="shared" si="65"/>
        <v>8</v>
      </c>
    </row>
    <row r="335" spans="1:63" ht="27" customHeight="1">
      <c r="A335" s="13">
        <f t="shared" si="66"/>
        <v>333</v>
      </c>
      <c r="B335" s="14"/>
      <c r="C335" s="10">
        <v>2697</v>
      </c>
      <c r="D335" s="119" t="s">
        <v>2385</v>
      </c>
      <c r="E335" s="217" t="s">
        <v>2386</v>
      </c>
      <c r="F335" s="106" t="s">
        <v>2387</v>
      </c>
      <c r="G335" s="107" t="s">
        <v>1124</v>
      </c>
      <c r="H335" s="26" t="s">
        <v>2388</v>
      </c>
      <c r="I335" s="27" t="s">
        <v>2389</v>
      </c>
      <c r="J335" s="98" t="s">
        <v>178</v>
      </c>
      <c r="K335" s="28">
        <v>32418</v>
      </c>
      <c r="L335" s="82" t="s">
        <v>179</v>
      </c>
      <c r="M335" s="25">
        <v>43678</v>
      </c>
      <c r="N335" s="25">
        <v>43503</v>
      </c>
      <c r="O335" s="25" t="s">
        <v>34</v>
      </c>
      <c r="P335" s="18" t="s">
        <v>402</v>
      </c>
      <c r="Q335" s="18" t="s">
        <v>181</v>
      </c>
      <c r="R335" s="13" t="s">
        <v>182</v>
      </c>
      <c r="S335" s="13" t="s">
        <v>2359</v>
      </c>
      <c r="T335" s="175"/>
      <c r="U335" s="175"/>
      <c r="V335" s="21" t="s">
        <v>184</v>
      </c>
      <c r="W335" s="21" t="s">
        <v>184</v>
      </c>
      <c r="X335" s="1">
        <v>7</v>
      </c>
      <c r="Y335" s="176" t="s">
        <v>2390</v>
      </c>
      <c r="Z335" s="86"/>
      <c r="AA335" s="86"/>
      <c r="AB335" s="1"/>
      <c r="AC335" s="123"/>
      <c r="AD335" s="218"/>
      <c r="AE335" s="218"/>
      <c r="AF335" s="219"/>
      <c r="AG335" s="220"/>
      <c r="AH335" s="221"/>
      <c r="AI335" s="221"/>
      <c r="AJ335" s="97" t="s">
        <v>203</v>
      </c>
      <c r="AK335" s="97" t="s">
        <v>190</v>
      </c>
      <c r="AL335" s="97" t="s">
        <v>190</v>
      </c>
      <c r="AM335" s="88" t="s">
        <v>2354</v>
      </c>
      <c r="AN335" s="22">
        <v>182</v>
      </c>
      <c r="AO335" s="22">
        <v>0</v>
      </c>
      <c r="AP335" s="22">
        <v>0</v>
      </c>
      <c r="AQ335" s="22">
        <v>0</v>
      </c>
      <c r="AR335" s="22">
        <v>0</v>
      </c>
      <c r="AS335" s="22">
        <v>7</v>
      </c>
      <c r="AT335" s="22">
        <v>10</v>
      </c>
      <c r="AU335" s="316">
        <f t="shared" si="56"/>
        <v>199</v>
      </c>
      <c r="AV335" s="22">
        <v>190</v>
      </c>
      <c r="AW335" s="22">
        <v>0</v>
      </c>
      <c r="AX335" s="22">
        <v>0</v>
      </c>
      <c r="AY335" s="22">
        <v>0</v>
      </c>
      <c r="AZ335" s="22">
        <v>0</v>
      </c>
      <c r="BA335" s="22">
        <v>7</v>
      </c>
      <c r="BB335" s="22">
        <v>10</v>
      </c>
      <c r="BC335" s="316">
        <f t="shared" si="57"/>
        <v>207</v>
      </c>
      <c r="BD335" s="58">
        <f t="shared" si="58"/>
        <v>8</v>
      </c>
      <c r="BE335" s="58">
        <f t="shared" si="59"/>
        <v>0</v>
      </c>
      <c r="BF335" s="58">
        <f t="shared" si="60"/>
        <v>0</v>
      </c>
      <c r="BG335" s="58">
        <f t="shared" si="61"/>
        <v>0</v>
      </c>
      <c r="BH335" s="58">
        <f t="shared" si="62"/>
        <v>0</v>
      </c>
      <c r="BI335" s="58">
        <f t="shared" si="63"/>
        <v>0</v>
      </c>
      <c r="BJ335" s="58">
        <f t="shared" si="64"/>
        <v>0</v>
      </c>
      <c r="BK335" s="58">
        <f t="shared" si="65"/>
        <v>8</v>
      </c>
    </row>
    <row r="336" spans="1:63" ht="27" customHeight="1">
      <c r="A336" s="13">
        <f t="shared" si="66"/>
        <v>334</v>
      </c>
      <c r="B336" s="14"/>
      <c r="C336" s="10">
        <v>2701</v>
      </c>
      <c r="D336" s="119" t="s">
        <v>2391</v>
      </c>
      <c r="E336" s="217" t="s">
        <v>2392</v>
      </c>
      <c r="F336" s="106" t="s">
        <v>2393</v>
      </c>
      <c r="G336" s="107" t="s">
        <v>2394</v>
      </c>
      <c r="H336" s="26" t="s">
        <v>2395</v>
      </c>
      <c r="I336" s="27" t="s">
        <v>2396</v>
      </c>
      <c r="J336" s="98" t="s">
        <v>178</v>
      </c>
      <c r="K336" s="28">
        <v>30532</v>
      </c>
      <c r="L336" s="82" t="s">
        <v>179</v>
      </c>
      <c r="M336" s="25">
        <v>43678</v>
      </c>
      <c r="N336" s="25">
        <v>43502</v>
      </c>
      <c r="O336" s="25" t="s">
        <v>34</v>
      </c>
      <c r="P336" s="18" t="s">
        <v>309</v>
      </c>
      <c r="Q336" s="18" t="s">
        <v>181</v>
      </c>
      <c r="R336" s="13" t="s">
        <v>182</v>
      </c>
      <c r="S336" s="13" t="s">
        <v>2397</v>
      </c>
      <c r="T336" s="175"/>
      <c r="U336" s="175"/>
      <c r="V336" s="21" t="s">
        <v>184</v>
      </c>
      <c r="W336" s="21" t="s">
        <v>184</v>
      </c>
      <c r="X336" s="1" t="s">
        <v>184</v>
      </c>
      <c r="Y336" s="176" t="s">
        <v>184</v>
      </c>
      <c r="Z336" s="86"/>
      <c r="AA336" s="86"/>
      <c r="AB336" s="1"/>
      <c r="AC336" s="123"/>
      <c r="AD336" s="218"/>
      <c r="AE336" s="218"/>
      <c r="AF336" s="219"/>
      <c r="AG336" s="220"/>
      <c r="AH336" s="221"/>
      <c r="AI336" s="221"/>
      <c r="AJ336" s="97" t="s">
        <v>203</v>
      </c>
      <c r="AK336" s="97" t="s">
        <v>190</v>
      </c>
      <c r="AL336" s="97" t="s">
        <v>190</v>
      </c>
      <c r="AM336" s="88" t="s">
        <v>2354</v>
      </c>
      <c r="AN336" s="22">
        <v>182</v>
      </c>
      <c r="AO336" s="22">
        <v>0</v>
      </c>
      <c r="AP336" s="22">
        <v>0</v>
      </c>
      <c r="AQ336" s="22">
        <v>0</v>
      </c>
      <c r="AR336" s="22">
        <v>0</v>
      </c>
      <c r="AS336" s="22">
        <v>7</v>
      </c>
      <c r="AT336" s="22">
        <v>10</v>
      </c>
      <c r="AU336" s="316">
        <f t="shared" si="56"/>
        <v>199</v>
      </c>
      <c r="AV336" s="22">
        <v>190</v>
      </c>
      <c r="AW336" s="22">
        <v>0</v>
      </c>
      <c r="AX336" s="22">
        <v>0</v>
      </c>
      <c r="AY336" s="22">
        <v>0</v>
      </c>
      <c r="AZ336" s="22">
        <v>0</v>
      </c>
      <c r="BA336" s="22">
        <v>7</v>
      </c>
      <c r="BB336" s="22">
        <v>10</v>
      </c>
      <c r="BC336" s="316">
        <f t="shared" si="57"/>
        <v>207</v>
      </c>
      <c r="BD336" s="58">
        <f t="shared" si="58"/>
        <v>8</v>
      </c>
      <c r="BE336" s="58">
        <f t="shared" si="59"/>
        <v>0</v>
      </c>
      <c r="BF336" s="58">
        <f t="shared" si="60"/>
        <v>0</v>
      </c>
      <c r="BG336" s="58">
        <f t="shared" si="61"/>
        <v>0</v>
      </c>
      <c r="BH336" s="58">
        <f t="shared" si="62"/>
        <v>0</v>
      </c>
      <c r="BI336" s="58">
        <f t="shared" si="63"/>
        <v>0</v>
      </c>
      <c r="BJ336" s="58">
        <f t="shared" si="64"/>
        <v>0</v>
      </c>
      <c r="BK336" s="58">
        <f t="shared" si="65"/>
        <v>8</v>
      </c>
    </row>
    <row r="337" spans="1:63" ht="27" customHeight="1">
      <c r="A337" s="13">
        <f t="shared" si="66"/>
        <v>335</v>
      </c>
      <c r="B337" s="14"/>
      <c r="C337" s="10">
        <v>2694</v>
      </c>
      <c r="D337" s="119" t="s">
        <v>2398</v>
      </c>
      <c r="E337" s="217" t="s">
        <v>2399</v>
      </c>
      <c r="F337" s="106" t="s">
        <v>2400</v>
      </c>
      <c r="G337" s="107" t="s">
        <v>1971</v>
      </c>
      <c r="H337" s="26" t="s">
        <v>2401</v>
      </c>
      <c r="I337" s="27" t="s">
        <v>2402</v>
      </c>
      <c r="J337" s="98" t="s">
        <v>178</v>
      </c>
      <c r="K337" s="28">
        <v>29489</v>
      </c>
      <c r="L337" s="82" t="s">
        <v>179</v>
      </c>
      <c r="M337" s="25">
        <v>43678</v>
      </c>
      <c r="N337" s="25">
        <v>43504</v>
      </c>
      <c r="O337" s="25" t="s">
        <v>34</v>
      </c>
      <c r="P337" s="18" t="s">
        <v>604</v>
      </c>
      <c r="Q337" s="18" t="s">
        <v>181</v>
      </c>
      <c r="R337" s="13" t="s">
        <v>182</v>
      </c>
      <c r="S337" s="13" t="s">
        <v>2397</v>
      </c>
      <c r="T337" s="175"/>
      <c r="U337" s="175"/>
      <c r="V337" s="21" t="s">
        <v>200</v>
      </c>
      <c r="W337" s="21" t="s">
        <v>200</v>
      </c>
      <c r="X337" s="1">
        <v>5</v>
      </c>
      <c r="Y337" s="176" t="s">
        <v>2403</v>
      </c>
      <c r="Z337" s="86"/>
      <c r="AA337" s="86"/>
      <c r="AB337" s="1"/>
      <c r="AC337" s="123"/>
      <c r="AD337" s="218" t="s">
        <v>189</v>
      </c>
      <c r="AE337" s="218" t="s">
        <v>189</v>
      </c>
      <c r="AF337" s="219"/>
      <c r="AG337" s="220"/>
      <c r="AH337" s="221"/>
      <c r="AI337" s="221"/>
      <c r="AJ337" s="97" t="s">
        <v>203</v>
      </c>
      <c r="AK337" s="97" t="s">
        <v>190</v>
      </c>
      <c r="AL337" s="97" t="s">
        <v>190</v>
      </c>
      <c r="AM337" s="88" t="s">
        <v>2354</v>
      </c>
      <c r="AN337" s="22">
        <v>182</v>
      </c>
      <c r="AO337" s="22">
        <v>0</v>
      </c>
      <c r="AP337" s="22">
        <v>0</v>
      </c>
      <c r="AQ337" s="22">
        <v>0</v>
      </c>
      <c r="AR337" s="22">
        <v>0</v>
      </c>
      <c r="AS337" s="22">
        <v>7</v>
      </c>
      <c r="AT337" s="22">
        <v>10</v>
      </c>
      <c r="AU337" s="316">
        <f t="shared" si="56"/>
        <v>199</v>
      </c>
      <c r="AV337" s="22">
        <v>190</v>
      </c>
      <c r="AW337" s="22">
        <v>0</v>
      </c>
      <c r="AX337" s="22">
        <v>0</v>
      </c>
      <c r="AY337" s="22">
        <v>0</v>
      </c>
      <c r="AZ337" s="22">
        <v>0</v>
      </c>
      <c r="BA337" s="22">
        <v>7</v>
      </c>
      <c r="BB337" s="22">
        <v>10</v>
      </c>
      <c r="BC337" s="316">
        <f t="shared" si="57"/>
        <v>207</v>
      </c>
      <c r="BD337" s="58">
        <f t="shared" si="58"/>
        <v>8</v>
      </c>
      <c r="BE337" s="58">
        <f t="shared" si="59"/>
        <v>0</v>
      </c>
      <c r="BF337" s="58">
        <f t="shared" si="60"/>
        <v>0</v>
      </c>
      <c r="BG337" s="58">
        <f t="shared" si="61"/>
        <v>0</v>
      </c>
      <c r="BH337" s="58">
        <f t="shared" si="62"/>
        <v>0</v>
      </c>
      <c r="BI337" s="58">
        <f t="shared" si="63"/>
        <v>0</v>
      </c>
      <c r="BJ337" s="58">
        <f t="shared" si="64"/>
        <v>0</v>
      </c>
      <c r="BK337" s="58">
        <f t="shared" si="65"/>
        <v>8</v>
      </c>
    </row>
    <row r="338" spans="1:63" ht="27" customHeight="1">
      <c r="A338" s="13">
        <f t="shared" si="66"/>
        <v>336</v>
      </c>
      <c r="B338" s="14"/>
      <c r="C338" s="10">
        <v>2679</v>
      </c>
      <c r="D338" s="119" t="s">
        <v>2404</v>
      </c>
      <c r="E338" s="217" t="s">
        <v>2405</v>
      </c>
      <c r="F338" s="106" t="s">
        <v>2406</v>
      </c>
      <c r="G338" s="107" t="s">
        <v>2407</v>
      </c>
      <c r="H338" s="26" t="s">
        <v>2408</v>
      </c>
      <c r="I338" s="27" t="s">
        <v>2409</v>
      </c>
      <c r="J338" s="98" t="s">
        <v>209</v>
      </c>
      <c r="K338" s="28">
        <v>26419</v>
      </c>
      <c r="L338" s="82" t="s">
        <v>179</v>
      </c>
      <c r="M338" s="25">
        <v>43678</v>
      </c>
      <c r="N338" s="25">
        <v>43498</v>
      </c>
      <c r="O338" s="25" t="s">
        <v>34</v>
      </c>
      <c r="P338" s="18" t="s">
        <v>2410</v>
      </c>
      <c r="Q338" s="18" t="s">
        <v>249</v>
      </c>
      <c r="R338" s="13" t="s">
        <v>182</v>
      </c>
      <c r="S338" s="13" t="s">
        <v>2384</v>
      </c>
      <c r="T338" s="175"/>
      <c r="U338" s="175"/>
      <c r="V338" s="21" t="s">
        <v>200</v>
      </c>
      <c r="W338" s="21" t="s">
        <v>184</v>
      </c>
      <c r="X338" s="1">
        <v>11</v>
      </c>
      <c r="Y338" s="176" t="s">
        <v>2411</v>
      </c>
      <c r="Z338" s="86"/>
      <c r="AA338" s="86"/>
      <c r="AB338" s="1"/>
      <c r="AC338" s="123"/>
      <c r="AD338" s="218" t="s">
        <v>188</v>
      </c>
      <c r="AE338" s="218" t="s">
        <v>189</v>
      </c>
      <c r="AF338" s="219"/>
      <c r="AG338" s="220"/>
      <c r="AH338" s="221"/>
      <c r="AI338" s="221"/>
      <c r="AJ338" s="97" t="s">
        <v>203</v>
      </c>
      <c r="AK338" s="97" t="s">
        <v>190</v>
      </c>
      <c r="AL338" s="97" t="s">
        <v>190</v>
      </c>
      <c r="AM338" s="88" t="s">
        <v>2354</v>
      </c>
      <c r="AN338" s="22">
        <v>182</v>
      </c>
      <c r="AO338" s="22">
        <v>0</v>
      </c>
      <c r="AP338" s="22">
        <v>20</v>
      </c>
      <c r="AQ338" s="22">
        <v>148</v>
      </c>
      <c r="AR338" s="22">
        <v>0</v>
      </c>
      <c r="AS338" s="22">
        <v>7</v>
      </c>
      <c r="AT338" s="22">
        <v>10</v>
      </c>
      <c r="AU338" s="316">
        <f t="shared" si="56"/>
        <v>367</v>
      </c>
      <c r="AV338" s="22">
        <v>190</v>
      </c>
      <c r="AW338" s="22">
        <v>0</v>
      </c>
      <c r="AX338" s="22">
        <v>20</v>
      </c>
      <c r="AY338" s="22">
        <v>148</v>
      </c>
      <c r="AZ338" s="22">
        <v>0</v>
      </c>
      <c r="BA338" s="22">
        <v>7</v>
      </c>
      <c r="BB338" s="22">
        <v>10</v>
      </c>
      <c r="BC338" s="316">
        <f t="shared" si="57"/>
        <v>375</v>
      </c>
      <c r="BD338" s="58">
        <f t="shared" si="58"/>
        <v>8</v>
      </c>
      <c r="BE338" s="58">
        <f t="shared" si="59"/>
        <v>0</v>
      </c>
      <c r="BF338" s="58">
        <f t="shared" si="60"/>
        <v>0</v>
      </c>
      <c r="BG338" s="58">
        <f t="shared" si="61"/>
        <v>0</v>
      </c>
      <c r="BH338" s="58">
        <f t="shared" si="62"/>
        <v>0</v>
      </c>
      <c r="BI338" s="58">
        <f t="shared" si="63"/>
        <v>0</v>
      </c>
      <c r="BJ338" s="58">
        <f t="shared" si="64"/>
        <v>0</v>
      </c>
      <c r="BK338" s="58">
        <f t="shared" si="65"/>
        <v>8</v>
      </c>
    </row>
    <row r="339" spans="1:63" ht="27" customHeight="1">
      <c r="A339" s="13">
        <f t="shared" si="66"/>
        <v>337</v>
      </c>
      <c r="B339" s="14"/>
      <c r="C339" s="10">
        <v>2649</v>
      </c>
      <c r="D339" s="119" t="s">
        <v>2412</v>
      </c>
      <c r="E339" s="217" t="s">
        <v>2413</v>
      </c>
      <c r="F339" s="106" t="s">
        <v>2414</v>
      </c>
      <c r="G339" s="107" t="s">
        <v>2415</v>
      </c>
      <c r="H339" s="26" t="s">
        <v>2416</v>
      </c>
      <c r="I339" s="27" t="s">
        <v>2417</v>
      </c>
      <c r="J339" s="98" t="s">
        <v>178</v>
      </c>
      <c r="K339" s="28">
        <v>36558</v>
      </c>
      <c r="L339" s="82" t="s">
        <v>179</v>
      </c>
      <c r="M339" s="25">
        <v>43678</v>
      </c>
      <c r="N339" s="25">
        <v>43497</v>
      </c>
      <c r="O339" s="25" t="s">
        <v>34</v>
      </c>
      <c r="P339" s="18" t="s">
        <v>604</v>
      </c>
      <c r="Q339" s="18" t="s">
        <v>181</v>
      </c>
      <c r="R339" s="13" t="s">
        <v>182</v>
      </c>
      <c r="S339" s="13" t="s">
        <v>2418</v>
      </c>
      <c r="T339" s="175"/>
      <c r="U339" s="175"/>
      <c r="V339" s="21" t="s">
        <v>184</v>
      </c>
      <c r="W339" s="21" t="s">
        <v>184</v>
      </c>
      <c r="X339" s="1">
        <v>6</v>
      </c>
      <c r="Y339" s="176" t="s">
        <v>2419</v>
      </c>
      <c r="Z339" s="86"/>
      <c r="AA339" s="86"/>
      <c r="AB339" s="1"/>
      <c r="AC339" s="123"/>
      <c r="AD339" s="218"/>
      <c r="AE339" s="218"/>
      <c r="AF339" s="219"/>
      <c r="AG339" s="220"/>
      <c r="AH339" s="221"/>
      <c r="AI339" s="221"/>
      <c r="AJ339" s="97" t="s">
        <v>203</v>
      </c>
      <c r="AK339" s="97" t="s">
        <v>190</v>
      </c>
      <c r="AL339" s="97" t="s">
        <v>190</v>
      </c>
      <c r="AM339" s="88" t="s">
        <v>2354</v>
      </c>
      <c r="AN339" s="22">
        <v>182</v>
      </c>
      <c r="AO339" s="22">
        <v>0</v>
      </c>
      <c r="AP339" s="22">
        <v>0</v>
      </c>
      <c r="AQ339" s="22">
        <v>0</v>
      </c>
      <c r="AR339" s="22">
        <v>0</v>
      </c>
      <c r="AS339" s="22">
        <v>7</v>
      </c>
      <c r="AT339" s="22">
        <v>10</v>
      </c>
      <c r="AU339" s="316">
        <f t="shared" si="56"/>
        <v>199</v>
      </c>
      <c r="AV339" s="22">
        <v>190</v>
      </c>
      <c r="AW339" s="22">
        <v>0</v>
      </c>
      <c r="AX339" s="22">
        <v>0</v>
      </c>
      <c r="AY339" s="22">
        <v>0</v>
      </c>
      <c r="AZ339" s="22">
        <v>0</v>
      </c>
      <c r="BA339" s="22">
        <v>7</v>
      </c>
      <c r="BB339" s="22">
        <v>10</v>
      </c>
      <c r="BC339" s="316">
        <f t="shared" si="57"/>
        <v>207</v>
      </c>
      <c r="BD339" s="58">
        <f t="shared" si="58"/>
        <v>8</v>
      </c>
      <c r="BE339" s="58">
        <f t="shared" si="59"/>
        <v>0</v>
      </c>
      <c r="BF339" s="58">
        <f t="shared" si="60"/>
        <v>0</v>
      </c>
      <c r="BG339" s="58">
        <f t="shared" si="61"/>
        <v>0</v>
      </c>
      <c r="BH339" s="58">
        <f t="shared" si="62"/>
        <v>0</v>
      </c>
      <c r="BI339" s="58">
        <f t="shared" si="63"/>
        <v>0</v>
      </c>
      <c r="BJ339" s="58">
        <f t="shared" si="64"/>
        <v>0</v>
      </c>
      <c r="BK339" s="58">
        <f t="shared" si="65"/>
        <v>8</v>
      </c>
    </row>
    <row r="340" spans="1:63" ht="27" customHeight="1">
      <c r="A340" s="13">
        <f t="shared" si="66"/>
        <v>338</v>
      </c>
      <c r="B340" s="14"/>
      <c r="C340" s="10">
        <v>2735</v>
      </c>
      <c r="D340" s="119" t="s">
        <v>2420</v>
      </c>
      <c r="E340" s="217" t="s">
        <v>2421</v>
      </c>
      <c r="F340" s="106" t="s">
        <v>2008</v>
      </c>
      <c r="G340" s="107" t="s">
        <v>2422</v>
      </c>
      <c r="H340" s="26" t="s">
        <v>2202</v>
      </c>
      <c r="I340" s="27" t="s">
        <v>2423</v>
      </c>
      <c r="J340" s="98" t="s">
        <v>209</v>
      </c>
      <c r="K340" s="28">
        <v>34556</v>
      </c>
      <c r="L340" s="82" t="s">
        <v>179</v>
      </c>
      <c r="M340" s="25">
        <v>43678</v>
      </c>
      <c r="N340" s="25">
        <v>43511</v>
      </c>
      <c r="O340" s="25" t="s">
        <v>34</v>
      </c>
      <c r="P340" s="18" t="s">
        <v>512</v>
      </c>
      <c r="Q340" s="18" t="s">
        <v>181</v>
      </c>
      <c r="R340" s="13" t="s">
        <v>182</v>
      </c>
      <c r="S340" s="13" t="s">
        <v>2359</v>
      </c>
      <c r="T340" s="175"/>
      <c r="U340" s="175"/>
      <c r="V340" s="21" t="s">
        <v>200</v>
      </c>
      <c r="W340" s="21" t="s">
        <v>200</v>
      </c>
      <c r="X340" s="1" t="s">
        <v>184</v>
      </c>
      <c r="Y340" s="176" t="s">
        <v>2424</v>
      </c>
      <c r="Z340" s="86"/>
      <c r="AA340" s="86"/>
      <c r="AB340" s="1"/>
      <c r="AC340" s="123"/>
      <c r="AD340" s="218"/>
      <c r="AE340" s="218"/>
      <c r="AF340" s="219"/>
      <c r="AG340" s="220"/>
      <c r="AH340" s="221"/>
      <c r="AI340" s="221"/>
      <c r="AJ340" s="97" t="s">
        <v>203</v>
      </c>
      <c r="AK340" s="97" t="s">
        <v>190</v>
      </c>
      <c r="AL340" s="97" t="s">
        <v>190</v>
      </c>
      <c r="AM340" s="88" t="s">
        <v>2354</v>
      </c>
      <c r="AN340" s="22">
        <v>182</v>
      </c>
      <c r="AO340" s="22">
        <v>0</v>
      </c>
      <c r="AP340" s="22">
        <v>0</v>
      </c>
      <c r="AQ340" s="22">
        <v>0</v>
      </c>
      <c r="AR340" s="22">
        <v>0</v>
      </c>
      <c r="AS340" s="22">
        <v>7</v>
      </c>
      <c r="AT340" s="22">
        <v>10</v>
      </c>
      <c r="AU340" s="316">
        <f t="shared" si="56"/>
        <v>199</v>
      </c>
      <c r="AV340" s="22">
        <v>190</v>
      </c>
      <c r="AW340" s="22">
        <v>0</v>
      </c>
      <c r="AX340" s="22">
        <v>0</v>
      </c>
      <c r="AY340" s="22">
        <v>0</v>
      </c>
      <c r="AZ340" s="22">
        <v>0</v>
      </c>
      <c r="BA340" s="22">
        <v>7</v>
      </c>
      <c r="BB340" s="22">
        <v>10</v>
      </c>
      <c r="BC340" s="316">
        <f t="shared" si="57"/>
        <v>207</v>
      </c>
      <c r="BD340" s="58">
        <f t="shared" si="58"/>
        <v>8</v>
      </c>
      <c r="BE340" s="58">
        <f t="shared" si="59"/>
        <v>0</v>
      </c>
      <c r="BF340" s="58">
        <f t="shared" si="60"/>
        <v>0</v>
      </c>
      <c r="BG340" s="58">
        <f t="shared" si="61"/>
        <v>0</v>
      </c>
      <c r="BH340" s="58">
        <f t="shared" si="62"/>
        <v>0</v>
      </c>
      <c r="BI340" s="58">
        <f t="shared" si="63"/>
        <v>0</v>
      </c>
      <c r="BJ340" s="58">
        <f t="shared" si="64"/>
        <v>0</v>
      </c>
      <c r="BK340" s="58">
        <f t="shared" si="65"/>
        <v>8</v>
      </c>
    </row>
    <row r="341" spans="1:63" ht="27" customHeight="1">
      <c r="A341" s="13">
        <f t="shared" si="66"/>
        <v>339</v>
      </c>
      <c r="B341" s="14"/>
      <c r="C341" s="10">
        <v>2666</v>
      </c>
      <c r="D341" s="119" t="s">
        <v>2425</v>
      </c>
      <c r="E341" s="217" t="s">
        <v>2426</v>
      </c>
      <c r="F341" s="106" t="s">
        <v>2427</v>
      </c>
      <c r="G341" s="107" t="s">
        <v>2428</v>
      </c>
      <c r="H341" s="26" t="s">
        <v>107</v>
      </c>
      <c r="I341" s="27" t="s">
        <v>2429</v>
      </c>
      <c r="J341" s="98" t="s">
        <v>178</v>
      </c>
      <c r="K341" s="28">
        <v>36266</v>
      </c>
      <c r="L341" s="82" t="s">
        <v>179</v>
      </c>
      <c r="M341" s="25">
        <v>43678</v>
      </c>
      <c r="N341" s="25">
        <v>43498</v>
      </c>
      <c r="O341" s="25" t="s">
        <v>34</v>
      </c>
      <c r="P341" s="18" t="s">
        <v>386</v>
      </c>
      <c r="Q341" s="18" t="s">
        <v>181</v>
      </c>
      <c r="R341" s="13" t="s">
        <v>182</v>
      </c>
      <c r="S341" s="13" t="s">
        <v>2430</v>
      </c>
      <c r="T341" s="175"/>
      <c r="U341" s="175"/>
      <c r="V341" s="21" t="s">
        <v>200</v>
      </c>
      <c r="W341" s="21" t="s">
        <v>200</v>
      </c>
      <c r="X341" s="1">
        <v>7</v>
      </c>
      <c r="Y341" s="176" t="s">
        <v>2431</v>
      </c>
      <c r="Z341" s="86"/>
      <c r="AA341" s="86"/>
      <c r="AB341" s="1"/>
      <c r="AC341" s="123"/>
      <c r="AD341" s="218" t="s">
        <v>189</v>
      </c>
      <c r="AE341" s="218"/>
      <c r="AF341" s="219"/>
      <c r="AG341" s="220"/>
      <c r="AH341" s="221"/>
      <c r="AI341" s="221"/>
      <c r="AJ341" s="97" t="s">
        <v>203</v>
      </c>
      <c r="AK341" s="97" t="s">
        <v>190</v>
      </c>
      <c r="AL341" s="97" t="s">
        <v>190</v>
      </c>
      <c r="AM341" s="88" t="s">
        <v>2354</v>
      </c>
      <c r="AN341" s="22">
        <v>182</v>
      </c>
      <c r="AO341" s="22">
        <v>0</v>
      </c>
      <c r="AP341" s="22">
        <v>0</v>
      </c>
      <c r="AQ341" s="22">
        <v>0</v>
      </c>
      <c r="AR341" s="22">
        <v>0</v>
      </c>
      <c r="AS341" s="22">
        <v>7</v>
      </c>
      <c r="AT341" s="22">
        <v>10</v>
      </c>
      <c r="AU341" s="316">
        <f t="shared" si="56"/>
        <v>199</v>
      </c>
      <c r="AV341" s="22">
        <v>190</v>
      </c>
      <c r="AW341" s="22">
        <v>0</v>
      </c>
      <c r="AX341" s="22">
        <v>0</v>
      </c>
      <c r="AY341" s="22">
        <v>0</v>
      </c>
      <c r="AZ341" s="22">
        <v>0</v>
      </c>
      <c r="BA341" s="22">
        <v>7</v>
      </c>
      <c r="BB341" s="22">
        <v>10</v>
      </c>
      <c r="BC341" s="316">
        <f t="shared" si="57"/>
        <v>207</v>
      </c>
      <c r="BD341" s="58">
        <f t="shared" si="58"/>
        <v>8</v>
      </c>
      <c r="BE341" s="58">
        <f t="shared" si="59"/>
        <v>0</v>
      </c>
      <c r="BF341" s="58">
        <f t="shared" si="60"/>
        <v>0</v>
      </c>
      <c r="BG341" s="58">
        <f t="shared" si="61"/>
        <v>0</v>
      </c>
      <c r="BH341" s="58">
        <f t="shared" si="62"/>
        <v>0</v>
      </c>
      <c r="BI341" s="58">
        <f t="shared" si="63"/>
        <v>0</v>
      </c>
      <c r="BJ341" s="58">
        <f t="shared" si="64"/>
        <v>0</v>
      </c>
      <c r="BK341" s="58">
        <f t="shared" si="65"/>
        <v>8</v>
      </c>
    </row>
    <row r="342" spans="1:63" ht="27" customHeight="1">
      <c r="A342" s="13">
        <f t="shared" si="66"/>
        <v>340</v>
      </c>
      <c r="B342" s="14"/>
      <c r="C342" s="10">
        <v>2741</v>
      </c>
      <c r="D342" s="119" t="s">
        <v>2432</v>
      </c>
      <c r="E342" s="217" t="s">
        <v>2433</v>
      </c>
      <c r="F342" s="106" t="s">
        <v>2434</v>
      </c>
      <c r="G342" s="107" t="s">
        <v>2435</v>
      </c>
      <c r="H342" s="26" t="s">
        <v>37</v>
      </c>
      <c r="I342" s="27" t="s">
        <v>38</v>
      </c>
      <c r="J342" s="98" t="s">
        <v>209</v>
      </c>
      <c r="K342" s="28">
        <v>34662</v>
      </c>
      <c r="L342" s="82" t="s">
        <v>179</v>
      </c>
      <c r="M342" s="25">
        <v>43709</v>
      </c>
      <c r="N342" s="25">
        <v>43515</v>
      </c>
      <c r="O342" s="25" t="s">
        <v>34</v>
      </c>
      <c r="P342" s="18" t="s">
        <v>15</v>
      </c>
      <c r="Q342" s="18" t="s">
        <v>181</v>
      </c>
      <c r="R342" s="13" t="s">
        <v>182</v>
      </c>
      <c r="S342" s="13" t="s">
        <v>2359</v>
      </c>
      <c r="T342" s="175"/>
      <c r="U342" s="175"/>
      <c r="V342" s="21" t="s">
        <v>184</v>
      </c>
      <c r="W342" s="21" t="s">
        <v>184</v>
      </c>
      <c r="X342" s="1">
        <v>7</v>
      </c>
      <c r="Y342" s="176" t="s">
        <v>2436</v>
      </c>
      <c r="Z342" s="86"/>
      <c r="AA342" s="86"/>
      <c r="AB342" s="1"/>
      <c r="AC342" s="123"/>
      <c r="AD342" s="218"/>
      <c r="AE342" s="218"/>
      <c r="AF342" s="219"/>
      <c r="AG342" s="220"/>
      <c r="AH342" s="221"/>
      <c r="AI342" s="221"/>
      <c r="AJ342" s="97" t="s">
        <v>203</v>
      </c>
      <c r="AK342" s="97" t="s">
        <v>190</v>
      </c>
      <c r="AL342" s="97" t="s">
        <v>190</v>
      </c>
      <c r="AM342" s="88" t="s">
        <v>2354</v>
      </c>
      <c r="AN342" s="22">
        <v>182</v>
      </c>
      <c r="AO342" s="22">
        <v>0</v>
      </c>
      <c r="AP342" s="22">
        <v>0</v>
      </c>
      <c r="AQ342" s="22">
        <v>15</v>
      </c>
      <c r="AR342" s="22">
        <v>0</v>
      </c>
      <c r="AS342" s="22">
        <v>7</v>
      </c>
      <c r="AT342" s="22">
        <v>10</v>
      </c>
      <c r="AU342" s="316">
        <f t="shared" si="56"/>
        <v>214</v>
      </c>
      <c r="AV342" s="22">
        <v>190</v>
      </c>
      <c r="AW342" s="22">
        <v>0</v>
      </c>
      <c r="AX342" s="22">
        <v>0</v>
      </c>
      <c r="AY342" s="22">
        <v>15</v>
      </c>
      <c r="AZ342" s="22">
        <v>0</v>
      </c>
      <c r="BA342" s="22">
        <v>7</v>
      </c>
      <c r="BB342" s="22">
        <v>10</v>
      </c>
      <c r="BC342" s="316">
        <f t="shared" si="57"/>
        <v>222</v>
      </c>
      <c r="BD342" s="58">
        <f t="shared" si="58"/>
        <v>8</v>
      </c>
      <c r="BE342" s="58">
        <f t="shared" si="59"/>
        <v>0</v>
      </c>
      <c r="BF342" s="58">
        <f t="shared" si="60"/>
        <v>0</v>
      </c>
      <c r="BG342" s="58">
        <f t="shared" si="61"/>
        <v>0</v>
      </c>
      <c r="BH342" s="58">
        <f t="shared" si="62"/>
        <v>0</v>
      </c>
      <c r="BI342" s="58">
        <f t="shared" si="63"/>
        <v>0</v>
      </c>
      <c r="BJ342" s="58">
        <f t="shared" si="64"/>
        <v>0</v>
      </c>
      <c r="BK342" s="58">
        <f t="shared" si="65"/>
        <v>8</v>
      </c>
    </row>
    <row r="343" spans="1:63" ht="27" customHeight="1">
      <c r="A343" s="13">
        <f t="shared" si="66"/>
        <v>341</v>
      </c>
      <c r="B343" s="14"/>
      <c r="C343" s="10">
        <v>2710</v>
      </c>
      <c r="D343" s="119" t="s">
        <v>2437</v>
      </c>
      <c r="E343" s="217" t="s">
        <v>2438</v>
      </c>
      <c r="F343" s="106" t="s">
        <v>557</v>
      </c>
      <c r="G343" s="107" t="s">
        <v>2439</v>
      </c>
      <c r="H343" s="26" t="s">
        <v>2332</v>
      </c>
      <c r="I343" s="27" t="s">
        <v>2440</v>
      </c>
      <c r="J343" s="98" t="s">
        <v>209</v>
      </c>
      <c r="K343" s="28">
        <v>29314</v>
      </c>
      <c r="L343" s="82" t="s">
        <v>179</v>
      </c>
      <c r="M343" s="25">
        <v>43678</v>
      </c>
      <c r="N343" s="25">
        <v>43508</v>
      </c>
      <c r="O343" s="25" t="s">
        <v>34</v>
      </c>
      <c r="P343" s="18" t="s">
        <v>2410</v>
      </c>
      <c r="Q343" s="18" t="s">
        <v>181</v>
      </c>
      <c r="R343" s="13" t="s">
        <v>182</v>
      </c>
      <c r="S343" s="13" t="s">
        <v>2384</v>
      </c>
      <c r="T343" s="175"/>
      <c r="U343" s="175"/>
      <c r="V343" s="21" t="s">
        <v>200</v>
      </c>
      <c r="W343" s="21" t="s">
        <v>200</v>
      </c>
      <c r="X343" s="1">
        <v>9</v>
      </c>
      <c r="Y343" s="176" t="s">
        <v>2441</v>
      </c>
      <c r="Z343" s="86"/>
      <c r="AA343" s="86"/>
      <c r="AB343" s="1"/>
      <c r="AC343" s="123"/>
      <c r="AD343" s="218" t="s">
        <v>188</v>
      </c>
      <c r="AE343" s="218" t="s">
        <v>189</v>
      </c>
      <c r="AF343" s="219"/>
      <c r="AG343" s="220"/>
      <c r="AH343" s="221"/>
      <c r="AI343" s="221"/>
      <c r="AJ343" s="97" t="s">
        <v>203</v>
      </c>
      <c r="AK343" s="97" t="s">
        <v>190</v>
      </c>
      <c r="AL343" s="97" t="s">
        <v>190</v>
      </c>
      <c r="AM343" s="88" t="s">
        <v>2354</v>
      </c>
      <c r="AN343" s="22">
        <v>182</v>
      </c>
      <c r="AO343" s="22">
        <v>0</v>
      </c>
      <c r="AP343" s="22">
        <v>0</v>
      </c>
      <c r="AQ343" s="22">
        <v>173</v>
      </c>
      <c r="AR343" s="22">
        <v>0</v>
      </c>
      <c r="AS343" s="22">
        <v>7</v>
      </c>
      <c r="AT343" s="22">
        <v>10</v>
      </c>
      <c r="AU343" s="316">
        <f t="shared" si="56"/>
        <v>372</v>
      </c>
      <c r="AV343" s="22">
        <v>190</v>
      </c>
      <c r="AW343" s="22">
        <v>0</v>
      </c>
      <c r="AX343" s="22">
        <v>0</v>
      </c>
      <c r="AY343" s="22">
        <v>173</v>
      </c>
      <c r="AZ343" s="22">
        <v>0</v>
      </c>
      <c r="BA343" s="22">
        <v>7</v>
      </c>
      <c r="BB343" s="22">
        <v>10</v>
      </c>
      <c r="BC343" s="316">
        <f t="shared" si="57"/>
        <v>380</v>
      </c>
      <c r="BD343" s="58">
        <f t="shared" si="58"/>
        <v>8</v>
      </c>
      <c r="BE343" s="58">
        <f t="shared" si="59"/>
        <v>0</v>
      </c>
      <c r="BF343" s="58">
        <f t="shared" si="60"/>
        <v>0</v>
      </c>
      <c r="BG343" s="58">
        <f t="shared" si="61"/>
        <v>0</v>
      </c>
      <c r="BH343" s="58">
        <f t="shared" si="62"/>
        <v>0</v>
      </c>
      <c r="BI343" s="58">
        <f t="shared" si="63"/>
        <v>0</v>
      </c>
      <c r="BJ343" s="58">
        <f t="shared" si="64"/>
        <v>0</v>
      </c>
      <c r="BK343" s="58">
        <f t="shared" si="65"/>
        <v>8</v>
      </c>
    </row>
    <row r="344" spans="1:63" ht="27" customHeight="1">
      <c r="A344" s="13">
        <f t="shared" si="66"/>
        <v>342</v>
      </c>
      <c r="B344" s="14"/>
      <c r="C344" s="10">
        <v>2738</v>
      </c>
      <c r="D344" s="119" t="s">
        <v>2442</v>
      </c>
      <c r="E344" s="217" t="s">
        <v>2443</v>
      </c>
      <c r="F344" s="106" t="s">
        <v>2444</v>
      </c>
      <c r="G344" s="107" t="s">
        <v>2125</v>
      </c>
      <c r="H344" s="26" t="s">
        <v>96</v>
      </c>
      <c r="I344" s="27" t="s">
        <v>2445</v>
      </c>
      <c r="J344" s="98" t="s">
        <v>178</v>
      </c>
      <c r="K344" s="28">
        <v>32987</v>
      </c>
      <c r="L344" s="82" t="s">
        <v>179</v>
      </c>
      <c r="M344" s="25">
        <v>43678</v>
      </c>
      <c r="N344" s="25">
        <v>43509</v>
      </c>
      <c r="O344" s="25" t="s">
        <v>34</v>
      </c>
      <c r="P344" s="18" t="s">
        <v>227</v>
      </c>
      <c r="Q344" s="18" t="s">
        <v>181</v>
      </c>
      <c r="R344" s="13" t="s">
        <v>182</v>
      </c>
      <c r="S344" s="13" t="s">
        <v>2430</v>
      </c>
      <c r="T344" s="175"/>
      <c r="U344" s="175"/>
      <c r="V344" s="21" t="s">
        <v>184</v>
      </c>
      <c r="W344" s="21" t="s">
        <v>184</v>
      </c>
      <c r="X344" s="1" t="s">
        <v>184</v>
      </c>
      <c r="Y344" s="176" t="s">
        <v>184</v>
      </c>
      <c r="Z344" s="86"/>
      <c r="AA344" s="86"/>
      <c r="AB344" s="1"/>
      <c r="AC344" s="123"/>
      <c r="AD344" s="218" t="s">
        <v>189</v>
      </c>
      <c r="AE344" s="218" t="s">
        <v>2446</v>
      </c>
      <c r="AF344" s="219"/>
      <c r="AG344" s="220"/>
      <c r="AH344" s="221"/>
      <c r="AI344" s="221"/>
      <c r="AJ344" s="97" t="s">
        <v>203</v>
      </c>
      <c r="AK344" s="97" t="s">
        <v>190</v>
      </c>
      <c r="AL344" s="97" t="s">
        <v>190</v>
      </c>
      <c r="AM344" s="88" t="s">
        <v>2354</v>
      </c>
      <c r="AN344" s="22">
        <v>182</v>
      </c>
      <c r="AO344" s="22">
        <v>0</v>
      </c>
      <c r="AP344" s="22">
        <v>0</v>
      </c>
      <c r="AQ344" s="22">
        <v>0</v>
      </c>
      <c r="AR344" s="22">
        <v>0</v>
      </c>
      <c r="AS344" s="22">
        <v>7</v>
      </c>
      <c r="AT344" s="22">
        <v>10</v>
      </c>
      <c r="AU344" s="316">
        <f t="shared" si="56"/>
        <v>199</v>
      </c>
      <c r="AV344" s="22">
        <v>190</v>
      </c>
      <c r="AW344" s="22">
        <v>0</v>
      </c>
      <c r="AX344" s="22">
        <v>0</v>
      </c>
      <c r="AY344" s="22">
        <v>0</v>
      </c>
      <c r="AZ344" s="22">
        <v>0</v>
      </c>
      <c r="BA344" s="22">
        <v>7</v>
      </c>
      <c r="BB344" s="22">
        <v>10</v>
      </c>
      <c r="BC344" s="316">
        <f t="shared" si="57"/>
        <v>207</v>
      </c>
      <c r="BD344" s="58">
        <f t="shared" si="58"/>
        <v>8</v>
      </c>
      <c r="BE344" s="58">
        <f t="shared" si="59"/>
        <v>0</v>
      </c>
      <c r="BF344" s="58">
        <f t="shared" si="60"/>
        <v>0</v>
      </c>
      <c r="BG344" s="58">
        <f t="shared" si="61"/>
        <v>0</v>
      </c>
      <c r="BH344" s="58">
        <f t="shared" si="62"/>
        <v>0</v>
      </c>
      <c r="BI344" s="58">
        <f t="shared" si="63"/>
        <v>0</v>
      </c>
      <c r="BJ344" s="58">
        <f t="shared" si="64"/>
        <v>0</v>
      </c>
      <c r="BK344" s="58">
        <f t="shared" si="65"/>
        <v>8</v>
      </c>
    </row>
    <row r="345" spans="1:63" ht="27" customHeight="1">
      <c r="A345" s="13">
        <f t="shared" si="66"/>
        <v>343</v>
      </c>
      <c r="B345" s="14"/>
      <c r="C345" s="10">
        <v>2729</v>
      </c>
      <c r="D345" s="119" t="s">
        <v>2447</v>
      </c>
      <c r="E345" s="217" t="s">
        <v>2448</v>
      </c>
      <c r="F345" s="106" t="s">
        <v>2449</v>
      </c>
      <c r="G345" s="107" t="s">
        <v>2450</v>
      </c>
      <c r="H345" s="26" t="s">
        <v>105</v>
      </c>
      <c r="I345" s="27" t="s">
        <v>2451</v>
      </c>
      <c r="J345" s="98" t="s">
        <v>178</v>
      </c>
      <c r="K345" s="28">
        <v>30170</v>
      </c>
      <c r="L345" s="82" t="s">
        <v>179</v>
      </c>
      <c r="M345" s="25">
        <v>43678</v>
      </c>
      <c r="N345" s="25">
        <v>43508</v>
      </c>
      <c r="O345" s="25" t="s">
        <v>34</v>
      </c>
      <c r="P345" s="18" t="s">
        <v>309</v>
      </c>
      <c r="Q345" s="18" t="s">
        <v>181</v>
      </c>
      <c r="R345" s="13" t="s">
        <v>182</v>
      </c>
      <c r="S345" s="233" t="s">
        <v>2397</v>
      </c>
      <c r="T345" s="175"/>
      <c r="U345" s="175"/>
      <c r="V345" s="21" t="s">
        <v>184</v>
      </c>
      <c r="W345" s="21" t="s">
        <v>184</v>
      </c>
      <c r="X345" s="1">
        <v>3</v>
      </c>
      <c r="Y345" s="176" t="s">
        <v>2452</v>
      </c>
      <c r="Z345" s="86"/>
      <c r="AA345" s="86"/>
      <c r="AB345" s="1"/>
      <c r="AC345" s="123"/>
      <c r="AD345" s="218" t="s">
        <v>188</v>
      </c>
      <c r="AE345" s="218" t="s">
        <v>189</v>
      </c>
      <c r="AF345" s="219"/>
      <c r="AG345" s="220"/>
      <c r="AH345" s="221"/>
      <c r="AI345" s="221"/>
      <c r="AJ345" s="97" t="s">
        <v>203</v>
      </c>
      <c r="AK345" s="97" t="s">
        <v>190</v>
      </c>
      <c r="AL345" s="97" t="s">
        <v>190</v>
      </c>
      <c r="AM345" s="88" t="s">
        <v>2354</v>
      </c>
      <c r="AN345" s="22">
        <v>182</v>
      </c>
      <c r="AO345" s="22">
        <v>0</v>
      </c>
      <c r="AP345" s="22">
        <v>0</v>
      </c>
      <c r="AQ345" s="22">
        <v>0</v>
      </c>
      <c r="AR345" s="22">
        <v>0</v>
      </c>
      <c r="AS345" s="22">
        <v>7</v>
      </c>
      <c r="AT345" s="22">
        <v>10</v>
      </c>
      <c r="AU345" s="316">
        <f t="shared" si="56"/>
        <v>199</v>
      </c>
      <c r="AV345" s="22">
        <v>190</v>
      </c>
      <c r="AW345" s="22">
        <v>0</v>
      </c>
      <c r="AX345" s="22">
        <v>0</v>
      </c>
      <c r="AY345" s="22">
        <v>0</v>
      </c>
      <c r="AZ345" s="22">
        <v>0</v>
      </c>
      <c r="BA345" s="22">
        <v>7</v>
      </c>
      <c r="BB345" s="22">
        <v>10</v>
      </c>
      <c r="BC345" s="316">
        <f t="shared" si="57"/>
        <v>207</v>
      </c>
      <c r="BD345" s="58">
        <f t="shared" si="58"/>
        <v>8</v>
      </c>
      <c r="BE345" s="58">
        <f t="shared" si="59"/>
        <v>0</v>
      </c>
      <c r="BF345" s="58">
        <f t="shared" si="60"/>
        <v>0</v>
      </c>
      <c r="BG345" s="58">
        <f t="shared" si="61"/>
        <v>0</v>
      </c>
      <c r="BH345" s="58">
        <f t="shared" si="62"/>
        <v>0</v>
      </c>
      <c r="BI345" s="58">
        <f t="shared" si="63"/>
        <v>0</v>
      </c>
      <c r="BJ345" s="58">
        <f t="shared" si="64"/>
        <v>0</v>
      </c>
      <c r="BK345" s="58">
        <f t="shared" si="65"/>
        <v>8</v>
      </c>
    </row>
    <row r="346" spans="1:63" ht="27" customHeight="1">
      <c r="A346" s="13">
        <f t="shared" si="66"/>
        <v>344</v>
      </c>
      <c r="B346" s="14"/>
      <c r="C346" s="10">
        <v>2732</v>
      </c>
      <c r="D346" s="119" t="s">
        <v>2453</v>
      </c>
      <c r="E346" s="217" t="s">
        <v>2454</v>
      </c>
      <c r="F346" s="106" t="s">
        <v>649</v>
      </c>
      <c r="G346" s="107" t="s">
        <v>1710</v>
      </c>
      <c r="H346" s="26" t="s">
        <v>45</v>
      </c>
      <c r="I346" s="27" t="s">
        <v>59</v>
      </c>
      <c r="J346" s="98" t="s">
        <v>178</v>
      </c>
      <c r="K346" s="28">
        <v>34532</v>
      </c>
      <c r="L346" s="82" t="s">
        <v>179</v>
      </c>
      <c r="M346" s="25">
        <v>43678</v>
      </c>
      <c r="N346" s="25">
        <v>43507</v>
      </c>
      <c r="O346" s="25" t="s">
        <v>34</v>
      </c>
      <c r="P346" s="18" t="s">
        <v>309</v>
      </c>
      <c r="Q346" s="18" t="s">
        <v>181</v>
      </c>
      <c r="R346" s="13" t="s">
        <v>182</v>
      </c>
      <c r="S346" s="13" t="s">
        <v>2359</v>
      </c>
      <c r="T346" s="175"/>
      <c r="U346" s="175"/>
      <c r="V346" s="21" t="s">
        <v>184</v>
      </c>
      <c r="W346" s="21" t="s">
        <v>184</v>
      </c>
      <c r="X346" s="1" t="s">
        <v>184</v>
      </c>
      <c r="Y346" s="176" t="s">
        <v>2455</v>
      </c>
      <c r="Z346" s="86"/>
      <c r="AA346" s="86"/>
      <c r="AB346" s="1"/>
      <c r="AC346" s="123"/>
      <c r="AD346" s="218"/>
      <c r="AE346" s="218"/>
      <c r="AF346" s="219"/>
      <c r="AG346" s="220"/>
      <c r="AH346" s="221"/>
      <c r="AI346" s="221"/>
      <c r="AJ346" s="97" t="s">
        <v>203</v>
      </c>
      <c r="AK346" s="97" t="s">
        <v>190</v>
      </c>
      <c r="AL346" s="97" t="s">
        <v>190</v>
      </c>
      <c r="AM346" s="88" t="s">
        <v>2354</v>
      </c>
      <c r="AN346" s="22">
        <v>182</v>
      </c>
      <c r="AO346" s="22">
        <v>0</v>
      </c>
      <c r="AP346" s="22">
        <v>0</v>
      </c>
      <c r="AQ346" s="22">
        <v>0</v>
      </c>
      <c r="AR346" s="22">
        <v>0</v>
      </c>
      <c r="AS346" s="22">
        <v>7</v>
      </c>
      <c r="AT346" s="22">
        <v>10</v>
      </c>
      <c r="AU346" s="316">
        <f t="shared" si="56"/>
        <v>199</v>
      </c>
      <c r="AV346" s="22">
        <v>190</v>
      </c>
      <c r="AW346" s="22">
        <v>0</v>
      </c>
      <c r="AX346" s="22">
        <v>0</v>
      </c>
      <c r="AY346" s="22">
        <v>0</v>
      </c>
      <c r="AZ346" s="22">
        <v>0</v>
      </c>
      <c r="BA346" s="22">
        <v>7</v>
      </c>
      <c r="BB346" s="22">
        <v>10</v>
      </c>
      <c r="BC346" s="316">
        <f t="shared" si="57"/>
        <v>207</v>
      </c>
      <c r="BD346" s="58">
        <f t="shared" si="58"/>
        <v>8</v>
      </c>
      <c r="BE346" s="58">
        <f t="shared" si="59"/>
        <v>0</v>
      </c>
      <c r="BF346" s="58">
        <f t="shared" si="60"/>
        <v>0</v>
      </c>
      <c r="BG346" s="58">
        <f t="shared" si="61"/>
        <v>0</v>
      </c>
      <c r="BH346" s="58">
        <f t="shared" si="62"/>
        <v>0</v>
      </c>
      <c r="BI346" s="58">
        <f t="shared" si="63"/>
        <v>0</v>
      </c>
      <c r="BJ346" s="58">
        <f t="shared" si="64"/>
        <v>0</v>
      </c>
      <c r="BK346" s="58">
        <f t="shared" si="65"/>
        <v>8</v>
      </c>
    </row>
    <row r="347" spans="1:63" ht="27" customHeight="1">
      <c r="A347" s="13">
        <f t="shared" si="66"/>
        <v>345</v>
      </c>
      <c r="B347" s="14"/>
      <c r="C347" s="10">
        <v>2731</v>
      </c>
      <c r="D347" s="119" t="s">
        <v>2456</v>
      </c>
      <c r="E347" s="217" t="s">
        <v>2457</v>
      </c>
      <c r="F347" s="106" t="s">
        <v>649</v>
      </c>
      <c r="G347" s="107" t="s">
        <v>2458</v>
      </c>
      <c r="H347" s="26" t="s">
        <v>45</v>
      </c>
      <c r="I347" s="27" t="s">
        <v>2459</v>
      </c>
      <c r="J347" s="98" t="s">
        <v>178</v>
      </c>
      <c r="K347" s="28">
        <v>34700</v>
      </c>
      <c r="L347" s="82" t="s">
        <v>179</v>
      </c>
      <c r="M347" s="25">
        <v>43678</v>
      </c>
      <c r="N347" s="25">
        <v>43507</v>
      </c>
      <c r="O347" s="25" t="s">
        <v>34</v>
      </c>
      <c r="P347" s="18" t="s">
        <v>1085</v>
      </c>
      <c r="Q347" s="18" t="s">
        <v>181</v>
      </c>
      <c r="R347" s="13" t="s">
        <v>182</v>
      </c>
      <c r="S347" s="13" t="s">
        <v>2359</v>
      </c>
      <c r="T347" s="175"/>
      <c r="U347" s="175"/>
      <c r="V347" s="21" t="s">
        <v>184</v>
      </c>
      <c r="W347" s="21" t="s">
        <v>184</v>
      </c>
      <c r="X347" s="1" t="s">
        <v>184</v>
      </c>
      <c r="Y347" s="176" t="s">
        <v>2460</v>
      </c>
      <c r="Z347" s="86"/>
      <c r="AA347" s="86"/>
      <c r="AB347" s="1"/>
      <c r="AC347" s="123"/>
      <c r="AD347" s="218" t="s">
        <v>189</v>
      </c>
      <c r="AE347" s="218" t="s">
        <v>189</v>
      </c>
      <c r="AF347" s="219"/>
      <c r="AG347" s="220"/>
      <c r="AH347" s="221"/>
      <c r="AI347" s="221"/>
      <c r="AJ347" s="97" t="s">
        <v>203</v>
      </c>
      <c r="AK347" s="97" t="s">
        <v>190</v>
      </c>
      <c r="AL347" s="97" t="s">
        <v>190</v>
      </c>
      <c r="AM347" s="88" t="s">
        <v>2354</v>
      </c>
      <c r="AN347" s="22">
        <v>182</v>
      </c>
      <c r="AO347" s="22">
        <v>0</v>
      </c>
      <c r="AP347" s="22">
        <v>0</v>
      </c>
      <c r="AQ347" s="22">
        <v>0</v>
      </c>
      <c r="AR347" s="22">
        <v>0</v>
      </c>
      <c r="AS347" s="22">
        <v>7</v>
      </c>
      <c r="AT347" s="22">
        <v>10</v>
      </c>
      <c r="AU347" s="316">
        <f t="shared" si="56"/>
        <v>199</v>
      </c>
      <c r="AV347" s="22">
        <v>190</v>
      </c>
      <c r="AW347" s="22">
        <v>0</v>
      </c>
      <c r="AX347" s="22">
        <v>0</v>
      </c>
      <c r="AY347" s="22">
        <v>0</v>
      </c>
      <c r="AZ347" s="22">
        <v>0</v>
      </c>
      <c r="BA347" s="22">
        <v>7</v>
      </c>
      <c r="BB347" s="22">
        <v>10</v>
      </c>
      <c r="BC347" s="316">
        <f t="shared" si="57"/>
        <v>207</v>
      </c>
      <c r="BD347" s="58">
        <f t="shared" si="58"/>
        <v>8</v>
      </c>
      <c r="BE347" s="58">
        <f t="shared" si="59"/>
        <v>0</v>
      </c>
      <c r="BF347" s="58">
        <f t="shared" si="60"/>
        <v>0</v>
      </c>
      <c r="BG347" s="58">
        <f t="shared" si="61"/>
        <v>0</v>
      </c>
      <c r="BH347" s="58">
        <f t="shared" si="62"/>
        <v>0</v>
      </c>
      <c r="BI347" s="58">
        <f t="shared" si="63"/>
        <v>0</v>
      </c>
      <c r="BJ347" s="58">
        <f t="shared" si="64"/>
        <v>0</v>
      </c>
      <c r="BK347" s="58">
        <f t="shared" si="65"/>
        <v>8</v>
      </c>
    </row>
    <row r="348" spans="1:63" ht="27" customHeight="1">
      <c r="A348" s="13">
        <f t="shared" si="66"/>
        <v>346</v>
      </c>
      <c r="B348" s="14"/>
      <c r="C348" s="10">
        <v>2756</v>
      </c>
      <c r="D348" s="119" t="s">
        <v>2461</v>
      </c>
      <c r="E348" s="217" t="s">
        <v>2462</v>
      </c>
      <c r="F348" s="106" t="s">
        <v>963</v>
      </c>
      <c r="G348" s="107" t="s">
        <v>2463</v>
      </c>
      <c r="H348" s="26" t="s">
        <v>2252</v>
      </c>
      <c r="I348" s="27" t="s">
        <v>2464</v>
      </c>
      <c r="J348" s="98" t="s">
        <v>209</v>
      </c>
      <c r="K348" s="28">
        <v>36780</v>
      </c>
      <c r="L348" s="82" t="s">
        <v>179</v>
      </c>
      <c r="M348" s="25">
        <v>43709</v>
      </c>
      <c r="N348" s="25">
        <v>43518</v>
      </c>
      <c r="O348" s="25" t="s">
        <v>34</v>
      </c>
      <c r="P348" s="18" t="s">
        <v>552</v>
      </c>
      <c r="Q348" s="18" t="s">
        <v>181</v>
      </c>
      <c r="R348" s="13" t="s">
        <v>182</v>
      </c>
      <c r="S348" s="13" t="s">
        <v>2465</v>
      </c>
      <c r="T348" s="175"/>
      <c r="U348" s="175"/>
      <c r="V348" s="21" t="s">
        <v>184</v>
      </c>
      <c r="W348" s="21" t="s">
        <v>184</v>
      </c>
      <c r="X348" s="1">
        <v>7</v>
      </c>
      <c r="Y348" s="176" t="s">
        <v>2466</v>
      </c>
      <c r="Z348" s="86"/>
      <c r="AA348" s="86"/>
      <c r="AB348" s="1"/>
      <c r="AC348" s="123"/>
      <c r="AD348" s="218"/>
      <c r="AE348" s="218"/>
      <c r="AF348" s="219"/>
      <c r="AG348" s="220"/>
      <c r="AH348" s="221"/>
      <c r="AI348" s="221"/>
      <c r="AJ348" s="97" t="s">
        <v>203</v>
      </c>
      <c r="AK348" s="97" t="s">
        <v>190</v>
      </c>
      <c r="AL348" s="97" t="s">
        <v>190</v>
      </c>
      <c r="AM348" s="88" t="s">
        <v>2354</v>
      </c>
      <c r="AN348" s="22">
        <v>182</v>
      </c>
      <c r="AO348" s="22">
        <v>0</v>
      </c>
      <c r="AP348" s="22">
        <v>0</v>
      </c>
      <c r="AQ348" s="22">
        <v>0</v>
      </c>
      <c r="AR348" s="22">
        <v>0</v>
      </c>
      <c r="AS348" s="22">
        <v>7</v>
      </c>
      <c r="AT348" s="22">
        <v>10</v>
      </c>
      <c r="AU348" s="316">
        <f t="shared" si="56"/>
        <v>199</v>
      </c>
      <c r="AV348" s="22">
        <v>190</v>
      </c>
      <c r="AW348" s="22">
        <v>0</v>
      </c>
      <c r="AX348" s="22">
        <v>0</v>
      </c>
      <c r="AY348" s="22">
        <v>0</v>
      </c>
      <c r="AZ348" s="22">
        <v>0</v>
      </c>
      <c r="BA348" s="22">
        <v>7</v>
      </c>
      <c r="BB348" s="22">
        <v>10</v>
      </c>
      <c r="BC348" s="316">
        <f t="shared" si="57"/>
        <v>207</v>
      </c>
      <c r="BD348" s="58">
        <f t="shared" si="58"/>
        <v>8</v>
      </c>
      <c r="BE348" s="58">
        <f t="shared" si="59"/>
        <v>0</v>
      </c>
      <c r="BF348" s="58">
        <f t="shared" si="60"/>
        <v>0</v>
      </c>
      <c r="BG348" s="58">
        <f t="shared" si="61"/>
        <v>0</v>
      </c>
      <c r="BH348" s="58">
        <f t="shared" si="62"/>
        <v>0</v>
      </c>
      <c r="BI348" s="58">
        <f t="shared" si="63"/>
        <v>0</v>
      </c>
      <c r="BJ348" s="58">
        <f t="shared" si="64"/>
        <v>0</v>
      </c>
      <c r="BK348" s="58">
        <f t="shared" si="65"/>
        <v>8</v>
      </c>
    </row>
    <row r="349" spans="1:63" ht="27" customHeight="1">
      <c r="A349" s="13">
        <f t="shared" si="66"/>
        <v>347</v>
      </c>
      <c r="B349" s="14"/>
      <c r="C349" s="10">
        <v>2781</v>
      </c>
      <c r="D349" s="119" t="s">
        <v>2467</v>
      </c>
      <c r="E349" s="217" t="s">
        <v>2468</v>
      </c>
      <c r="F349" s="106" t="s">
        <v>704</v>
      </c>
      <c r="G349" s="107" t="s">
        <v>1424</v>
      </c>
      <c r="H349" s="26" t="s">
        <v>2469</v>
      </c>
      <c r="I349" s="27" t="s">
        <v>2470</v>
      </c>
      <c r="J349" s="98" t="s">
        <v>178</v>
      </c>
      <c r="K349" s="28">
        <v>32321</v>
      </c>
      <c r="L349" s="82" t="s">
        <v>179</v>
      </c>
      <c r="M349" s="25">
        <v>43709</v>
      </c>
      <c r="N349" s="25">
        <v>43529</v>
      </c>
      <c r="O349" s="25" t="s">
        <v>34</v>
      </c>
      <c r="P349" s="18" t="s">
        <v>386</v>
      </c>
      <c r="Q349" s="18" t="s">
        <v>181</v>
      </c>
      <c r="R349" s="13" t="s">
        <v>182</v>
      </c>
      <c r="S349" s="13" t="s">
        <v>2359</v>
      </c>
      <c r="T349" s="175"/>
      <c r="U349" s="175"/>
      <c r="V349" s="21" t="s">
        <v>200</v>
      </c>
      <c r="W349" s="21" t="s">
        <v>200</v>
      </c>
      <c r="X349" s="1">
        <v>9</v>
      </c>
      <c r="Y349" s="176" t="s">
        <v>2471</v>
      </c>
      <c r="Z349" s="86"/>
      <c r="AA349" s="86" t="s">
        <v>186</v>
      </c>
      <c r="AB349" s="1"/>
      <c r="AC349" s="123"/>
      <c r="AD349" s="218" t="s">
        <v>189</v>
      </c>
      <c r="AE349" s="218" t="s">
        <v>189</v>
      </c>
      <c r="AF349" s="219"/>
      <c r="AG349" s="220"/>
      <c r="AH349" s="221"/>
      <c r="AI349" s="221"/>
      <c r="AJ349" s="97" t="s">
        <v>203</v>
      </c>
      <c r="AK349" s="97" t="s">
        <v>190</v>
      </c>
      <c r="AL349" s="97" t="s">
        <v>190</v>
      </c>
      <c r="AM349" s="88" t="s">
        <v>2354</v>
      </c>
      <c r="AN349" s="22">
        <v>182</v>
      </c>
      <c r="AO349" s="22">
        <v>0</v>
      </c>
      <c r="AP349" s="22">
        <v>0</v>
      </c>
      <c r="AQ349" s="22">
        <v>0</v>
      </c>
      <c r="AR349" s="22">
        <v>0</v>
      </c>
      <c r="AS349" s="22">
        <v>7</v>
      </c>
      <c r="AT349" s="22">
        <v>10</v>
      </c>
      <c r="AU349" s="316">
        <f t="shared" si="56"/>
        <v>199</v>
      </c>
      <c r="AV349" s="22">
        <v>190</v>
      </c>
      <c r="AW349" s="22">
        <v>0</v>
      </c>
      <c r="AX349" s="22">
        <v>0</v>
      </c>
      <c r="AY349" s="22">
        <v>0</v>
      </c>
      <c r="AZ349" s="22">
        <v>0</v>
      </c>
      <c r="BA349" s="22">
        <v>7</v>
      </c>
      <c r="BB349" s="22">
        <v>10</v>
      </c>
      <c r="BC349" s="316">
        <f t="shared" si="57"/>
        <v>207</v>
      </c>
      <c r="BD349" s="58">
        <f t="shared" si="58"/>
        <v>8</v>
      </c>
      <c r="BE349" s="58">
        <f t="shared" si="59"/>
        <v>0</v>
      </c>
      <c r="BF349" s="58">
        <f t="shared" si="60"/>
        <v>0</v>
      </c>
      <c r="BG349" s="58">
        <f t="shared" si="61"/>
        <v>0</v>
      </c>
      <c r="BH349" s="58">
        <f t="shared" si="62"/>
        <v>0</v>
      </c>
      <c r="BI349" s="58">
        <f t="shared" si="63"/>
        <v>0</v>
      </c>
      <c r="BJ349" s="58">
        <f t="shared" si="64"/>
        <v>0</v>
      </c>
      <c r="BK349" s="58">
        <f t="shared" si="65"/>
        <v>8</v>
      </c>
    </row>
    <row r="350" spans="1:63" ht="27" customHeight="1">
      <c r="A350" s="13">
        <f t="shared" si="66"/>
        <v>348</v>
      </c>
      <c r="B350" s="14"/>
      <c r="C350" s="10">
        <v>2776</v>
      </c>
      <c r="D350" s="119" t="s">
        <v>2472</v>
      </c>
      <c r="E350" s="217" t="s">
        <v>2473</v>
      </c>
      <c r="F350" s="106" t="s">
        <v>2474</v>
      </c>
      <c r="G350" s="107" t="s">
        <v>2475</v>
      </c>
      <c r="H350" s="26" t="s">
        <v>2476</v>
      </c>
      <c r="I350" s="27" t="s">
        <v>2477</v>
      </c>
      <c r="J350" s="98" t="s">
        <v>178</v>
      </c>
      <c r="K350" s="28">
        <v>31627</v>
      </c>
      <c r="L350" s="82" t="s">
        <v>179</v>
      </c>
      <c r="M350" s="25">
        <v>43709</v>
      </c>
      <c r="N350" s="25">
        <v>43526</v>
      </c>
      <c r="O350" s="25" t="s">
        <v>34</v>
      </c>
      <c r="P350" s="18" t="s">
        <v>512</v>
      </c>
      <c r="Q350" s="18" t="s">
        <v>181</v>
      </c>
      <c r="R350" s="13" t="s">
        <v>182</v>
      </c>
      <c r="S350" s="13" t="s">
        <v>2397</v>
      </c>
      <c r="T350" s="175"/>
      <c r="U350" s="175"/>
      <c r="V350" s="21" t="s">
        <v>184</v>
      </c>
      <c r="W350" s="21" t="s">
        <v>184</v>
      </c>
      <c r="X350" s="1">
        <v>3</v>
      </c>
      <c r="Y350" s="176" t="s">
        <v>2478</v>
      </c>
      <c r="Z350" s="86"/>
      <c r="AA350" s="86" t="s">
        <v>186</v>
      </c>
      <c r="AB350" s="1"/>
      <c r="AC350" s="123"/>
      <c r="AD350" s="218" t="s">
        <v>189</v>
      </c>
      <c r="AE350" s="218"/>
      <c r="AF350" s="219"/>
      <c r="AG350" s="220"/>
      <c r="AH350" s="221"/>
      <c r="AI350" s="221"/>
      <c r="AJ350" s="97" t="s">
        <v>203</v>
      </c>
      <c r="AK350" s="97" t="s">
        <v>190</v>
      </c>
      <c r="AL350" s="97" t="s">
        <v>190</v>
      </c>
      <c r="AM350" s="88" t="s">
        <v>2354</v>
      </c>
      <c r="AN350" s="22">
        <v>182</v>
      </c>
      <c r="AO350" s="22">
        <v>0</v>
      </c>
      <c r="AP350" s="22">
        <v>0</v>
      </c>
      <c r="AQ350" s="22">
        <v>0</v>
      </c>
      <c r="AR350" s="22">
        <v>0</v>
      </c>
      <c r="AS350" s="22">
        <v>7</v>
      </c>
      <c r="AT350" s="22">
        <v>10</v>
      </c>
      <c r="AU350" s="316">
        <f t="shared" si="56"/>
        <v>199</v>
      </c>
      <c r="AV350" s="22">
        <v>190</v>
      </c>
      <c r="AW350" s="22">
        <v>0</v>
      </c>
      <c r="AX350" s="22">
        <v>0</v>
      </c>
      <c r="AY350" s="22">
        <v>0</v>
      </c>
      <c r="AZ350" s="22">
        <v>0</v>
      </c>
      <c r="BA350" s="22">
        <v>7</v>
      </c>
      <c r="BB350" s="22">
        <v>10</v>
      </c>
      <c r="BC350" s="316">
        <f t="shared" si="57"/>
        <v>207</v>
      </c>
      <c r="BD350" s="58">
        <f t="shared" si="58"/>
        <v>8</v>
      </c>
      <c r="BE350" s="58">
        <f t="shared" si="59"/>
        <v>0</v>
      </c>
      <c r="BF350" s="58">
        <f t="shared" si="60"/>
        <v>0</v>
      </c>
      <c r="BG350" s="58">
        <f t="shared" si="61"/>
        <v>0</v>
      </c>
      <c r="BH350" s="58">
        <f t="shared" si="62"/>
        <v>0</v>
      </c>
      <c r="BI350" s="58">
        <f t="shared" si="63"/>
        <v>0</v>
      </c>
      <c r="BJ350" s="58">
        <f t="shared" si="64"/>
        <v>0</v>
      </c>
      <c r="BK350" s="58">
        <f t="shared" si="65"/>
        <v>8</v>
      </c>
    </row>
    <row r="351" spans="1:63" ht="27" customHeight="1">
      <c r="A351" s="13">
        <f t="shared" si="66"/>
        <v>349</v>
      </c>
      <c r="B351" s="14"/>
      <c r="C351" s="10">
        <v>2780</v>
      </c>
      <c r="D351" s="119" t="s">
        <v>2479</v>
      </c>
      <c r="E351" s="217" t="s">
        <v>2480</v>
      </c>
      <c r="F351" s="106" t="s">
        <v>2481</v>
      </c>
      <c r="G351" s="107" t="s">
        <v>2482</v>
      </c>
      <c r="H351" s="26" t="s">
        <v>82</v>
      </c>
      <c r="I351" s="27" t="s">
        <v>2483</v>
      </c>
      <c r="J351" s="98" t="s">
        <v>178</v>
      </c>
      <c r="K351" s="28">
        <v>32911</v>
      </c>
      <c r="L351" s="82" t="s">
        <v>179</v>
      </c>
      <c r="M351" s="25">
        <v>43709</v>
      </c>
      <c r="N351" s="25">
        <v>43526</v>
      </c>
      <c r="O351" s="25" t="s">
        <v>34</v>
      </c>
      <c r="P351" s="18" t="s">
        <v>27</v>
      </c>
      <c r="Q351" s="18" t="s">
        <v>181</v>
      </c>
      <c r="R351" s="13" t="s">
        <v>182</v>
      </c>
      <c r="S351" s="13" t="s">
        <v>2484</v>
      </c>
      <c r="T351" s="175"/>
      <c r="U351" s="175"/>
      <c r="V351" s="21" t="s">
        <v>200</v>
      </c>
      <c r="W351" s="21" t="s">
        <v>184</v>
      </c>
      <c r="X351" s="1">
        <v>4</v>
      </c>
      <c r="Y351" s="176" t="s">
        <v>2485</v>
      </c>
      <c r="Z351" s="86"/>
      <c r="AA351" s="86" t="s">
        <v>186</v>
      </c>
      <c r="AB351" s="1"/>
      <c r="AC351" s="123"/>
      <c r="AD351" s="218" t="s">
        <v>189</v>
      </c>
      <c r="AE351" s="218"/>
      <c r="AF351" s="219"/>
      <c r="AG351" s="220"/>
      <c r="AH351" s="221"/>
      <c r="AI351" s="221"/>
      <c r="AJ351" s="97" t="s">
        <v>203</v>
      </c>
      <c r="AK351" s="97" t="s">
        <v>190</v>
      </c>
      <c r="AL351" s="97" t="s">
        <v>190</v>
      </c>
      <c r="AM351" s="88" t="s">
        <v>2354</v>
      </c>
      <c r="AN351" s="22">
        <v>182</v>
      </c>
      <c r="AO351" s="22">
        <v>0</v>
      </c>
      <c r="AP351" s="22">
        <v>0</v>
      </c>
      <c r="AQ351" s="22">
        <v>0</v>
      </c>
      <c r="AR351" s="22">
        <v>0</v>
      </c>
      <c r="AS351" s="22">
        <v>7</v>
      </c>
      <c r="AT351" s="22">
        <v>10</v>
      </c>
      <c r="AU351" s="316">
        <f t="shared" si="56"/>
        <v>199</v>
      </c>
      <c r="AV351" s="22">
        <v>190</v>
      </c>
      <c r="AW351" s="22">
        <v>0</v>
      </c>
      <c r="AX351" s="22">
        <v>0</v>
      </c>
      <c r="AY351" s="22">
        <v>0</v>
      </c>
      <c r="AZ351" s="22">
        <v>0</v>
      </c>
      <c r="BA351" s="22">
        <v>7</v>
      </c>
      <c r="BB351" s="22">
        <v>10</v>
      </c>
      <c r="BC351" s="316">
        <f t="shared" si="57"/>
        <v>207</v>
      </c>
      <c r="BD351" s="58">
        <f t="shared" si="58"/>
        <v>8</v>
      </c>
      <c r="BE351" s="58">
        <f t="shared" si="59"/>
        <v>0</v>
      </c>
      <c r="BF351" s="58">
        <f t="shared" si="60"/>
        <v>0</v>
      </c>
      <c r="BG351" s="58">
        <f t="shared" si="61"/>
        <v>0</v>
      </c>
      <c r="BH351" s="58">
        <f t="shared" si="62"/>
        <v>0</v>
      </c>
      <c r="BI351" s="58">
        <f t="shared" si="63"/>
        <v>0</v>
      </c>
      <c r="BJ351" s="58">
        <f t="shared" si="64"/>
        <v>0</v>
      </c>
      <c r="BK351" s="58">
        <f t="shared" si="65"/>
        <v>8</v>
      </c>
    </row>
    <row r="352" spans="1:63" ht="27" customHeight="1">
      <c r="A352" s="13">
        <f t="shared" si="66"/>
        <v>350</v>
      </c>
      <c r="B352" s="14"/>
      <c r="C352" s="10">
        <v>2767</v>
      </c>
      <c r="D352" s="119" t="s">
        <v>2486</v>
      </c>
      <c r="E352" s="217" t="s">
        <v>2487</v>
      </c>
      <c r="F352" s="106" t="s">
        <v>2488</v>
      </c>
      <c r="G352" s="107" t="s">
        <v>2489</v>
      </c>
      <c r="H352" s="26" t="s">
        <v>2490</v>
      </c>
      <c r="I352" s="27" t="s">
        <v>2491</v>
      </c>
      <c r="J352" s="98" t="s">
        <v>209</v>
      </c>
      <c r="K352" s="28">
        <v>32278</v>
      </c>
      <c r="L352" s="82" t="s">
        <v>179</v>
      </c>
      <c r="M352" s="25">
        <v>43709</v>
      </c>
      <c r="N352" s="25">
        <v>43525</v>
      </c>
      <c r="O352" s="25" t="s">
        <v>34</v>
      </c>
      <c r="P352" s="18" t="s">
        <v>199</v>
      </c>
      <c r="Q352" s="18" t="s">
        <v>181</v>
      </c>
      <c r="R352" s="13" t="s">
        <v>182</v>
      </c>
      <c r="S352" s="13" t="s">
        <v>2492</v>
      </c>
      <c r="T352" s="175"/>
      <c r="U352" s="175"/>
      <c r="V352" s="21" t="s">
        <v>184</v>
      </c>
      <c r="W352" s="21" t="s">
        <v>184</v>
      </c>
      <c r="X352" s="1">
        <v>8</v>
      </c>
      <c r="Y352" s="176" t="s">
        <v>2493</v>
      </c>
      <c r="Z352" s="86" t="s">
        <v>186</v>
      </c>
      <c r="AA352" s="86"/>
      <c r="AB352" s="1"/>
      <c r="AC352" s="123"/>
      <c r="AD352" s="218"/>
      <c r="AE352" s="218"/>
      <c r="AF352" s="219"/>
      <c r="AG352" s="220"/>
      <c r="AH352" s="221"/>
      <c r="AI352" s="221"/>
      <c r="AJ352" s="97" t="s">
        <v>203</v>
      </c>
      <c r="AK352" s="97" t="s">
        <v>190</v>
      </c>
      <c r="AL352" s="97" t="s">
        <v>190</v>
      </c>
      <c r="AM352" s="88" t="s">
        <v>2354</v>
      </c>
      <c r="AN352" s="22">
        <v>182</v>
      </c>
      <c r="AO352" s="22">
        <v>0</v>
      </c>
      <c r="AP352" s="22">
        <v>0</v>
      </c>
      <c r="AQ352" s="22">
        <v>50</v>
      </c>
      <c r="AR352" s="22">
        <v>0</v>
      </c>
      <c r="AS352" s="22">
        <v>7</v>
      </c>
      <c r="AT352" s="22">
        <v>10</v>
      </c>
      <c r="AU352" s="316">
        <f t="shared" si="56"/>
        <v>249</v>
      </c>
      <c r="AV352" s="22">
        <v>190</v>
      </c>
      <c r="AW352" s="22">
        <v>0</v>
      </c>
      <c r="AX352" s="22">
        <v>0</v>
      </c>
      <c r="AY352" s="22">
        <v>50</v>
      </c>
      <c r="AZ352" s="22">
        <v>0</v>
      </c>
      <c r="BA352" s="22">
        <v>7</v>
      </c>
      <c r="BB352" s="22">
        <v>10</v>
      </c>
      <c r="BC352" s="316">
        <f t="shared" si="57"/>
        <v>257</v>
      </c>
      <c r="BD352" s="58">
        <f t="shared" si="58"/>
        <v>8</v>
      </c>
      <c r="BE352" s="58">
        <f t="shared" si="59"/>
        <v>0</v>
      </c>
      <c r="BF352" s="58">
        <f t="shared" si="60"/>
        <v>0</v>
      </c>
      <c r="BG352" s="58">
        <f t="shared" si="61"/>
        <v>0</v>
      </c>
      <c r="BH352" s="58">
        <f t="shared" si="62"/>
        <v>0</v>
      </c>
      <c r="BI352" s="58">
        <f t="shared" si="63"/>
        <v>0</v>
      </c>
      <c r="BJ352" s="58">
        <f t="shared" si="64"/>
        <v>0</v>
      </c>
      <c r="BK352" s="58">
        <f t="shared" si="65"/>
        <v>8</v>
      </c>
    </row>
    <row r="353" spans="1:63" ht="27" customHeight="1">
      <c r="A353" s="13">
        <f t="shared" si="66"/>
        <v>351</v>
      </c>
      <c r="B353" s="14"/>
      <c r="C353" s="10">
        <v>2703</v>
      </c>
      <c r="D353" s="119" t="s">
        <v>2494</v>
      </c>
      <c r="E353" s="217" t="s">
        <v>2495</v>
      </c>
      <c r="F353" s="106" t="s">
        <v>2496</v>
      </c>
      <c r="G353" s="107" t="s">
        <v>1254</v>
      </c>
      <c r="H353" s="26" t="s">
        <v>2259</v>
      </c>
      <c r="I353" s="27" t="s">
        <v>2497</v>
      </c>
      <c r="J353" s="98" t="s">
        <v>178</v>
      </c>
      <c r="K353" s="28">
        <v>33364</v>
      </c>
      <c r="L353" s="82" t="s">
        <v>179</v>
      </c>
      <c r="M353" s="25">
        <v>43678</v>
      </c>
      <c r="N353" s="25">
        <v>43502</v>
      </c>
      <c r="O353" s="25" t="s">
        <v>34</v>
      </c>
      <c r="P353" s="18" t="s">
        <v>2498</v>
      </c>
      <c r="Q353" s="18" t="s">
        <v>249</v>
      </c>
      <c r="R353" s="13" t="s">
        <v>182</v>
      </c>
      <c r="S353" s="13" t="s">
        <v>2384</v>
      </c>
      <c r="T353" s="175"/>
      <c r="U353" s="175"/>
      <c r="V353" s="21" t="s">
        <v>184</v>
      </c>
      <c r="W353" s="21" t="s">
        <v>184</v>
      </c>
      <c r="X353" s="1" t="s">
        <v>184</v>
      </c>
      <c r="Y353" s="176" t="s">
        <v>184</v>
      </c>
      <c r="Z353" s="86"/>
      <c r="AA353" s="86" t="s">
        <v>186</v>
      </c>
      <c r="AB353" s="1"/>
      <c r="AC353" s="123"/>
      <c r="AD353" s="218"/>
      <c r="AE353" s="218"/>
      <c r="AF353" s="219"/>
      <c r="AG353" s="220"/>
      <c r="AH353" s="221"/>
      <c r="AI353" s="221"/>
      <c r="AJ353" s="97" t="s">
        <v>203</v>
      </c>
      <c r="AK353" s="97" t="s">
        <v>190</v>
      </c>
      <c r="AL353" s="97" t="s">
        <v>190</v>
      </c>
      <c r="AM353" s="88" t="s">
        <v>2499</v>
      </c>
      <c r="AN353" s="22">
        <v>182</v>
      </c>
      <c r="AO353" s="22">
        <v>0</v>
      </c>
      <c r="AP353" s="22">
        <v>0</v>
      </c>
      <c r="AQ353" s="22">
        <v>10</v>
      </c>
      <c r="AR353" s="22">
        <v>0</v>
      </c>
      <c r="AS353" s="22">
        <v>7</v>
      </c>
      <c r="AT353" s="22">
        <v>10</v>
      </c>
      <c r="AU353" s="316">
        <f t="shared" si="56"/>
        <v>209</v>
      </c>
      <c r="AV353" s="22">
        <v>190</v>
      </c>
      <c r="AW353" s="22">
        <v>0</v>
      </c>
      <c r="AX353" s="22">
        <v>0</v>
      </c>
      <c r="AY353" s="22">
        <v>10</v>
      </c>
      <c r="AZ353" s="22">
        <v>0</v>
      </c>
      <c r="BA353" s="22">
        <v>7</v>
      </c>
      <c r="BB353" s="22">
        <v>10</v>
      </c>
      <c r="BC353" s="316">
        <f t="shared" si="57"/>
        <v>217</v>
      </c>
      <c r="BD353" s="58">
        <f t="shared" si="58"/>
        <v>8</v>
      </c>
      <c r="BE353" s="58">
        <f t="shared" si="59"/>
        <v>0</v>
      </c>
      <c r="BF353" s="58">
        <f t="shared" si="60"/>
        <v>0</v>
      </c>
      <c r="BG353" s="58">
        <f t="shared" si="61"/>
        <v>0</v>
      </c>
      <c r="BH353" s="58">
        <f t="shared" si="62"/>
        <v>0</v>
      </c>
      <c r="BI353" s="58">
        <f t="shared" si="63"/>
        <v>0</v>
      </c>
      <c r="BJ353" s="58">
        <f t="shared" si="64"/>
        <v>0</v>
      </c>
      <c r="BK353" s="58">
        <f t="shared" si="65"/>
        <v>8</v>
      </c>
    </row>
    <row r="354" spans="1:63" ht="27" customHeight="1">
      <c r="A354" s="13">
        <f t="shared" si="66"/>
        <v>352</v>
      </c>
      <c r="B354" s="14"/>
      <c r="C354" s="10">
        <v>2808</v>
      </c>
      <c r="D354" s="119" t="s">
        <v>2500</v>
      </c>
      <c r="E354" s="217" t="s">
        <v>2501</v>
      </c>
      <c r="F354" s="234" t="s">
        <v>2502</v>
      </c>
      <c r="G354" s="235" t="s">
        <v>2503</v>
      </c>
      <c r="H354" s="26" t="s">
        <v>2202</v>
      </c>
      <c r="I354" s="27" t="s">
        <v>2504</v>
      </c>
      <c r="J354" s="98" t="s">
        <v>178</v>
      </c>
      <c r="K354" s="28">
        <v>32731</v>
      </c>
      <c r="L354" s="82" t="s">
        <v>179</v>
      </c>
      <c r="M354" s="170">
        <v>43739</v>
      </c>
      <c r="N354" s="25">
        <v>43549</v>
      </c>
      <c r="O354" s="25" t="s">
        <v>34</v>
      </c>
      <c r="P354" s="18" t="s">
        <v>265</v>
      </c>
      <c r="Q354" s="18" t="s">
        <v>181</v>
      </c>
      <c r="R354" s="13" t="s">
        <v>182</v>
      </c>
      <c r="S354" s="13" t="s">
        <v>2505</v>
      </c>
      <c r="T354" s="175"/>
      <c r="U354" s="175"/>
      <c r="V354" s="21" t="s">
        <v>200</v>
      </c>
      <c r="W354" s="21" t="s">
        <v>184</v>
      </c>
      <c r="X354" s="1">
        <v>8</v>
      </c>
      <c r="Y354" s="176" t="s">
        <v>2506</v>
      </c>
      <c r="Z354" s="86"/>
      <c r="AA354" s="86" t="s">
        <v>186</v>
      </c>
      <c r="AB354" s="1"/>
      <c r="AC354" s="123"/>
      <c r="AD354" s="218" t="s">
        <v>189</v>
      </c>
      <c r="AE354" s="218"/>
      <c r="AF354" s="219"/>
      <c r="AG354" s="220"/>
      <c r="AH354" s="221"/>
      <c r="AI354" s="221"/>
      <c r="AJ354" s="97" t="s">
        <v>203</v>
      </c>
      <c r="AK354" s="97" t="s">
        <v>190</v>
      </c>
      <c r="AL354" s="97" t="s">
        <v>190</v>
      </c>
      <c r="AM354" s="88" t="s">
        <v>2354</v>
      </c>
      <c r="AN354" s="22">
        <v>182</v>
      </c>
      <c r="AO354" s="22">
        <v>0</v>
      </c>
      <c r="AP354" s="22">
        <v>0</v>
      </c>
      <c r="AQ354" s="22">
        <v>0</v>
      </c>
      <c r="AR354" s="22">
        <v>0</v>
      </c>
      <c r="AS354" s="22">
        <v>7</v>
      </c>
      <c r="AT354" s="22">
        <v>10</v>
      </c>
      <c r="AU354" s="316">
        <f t="shared" si="56"/>
        <v>199</v>
      </c>
      <c r="AV354" s="22">
        <v>190</v>
      </c>
      <c r="AW354" s="22">
        <v>0</v>
      </c>
      <c r="AX354" s="22">
        <v>0</v>
      </c>
      <c r="AY354" s="22">
        <v>0</v>
      </c>
      <c r="AZ354" s="22">
        <v>0</v>
      </c>
      <c r="BA354" s="22">
        <v>7</v>
      </c>
      <c r="BB354" s="22">
        <v>10</v>
      </c>
      <c r="BC354" s="316">
        <f t="shared" si="57"/>
        <v>207</v>
      </c>
      <c r="BD354" s="58">
        <f t="shared" si="58"/>
        <v>8</v>
      </c>
      <c r="BE354" s="58">
        <f t="shared" si="59"/>
        <v>0</v>
      </c>
      <c r="BF354" s="58">
        <f t="shared" si="60"/>
        <v>0</v>
      </c>
      <c r="BG354" s="58">
        <f t="shared" si="61"/>
        <v>0</v>
      </c>
      <c r="BH354" s="58">
        <f t="shared" si="62"/>
        <v>0</v>
      </c>
      <c r="BI354" s="58">
        <f t="shared" si="63"/>
        <v>0</v>
      </c>
      <c r="BJ354" s="58">
        <f t="shared" si="64"/>
        <v>0</v>
      </c>
      <c r="BK354" s="58">
        <f t="shared" si="65"/>
        <v>8</v>
      </c>
    </row>
    <row r="355" spans="1:63" ht="27" customHeight="1">
      <c r="A355" s="13">
        <f t="shared" si="66"/>
        <v>353</v>
      </c>
      <c r="B355" s="14"/>
      <c r="C355" s="10">
        <v>2839</v>
      </c>
      <c r="D355" s="119" t="s">
        <v>2507</v>
      </c>
      <c r="E355" s="217" t="s">
        <v>2508</v>
      </c>
      <c r="F355" s="234" t="s">
        <v>508</v>
      </c>
      <c r="G355" s="235" t="s">
        <v>2021</v>
      </c>
      <c r="H355" s="26" t="s">
        <v>2509</v>
      </c>
      <c r="I355" s="27" t="s">
        <v>2510</v>
      </c>
      <c r="J355" s="98" t="s">
        <v>178</v>
      </c>
      <c r="K355" s="28">
        <v>33765</v>
      </c>
      <c r="L355" s="82" t="s">
        <v>179</v>
      </c>
      <c r="M355" s="170">
        <v>43770</v>
      </c>
      <c r="N355" s="25">
        <v>43575</v>
      </c>
      <c r="O355" s="25" t="s">
        <v>34</v>
      </c>
      <c r="P355" s="18" t="s">
        <v>27</v>
      </c>
      <c r="Q355" s="18" t="s">
        <v>181</v>
      </c>
      <c r="R355" s="13" t="s">
        <v>182</v>
      </c>
      <c r="S355" s="13" t="s">
        <v>2484</v>
      </c>
      <c r="T355" s="175"/>
      <c r="U355" s="175"/>
      <c r="V355" s="21" t="s">
        <v>200</v>
      </c>
      <c r="W355" s="21" t="s">
        <v>200</v>
      </c>
      <c r="X355" s="1">
        <v>8</v>
      </c>
      <c r="Y355" s="176" t="s">
        <v>2511</v>
      </c>
      <c r="Z355" s="86"/>
      <c r="AA355" s="86"/>
      <c r="AB355" s="86" t="s">
        <v>186</v>
      </c>
      <c r="AC355" s="123"/>
      <c r="AD355" s="218"/>
      <c r="AE355" s="218"/>
      <c r="AF355" s="219"/>
      <c r="AG355" s="220"/>
      <c r="AH355" s="221"/>
      <c r="AI355" s="221"/>
      <c r="AJ355" s="97" t="s">
        <v>203</v>
      </c>
      <c r="AK355" s="97" t="s">
        <v>190</v>
      </c>
      <c r="AL355" s="97" t="s">
        <v>190</v>
      </c>
      <c r="AM355" s="88" t="s">
        <v>2354</v>
      </c>
      <c r="AN355" s="22">
        <v>182</v>
      </c>
      <c r="AO355" s="22">
        <v>0</v>
      </c>
      <c r="AP355" s="22">
        <v>0</v>
      </c>
      <c r="AQ355" s="22">
        <v>0</v>
      </c>
      <c r="AR355" s="22">
        <v>0</v>
      </c>
      <c r="AS355" s="22">
        <v>7</v>
      </c>
      <c r="AT355" s="22">
        <v>10</v>
      </c>
      <c r="AU355" s="316">
        <f t="shared" si="56"/>
        <v>199</v>
      </c>
      <c r="AV355" s="22">
        <v>190</v>
      </c>
      <c r="AW355" s="22">
        <v>0</v>
      </c>
      <c r="AX355" s="22">
        <v>0</v>
      </c>
      <c r="AY355" s="22">
        <v>0</v>
      </c>
      <c r="AZ355" s="22">
        <v>0</v>
      </c>
      <c r="BA355" s="22">
        <v>7</v>
      </c>
      <c r="BB355" s="22">
        <v>10</v>
      </c>
      <c r="BC355" s="316">
        <f t="shared" si="57"/>
        <v>207</v>
      </c>
      <c r="BD355" s="58">
        <f t="shared" si="58"/>
        <v>8</v>
      </c>
      <c r="BE355" s="58">
        <f t="shared" si="59"/>
        <v>0</v>
      </c>
      <c r="BF355" s="58">
        <f t="shared" si="60"/>
        <v>0</v>
      </c>
      <c r="BG355" s="58">
        <f t="shared" si="61"/>
        <v>0</v>
      </c>
      <c r="BH355" s="58">
        <f t="shared" si="62"/>
        <v>0</v>
      </c>
      <c r="BI355" s="58">
        <f t="shared" si="63"/>
        <v>0</v>
      </c>
      <c r="BJ355" s="58">
        <f t="shared" si="64"/>
        <v>0</v>
      </c>
      <c r="BK355" s="58">
        <f t="shared" si="65"/>
        <v>8</v>
      </c>
    </row>
    <row r="356" spans="1:63" ht="27" customHeight="1">
      <c r="A356" s="13">
        <f t="shared" si="66"/>
        <v>354</v>
      </c>
      <c r="B356" s="14"/>
      <c r="C356" s="10">
        <v>2838</v>
      </c>
      <c r="D356" s="119" t="s">
        <v>2512</v>
      </c>
      <c r="E356" s="217" t="s">
        <v>296</v>
      </c>
      <c r="F356" s="234" t="s">
        <v>2513</v>
      </c>
      <c r="G356" s="235" t="s">
        <v>2514</v>
      </c>
      <c r="H356" s="26" t="s">
        <v>2515</v>
      </c>
      <c r="I356" s="27" t="s">
        <v>2516</v>
      </c>
      <c r="J356" s="98" t="s">
        <v>178</v>
      </c>
      <c r="K356" s="28">
        <v>28250</v>
      </c>
      <c r="L356" s="82" t="s">
        <v>179</v>
      </c>
      <c r="M356" s="170">
        <v>43770</v>
      </c>
      <c r="N356" s="25">
        <v>43578</v>
      </c>
      <c r="O356" s="25" t="s">
        <v>34</v>
      </c>
      <c r="P356" s="18" t="s">
        <v>1385</v>
      </c>
      <c r="Q356" s="18" t="s">
        <v>249</v>
      </c>
      <c r="R356" s="13" t="s">
        <v>182</v>
      </c>
      <c r="S356" s="13" t="s">
        <v>2359</v>
      </c>
      <c r="T356" s="175"/>
      <c r="U356" s="175"/>
      <c r="V356" s="21" t="s">
        <v>184</v>
      </c>
      <c r="W356" s="21" t="s">
        <v>184</v>
      </c>
      <c r="X356" s="1">
        <v>5</v>
      </c>
      <c r="Y356" s="176" t="s">
        <v>184</v>
      </c>
      <c r="Z356" s="86"/>
      <c r="AA356" s="86" t="s">
        <v>186</v>
      </c>
      <c r="AB356" s="1"/>
      <c r="AC356" s="123"/>
      <c r="AD356" s="218"/>
      <c r="AE356" s="219"/>
      <c r="AF356" s="219"/>
      <c r="AG356" s="220"/>
      <c r="AH356" s="221"/>
      <c r="AI356" s="221"/>
      <c r="AJ356" s="97" t="s">
        <v>203</v>
      </c>
      <c r="AK356" s="97" t="s">
        <v>190</v>
      </c>
      <c r="AL356" s="97" t="s">
        <v>190</v>
      </c>
      <c r="AM356" s="88" t="s">
        <v>2354</v>
      </c>
      <c r="AN356" s="22">
        <v>182</v>
      </c>
      <c r="AO356" s="22">
        <v>0</v>
      </c>
      <c r="AP356" s="22">
        <v>20</v>
      </c>
      <c r="AQ356" s="22">
        <v>0</v>
      </c>
      <c r="AR356" s="22">
        <v>0</v>
      </c>
      <c r="AS356" s="22">
        <v>7</v>
      </c>
      <c r="AT356" s="22">
        <v>10</v>
      </c>
      <c r="AU356" s="316">
        <f t="shared" si="56"/>
        <v>219</v>
      </c>
      <c r="AV356" s="22">
        <v>190</v>
      </c>
      <c r="AW356" s="22">
        <v>0</v>
      </c>
      <c r="AX356" s="22">
        <v>20</v>
      </c>
      <c r="AY356" s="22">
        <v>0</v>
      </c>
      <c r="AZ356" s="22">
        <v>0</v>
      </c>
      <c r="BA356" s="22">
        <v>7</v>
      </c>
      <c r="BB356" s="22">
        <v>10</v>
      </c>
      <c r="BC356" s="316">
        <f t="shared" si="57"/>
        <v>227</v>
      </c>
      <c r="BD356" s="58">
        <f t="shared" si="58"/>
        <v>8</v>
      </c>
      <c r="BE356" s="58">
        <f t="shared" si="59"/>
        <v>0</v>
      </c>
      <c r="BF356" s="58">
        <f t="shared" si="60"/>
        <v>0</v>
      </c>
      <c r="BG356" s="58">
        <f t="shared" si="61"/>
        <v>0</v>
      </c>
      <c r="BH356" s="58">
        <f t="shared" si="62"/>
        <v>0</v>
      </c>
      <c r="BI356" s="58">
        <f t="shared" si="63"/>
        <v>0</v>
      </c>
      <c r="BJ356" s="58">
        <f t="shared" si="64"/>
        <v>0</v>
      </c>
      <c r="BK356" s="58">
        <f t="shared" si="65"/>
        <v>8</v>
      </c>
    </row>
    <row r="357" spans="1:63" ht="27" customHeight="1">
      <c r="A357" s="13">
        <f t="shared" si="66"/>
        <v>355</v>
      </c>
      <c r="B357" s="14"/>
      <c r="C357" s="10">
        <v>2865</v>
      </c>
      <c r="D357" s="119" t="s">
        <v>2517</v>
      </c>
      <c r="E357" s="217" t="s">
        <v>2518</v>
      </c>
      <c r="F357" s="234" t="s">
        <v>2519</v>
      </c>
      <c r="G357" s="235" t="s">
        <v>2520</v>
      </c>
      <c r="H357" s="26" t="s">
        <v>2521</v>
      </c>
      <c r="I357" s="27" t="s">
        <v>2522</v>
      </c>
      <c r="J357" s="98" t="s">
        <v>178</v>
      </c>
      <c r="K357" s="28">
        <v>31418</v>
      </c>
      <c r="L357" s="82" t="s">
        <v>179</v>
      </c>
      <c r="M357" s="170">
        <v>43770</v>
      </c>
      <c r="N357" s="25">
        <v>43582</v>
      </c>
      <c r="O357" s="25" t="s">
        <v>34</v>
      </c>
      <c r="P357" s="18" t="s">
        <v>1281</v>
      </c>
      <c r="Q357" s="18" t="s">
        <v>181</v>
      </c>
      <c r="R357" s="13" t="s">
        <v>182</v>
      </c>
      <c r="S357" s="13" t="s">
        <v>2430</v>
      </c>
      <c r="T357" s="175"/>
      <c r="U357" s="175"/>
      <c r="V357" s="21" t="s">
        <v>200</v>
      </c>
      <c r="W357" s="21" t="s">
        <v>184</v>
      </c>
      <c r="X357" s="1">
        <v>6</v>
      </c>
      <c r="Y357" s="176" t="s">
        <v>184</v>
      </c>
      <c r="Z357" s="86"/>
      <c r="AA357" s="86" t="s">
        <v>186</v>
      </c>
      <c r="AB357" s="1"/>
      <c r="AC357" s="123"/>
      <c r="AD357" s="218" t="s">
        <v>188</v>
      </c>
      <c r="AE357" s="219" t="s">
        <v>189</v>
      </c>
      <c r="AF357" s="219"/>
      <c r="AG357" s="220"/>
      <c r="AH357" s="221"/>
      <c r="AI357" s="221"/>
      <c r="AJ357" s="97" t="s">
        <v>203</v>
      </c>
      <c r="AK357" s="97" t="s">
        <v>190</v>
      </c>
      <c r="AL357" s="97" t="s">
        <v>190</v>
      </c>
      <c r="AM357" s="88" t="s">
        <v>2354</v>
      </c>
      <c r="AN357" s="22">
        <v>182</v>
      </c>
      <c r="AO357" s="22">
        <v>0</v>
      </c>
      <c r="AP357" s="22">
        <v>20</v>
      </c>
      <c r="AQ357" s="22">
        <v>0</v>
      </c>
      <c r="AR357" s="22">
        <v>0</v>
      </c>
      <c r="AS357" s="22">
        <v>7</v>
      </c>
      <c r="AT357" s="22">
        <v>10</v>
      </c>
      <c r="AU357" s="316">
        <f t="shared" si="56"/>
        <v>219</v>
      </c>
      <c r="AV357" s="22">
        <v>190</v>
      </c>
      <c r="AW357" s="22">
        <v>0</v>
      </c>
      <c r="AX357" s="22">
        <v>20</v>
      </c>
      <c r="AY357" s="22">
        <v>0</v>
      </c>
      <c r="AZ357" s="22">
        <v>0</v>
      </c>
      <c r="BA357" s="22">
        <v>7</v>
      </c>
      <c r="BB357" s="22">
        <v>10</v>
      </c>
      <c r="BC357" s="316">
        <f t="shared" si="57"/>
        <v>227</v>
      </c>
      <c r="BD357" s="58">
        <f t="shared" si="58"/>
        <v>8</v>
      </c>
      <c r="BE357" s="58">
        <f t="shared" si="59"/>
        <v>0</v>
      </c>
      <c r="BF357" s="58">
        <f t="shared" si="60"/>
        <v>0</v>
      </c>
      <c r="BG357" s="58">
        <f t="shared" si="61"/>
        <v>0</v>
      </c>
      <c r="BH357" s="58">
        <f t="shared" si="62"/>
        <v>0</v>
      </c>
      <c r="BI357" s="58">
        <f t="shared" si="63"/>
        <v>0</v>
      </c>
      <c r="BJ357" s="58">
        <f t="shared" si="64"/>
        <v>0</v>
      </c>
      <c r="BK357" s="58">
        <f t="shared" si="65"/>
        <v>8</v>
      </c>
    </row>
    <row r="358" spans="1:63" ht="27" customHeight="1">
      <c r="A358" s="13">
        <f t="shared" si="66"/>
        <v>356</v>
      </c>
      <c r="B358" s="14"/>
      <c r="C358" s="10">
        <v>2866</v>
      </c>
      <c r="D358" s="119" t="s">
        <v>2523</v>
      </c>
      <c r="E358" s="217" t="s">
        <v>2524</v>
      </c>
      <c r="F358" s="234" t="s">
        <v>457</v>
      </c>
      <c r="G358" s="235" t="s">
        <v>2525</v>
      </c>
      <c r="H358" s="26" t="s">
        <v>2526</v>
      </c>
      <c r="I358" s="27" t="s">
        <v>2527</v>
      </c>
      <c r="J358" s="98" t="s">
        <v>178</v>
      </c>
      <c r="K358" s="28">
        <v>31111</v>
      </c>
      <c r="L358" s="82" t="s">
        <v>179</v>
      </c>
      <c r="M358" s="170">
        <v>43770</v>
      </c>
      <c r="N358" s="25">
        <v>43582</v>
      </c>
      <c r="O358" s="25" t="s">
        <v>34</v>
      </c>
      <c r="P358" s="18" t="s">
        <v>265</v>
      </c>
      <c r="Q358" s="18" t="s">
        <v>181</v>
      </c>
      <c r="R358" s="13" t="s">
        <v>182</v>
      </c>
      <c r="S358" s="13" t="s">
        <v>2505</v>
      </c>
      <c r="T358" s="175"/>
      <c r="U358" s="175"/>
      <c r="V358" s="21" t="s">
        <v>184</v>
      </c>
      <c r="W358" s="21" t="s">
        <v>184</v>
      </c>
      <c r="X358" s="1">
        <v>4</v>
      </c>
      <c r="Y358" s="176" t="s">
        <v>184</v>
      </c>
      <c r="Z358" s="86"/>
      <c r="AA358" s="86" t="s">
        <v>186</v>
      </c>
      <c r="AB358" s="1"/>
      <c r="AC358" s="123"/>
      <c r="AD358" s="218"/>
      <c r="AE358" s="218"/>
      <c r="AF358" s="219"/>
      <c r="AG358" s="220"/>
      <c r="AH358" s="221"/>
      <c r="AI358" s="221"/>
      <c r="AJ358" s="97" t="s">
        <v>203</v>
      </c>
      <c r="AK358" s="97" t="s">
        <v>190</v>
      </c>
      <c r="AL358" s="97" t="s">
        <v>190</v>
      </c>
      <c r="AM358" s="88" t="s">
        <v>2354</v>
      </c>
      <c r="AN358" s="22">
        <v>182</v>
      </c>
      <c r="AO358" s="22">
        <v>0</v>
      </c>
      <c r="AP358" s="22">
        <v>0</v>
      </c>
      <c r="AQ358" s="22">
        <v>0</v>
      </c>
      <c r="AR358" s="22">
        <v>0</v>
      </c>
      <c r="AS358" s="22">
        <v>7</v>
      </c>
      <c r="AT358" s="22">
        <v>10</v>
      </c>
      <c r="AU358" s="316">
        <f t="shared" si="56"/>
        <v>199</v>
      </c>
      <c r="AV358" s="22">
        <v>190</v>
      </c>
      <c r="AW358" s="22">
        <v>0</v>
      </c>
      <c r="AX358" s="22">
        <v>0</v>
      </c>
      <c r="AY358" s="22">
        <v>0</v>
      </c>
      <c r="AZ358" s="22">
        <v>0</v>
      </c>
      <c r="BA358" s="22">
        <v>7</v>
      </c>
      <c r="BB358" s="22">
        <v>10</v>
      </c>
      <c r="BC358" s="316">
        <f t="shared" si="57"/>
        <v>207</v>
      </c>
      <c r="BD358" s="58">
        <f t="shared" si="58"/>
        <v>8</v>
      </c>
      <c r="BE358" s="58">
        <f t="shared" si="59"/>
        <v>0</v>
      </c>
      <c r="BF358" s="58">
        <f t="shared" si="60"/>
        <v>0</v>
      </c>
      <c r="BG358" s="58">
        <f t="shared" si="61"/>
        <v>0</v>
      </c>
      <c r="BH358" s="58">
        <f t="shared" si="62"/>
        <v>0</v>
      </c>
      <c r="BI358" s="58">
        <f t="shared" si="63"/>
        <v>0</v>
      </c>
      <c r="BJ358" s="58">
        <f t="shared" si="64"/>
        <v>0</v>
      </c>
      <c r="BK358" s="58">
        <f t="shared" si="65"/>
        <v>8</v>
      </c>
    </row>
    <row r="359" spans="1:63" ht="27" customHeight="1">
      <c r="A359" s="13">
        <f t="shared" si="66"/>
        <v>357</v>
      </c>
      <c r="B359" s="14"/>
      <c r="C359" s="10">
        <v>2850</v>
      </c>
      <c r="D359" s="119" t="s">
        <v>2528</v>
      </c>
      <c r="E359" s="217" t="s">
        <v>2529</v>
      </c>
      <c r="F359" s="234" t="s">
        <v>2008</v>
      </c>
      <c r="G359" s="235" t="s">
        <v>2530</v>
      </c>
      <c r="H359" s="26" t="s">
        <v>2202</v>
      </c>
      <c r="I359" s="27" t="s">
        <v>2531</v>
      </c>
      <c r="J359" s="98" t="s">
        <v>178</v>
      </c>
      <c r="K359" s="28">
        <v>33669</v>
      </c>
      <c r="L359" s="82" t="s">
        <v>179</v>
      </c>
      <c r="M359" s="170">
        <v>43770</v>
      </c>
      <c r="N359" s="25">
        <v>43578</v>
      </c>
      <c r="O359" s="25" t="s">
        <v>34</v>
      </c>
      <c r="P359" s="18" t="s">
        <v>292</v>
      </c>
      <c r="Q359" s="18" t="s">
        <v>181</v>
      </c>
      <c r="R359" s="13" t="s">
        <v>182</v>
      </c>
      <c r="S359" s="13" t="s">
        <v>2397</v>
      </c>
      <c r="T359" s="175"/>
      <c r="U359" s="175"/>
      <c r="V359" s="21" t="s">
        <v>184</v>
      </c>
      <c r="W359" s="21" t="s">
        <v>184</v>
      </c>
      <c r="X359" s="1">
        <v>7</v>
      </c>
      <c r="Y359" s="176" t="s">
        <v>2532</v>
      </c>
      <c r="Z359" s="86" t="s">
        <v>186</v>
      </c>
      <c r="AA359" s="86"/>
      <c r="AB359" s="1"/>
      <c r="AC359" s="123"/>
      <c r="AD359" s="218"/>
      <c r="AE359" s="218"/>
      <c r="AF359" s="219"/>
      <c r="AG359" s="220"/>
      <c r="AH359" s="221"/>
      <c r="AI359" s="221"/>
      <c r="AJ359" s="97" t="s">
        <v>203</v>
      </c>
      <c r="AK359" s="97" t="s">
        <v>190</v>
      </c>
      <c r="AL359" s="97" t="s">
        <v>190</v>
      </c>
      <c r="AM359" s="88" t="s">
        <v>2354</v>
      </c>
      <c r="AN359" s="22">
        <v>182</v>
      </c>
      <c r="AO359" s="22">
        <v>0</v>
      </c>
      <c r="AP359" s="22">
        <v>0</v>
      </c>
      <c r="AQ359" s="22">
        <v>0</v>
      </c>
      <c r="AR359" s="22">
        <v>0</v>
      </c>
      <c r="AS359" s="22">
        <v>7</v>
      </c>
      <c r="AT359" s="22">
        <v>10</v>
      </c>
      <c r="AU359" s="316">
        <f t="shared" si="56"/>
        <v>199</v>
      </c>
      <c r="AV359" s="22">
        <v>190</v>
      </c>
      <c r="AW359" s="22">
        <v>0</v>
      </c>
      <c r="AX359" s="22">
        <v>0</v>
      </c>
      <c r="AY359" s="22">
        <v>0</v>
      </c>
      <c r="AZ359" s="22">
        <v>0</v>
      </c>
      <c r="BA359" s="22">
        <v>7</v>
      </c>
      <c r="BB359" s="22">
        <v>10</v>
      </c>
      <c r="BC359" s="316">
        <f t="shared" si="57"/>
        <v>207</v>
      </c>
      <c r="BD359" s="58">
        <f t="shared" si="58"/>
        <v>8</v>
      </c>
      <c r="BE359" s="58">
        <f t="shared" si="59"/>
        <v>0</v>
      </c>
      <c r="BF359" s="58">
        <f t="shared" si="60"/>
        <v>0</v>
      </c>
      <c r="BG359" s="58">
        <f t="shared" si="61"/>
        <v>0</v>
      </c>
      <c r="BH359" s="58">
        <f t="shared" si="62"/>
        <v>0</v>
      </c>
      <c r="BI359" s="58">
        <f t="shared" si="63"/>
        <v>0</v>
      </c>
      <c r="BJ359" s="58">
        <f t="shared" si="64"/>
        <v>0</v>
      </c>
      <c r="BK359" s="58">
        <f t="shared" si="65"/>
        <v>8</v>
      </c>
    </row>
    <row r="360" spans="1:63" ht="27" customHeight="1">
      <c r="A360" s="13">
        <f t="shared" si="66"/>
        <v>358</v>
      </c>
      <c r="B360" s="14"/>
      <c r="C360" s="10">
        <v>2852</v>
      </c>
      <c r="D360" s="119" t="s">
        <v>2533</v>
      </c>
      <c r="E360" s="217" t="s">
        <v>2534</v>
      </c>
      <c r="F360" s="234" t="s">
        <v>2535</v>
      </c>
      <c r="G360" s="235" t="s">
        <v>2536</v>
      </c>
      <c r="H360" s="26" t="s">
        <v>2537</v>
      </c>
      <c r="I360" s="27" t="s">
        <v>2538</v>
      </c>
      <c r="J360" s="98" t="s">
        <v>178</v>
      </c>
      <c r="K360" s="28">
        <v>31582</v>
      </c>
      <c r="L360" s="82" t="s">
        <v>179</v>
      </c>
      <c r="M360" s="170">
        <v>43770</v>
      </c>
      <c r="N360" s="25">
        <v>43578</v>
      </c>
      <c r="O360" s="25" t="s">
        <v>34</v>
      </c>
      <c r="P360" s="18" t="s">
        <v>636</v>
      </c>
      <c r="Q360" s="18" t="s">
        <v>181</v>
      </c>
      <c r="R360" s="13" t="s">
        <v>182</v>
      </c>
      <c r="S360" s="13" t="s">
        <v>2397</v>
      </c>
      <c r="T360" s="175"/>
      <c r="U360" s="175"/>
      <c r="V360" s="21" t="s">
        <v>184</v>
      </c>
      <c r="W360" s="21" t="s">
        <v>184</v>
      </c>
      <c r="X360" s="1" t="s">
        <v>184</v>
      </c>
      <c r="Y360" s="176" t="s">
        <v>2539</v>
      </c>
      <c r="Z360" s="86"/>
      <c r="AA360" s="86" t="s">
        <v>186</v>
      </c>
      <c r="AB360" s="1"/>
      <c r="AC360" s="123"/>
      <c r="AD360" s="218" t="s">
        <v>188</v>
      </c>
      <c r="AE360" s="218"/>
      <c r="AF360" s="219"/>
      <c r="AG360" s="220"/>
      <c r="AH360" s="221"/>
      <c r="AI360" s="221"/>
      <c r="AJ360" s="97" t="s">
        <v>203</v>
      </c>
      <c r="AK360" s="97" t="s">
        <v>190</v>
      </c>
      <c r="AL360" s="97" t="s">
        <v>190</v>
      </c>
      <c r="AM360" s="88" t="s">
        <v>2354</v>
      </c>
      <c r="AN360" s="22">
        <v>182</v>
      </c>
      <c r="AO360" s="22">
        <v>0</v>
      </c>
      <c r="AP360" s="22">
        <v>0</v>
      </c>
      <c r="AQ360" s="22">
        <v>0</v>
      </c>
      <c r="AR360" s="22">
        <v>0</v>
      </c>
      <c r="AS360" s="22">
        <v>7</v>
      </c>
      <c r="AT360" s="22">
        <v>10</v>
      </c>
      <c r="AU360" s="316">
        <f t="shared" si="56"/>
        <v>199</v>
      </c>
      <c r="AV360" s="22">
        <v>190</v>
      </c>
      <c r="AW360" s="22">
        <v>0</v>
      </c>
      <c r="AX360" s="22">
        <v>0</v>
      </c>
      <c r="AY360" s="22">
        <v>0</v>
      </c>
      <c r="AZ360" s="22">
        <v>0</v>
      </c>
      <c r="BA360" s="22">
        <v>7</v>
      </c>
      <c r="BB360" s="22">
        <v>10</v>
      </c>
      <c r="BC360" s="316">
        <f t="shared" si="57"/>
        <v>207</v>
      </c>
      <c r="BD360" s="58">
        <f t="shared" si="58"/>
        <v>8</v>
      </c>
      <c r="BE360" s="58">
        <f t="shared" si="59"/>
        <v>0</v>
      </c>
      <c r="BF360" s="58">
        <f t="shared" si="60"/>
        <v>0</v>
      </c>
      <c r="BG360" s="58">
        <f t="shared" si="61"/>
        <v>0</v>
      </c>
      <c r="BH360" s="58">
        <f t="shared" si="62"/>
        <v>0</v>
      </c>
      <c r="BI360" s="58">
        <f t="shared" si="63"/>
        <v>0</v>
      </c>
      <c r="BJ360" s="58">
        <f t="shared" si="64"/>
        <v>0</v>
      </c>
      <c r="BK360" s="58">
        <f t="shared" si="65"/>
        <v>8</v>
      </c>
    </row>
    <row r="361" spans="1:63" ht="27" customHeight="1">
      <c r="A361" s="13">
        <f t="shared" si="66"/>
        <v>359</v>
      </c>
      <c r="B361" s="14"/>
      <c r="C361" s="10">
        <v>2860</v>
      </c>
      <c r="D361" s="119" t="s">
        <v>2540</v>
      </c>
      <c r="E361" s="217" t="s">
        <v>2541</v>
      </c>
      <c r="F361" s="234" t="s">
        <v>2542</v>
      </c>
      <c r="G361" s="235" t="s">
        <v>2543</v>
      </c>
      <c r="H361" s="26" t="s">
        <v>2544</v>
      </c>
      <c r="I361" s="27" t="s">
        <v>2545</v>
      </c>
      <c r="J361" s="98" t="s">
        <v>178</v>
      </c>
      <c r="K361" s="28">
        <v>35975</v>
      </c>
      <c r="L361" s="82" t="s">
        <v>179</v>
      </c>
      <c r="M361" s="170">
        <v>43770</v>
      </c>
      <c r="N361" s="25">
        <v>43579</v>
      </c>
      <c r="O361" s="25" t="s">
        <v>34</v>
      </c>
      <c r="P361" s="18" t="s">
        <v>27</v>
      </c>
      <c r="Q361" s="18" t="s">
        <v>181</v>
      </c>
      <c r="R361" s="13" t="s">
        <v>182</v>
      </c>
      <c r="S361" s="13" t="s">
        <v>2546</v>
      </c>
      <c r="T361" s="175"/>
      <c r="U361" s="175"/>
      <c r="V361" s="21" t="s">
        <v>200</v>
      </c>
      <c r="W361" s="21" t="s">
        <v>200</v>
      </c>
      <c r="X361" s="1">
        <v>5</v>
      </c>
      <c r="Y361" s="176" t="s">
        <v>2547</v>
      </c>
      <c r="Z361" s="86" t="s">
        <v>186</v>
      </c>
      <c r="AA361" s="86"/>
      <c r="AB361" s="1"/>
      <c r="AC361" s="123"/>
      <c r="AD361" s="218"/>
      <c r="AE361" s="218"/>
      <c r="AF361" s="219"/>
      <c r="AG361" s="220"/>
      <c r="AH361" s="221"/>
      <c r="AI361" s="221"/>
      <c r="AJ361" s="97" t="s">
        <v>203</v>
      </c>
      <c r="AK361" s="97" t="s">
        <v>190</v>
      </c>
      <c r="AL361" s="97" t="s">
        <v>190</v>
      </c>
      <c r="AM361" s="88" t="s">
        <v>2354</v>
      </c>
      <c r="AN361" s="22">
        <v>182</v>
      </c>
      <c r="AO361" s="22">
        <v>0</v>
      </c>
      <c r="AP361" s="22">
        <v>0</v>
      </c>
      <c r="AQ361" s="22">
        <v>0</v>
      </c>
      <c r="AR361" s="22">
        <v>0</v>
      </c>
      <c r="AS361" s="22">
        <v>7</v>
      </c>
      <c r="AT361" s="22">
        <v>10</v>
      </c>
      <c r="AU361" s="316">
        <f t="shared" si="56"/>
        <v>199</v>
      </c>
      <c r="AV361" s="22">
        <v>190</v>
      </c>
      <c r="AW361" s="22">
        <v>0</v>
      </c>
      <c r="AX361" s="22">
        <v>0</v>
      </c>
      <c r="AY361" s="22">
        <v>0</v>
      </c>
      <c r="AZ361" s="22">
        <v>0</v>
      </c>
      <c r="BA361" s="22">
        <v>7</v>
      </c>
      <c r="BB361" s="22">
        <v>10</v>
      </c>
      <c r="BC361" s="316">
        <f t="shared" si="57"/>
        <v>207</v>
      </c>
      <c r="BD361" s="58">
        <f t="shared" si="58"/>
        <v>8</v>
      </c>
      <c r="BE361" s="58">
        <f t="shared" si="59"/>
        <v>0</v>
      </c>
      <c r="BF361" s="58">
        <f t="shared" si="60"/>
        <v>0</v>
      </c>
      <c r="BG361" s="58">
        <f t="shared" si="61"/>
        <v>0</v>
      </c>
      <c r="BH361" s="58">
        <f t="shared" si="62"/>
        <v>0</v>
      </c>
      <c r="BI361" s="58">
        <f t="shared" si="63"/>
        <v>0</v>
      </c>
      <c r="BJ361" s="58">
        <f t="shared" si="64"/>
        <v>0</v>
      </c>
      <c r="BK361" s="58">
        <f t="shared" si="65"/>
        <v>8</v>
      </c>
    </row>
    <row r="362" spans="1:63" ht="27" customHeight="1">
      <c r="A362" s="13">
        <f t="shared" si="66"/>
        <v>360</v>
      </c>
      <c r="B362" s="14"/>
      <c r="C362" s="10">
        <v>2827</v>
      </c>
      <c r="D362" s="119" t="s">
        <v>2548</v>
      </c>
      <c r="E362" s="217" t="s">
        <v>2549</v>
      </c>
      <c r="F362" s="234" t="s">
        <v>2550</v>
      </c>
      <c r="G362" s="235" t="s">
        <v>2551</v>
      </c>
      <c r="H362" s="26" t="s">
        <v>39</v>
      </c>
      <c r="I362" s="27" t="s">
        <v>40</v>
      </c>
      <c r="J362" s="98" t="s">
        <v>178</v>
      </c>
      <c r="K362" s="28">
        <v>31328</v>
      </c>
      <c r="L362" s="82" t="s">
        <v>179</v>
      </c>
      <c r="M362" s="170">
        <v>43770</v>
      </c>
      <c r="N362" s="25">
        <v>43577</v>
      </c>
      <c r="O362" s="25" t="s">
        <v>34</v>
      </c>
      <c r="P362" s="18" t="s">
        <v>27</v>
      </c>
      <c r="Q362" s="18" t="s">
        <v>181</v>
      </c>
      <c r="R362" s="13" t="s">
        <v>182</v>
      </c>
      <c r="S362" s="13" t="s">
        <v>2359</v>
      </c>
      <c r="T362" s="175"/>
      <c r="U362" s="175"/>
      <c r="V362" s="21" t="s">
        <v>184</v>
      </c>
      <c r="W362" s="21" t="s">
        <v>200</v>
      </c>
      <c r="X362" s="1" t="s">
        <v>184</v>
      </c>
      <c r="Y362" s="176" t="s">
        <v>184</v>
      </c>
      <c r="Z362" s="86"/>
      <c r="AA362" s="86"/>
      <c r="AB362" s="86" t="s">
        <v>186</v>
      </c>
      <c r="AC362" s="123"/>
      <c r="AD362" s="218" t="s">
        <v>188</v>
      </c>
      <c r="AE362" s="219" t="s">
        <v>189</v>
      </c>
      <c r="AF362" s="219"/>
      <c r="AG362" s="220"/>
      <c r="AH362" s="221"/>
      <c r="AI362" s="221"/>
      <c r="AJ362" s="97" t="s">
        <v>203</v>
      </c>
      <c r="AK362" s="97" t="s">
        <v>190</v>
      </c>
      <c r="AL362" s="97" t="s">
        <v>190</v>
      </c>
      <c r="AM362" s="88" t="s">
        <v>2354</v>
      </c>
      <c r="AN362" s="22">
        <v>182</v>
      </c>
      <c r="AO362" s="22">
        <v>0</v>
      </c>
      <c r="AP362" s="22">
        <v>0</v>
      </c>
      <c r="AQ362" s="22">
        <v>0</v>
      </c>
      <c r="AR362" s="22">
        <v>0</v>
      </c>
      <c r="AS362" s="22">
        <v>7</v>
      </c>
      <c r="AT362" s="22">
        <v>10</v>
      </c>
      <c r="AU362" s="316">
        <f t="shared" si="56"/>
        <v>199</v>
      </c>
      <c r="AV362" s="22">
        <v>190</v>
      </c>
      <c r="AW362" s="22">
        <v>0</v>
      </c>
      <c r="AX362" s="22">
        <v>0</v>
      </c>
      <c r="AY362" s="22">
        <v>0</v>
      </c>
      <c r="AZ362" s="22">
        <v>0</v>
      </c>
      <c r="BA362" s="22">
        <v>7</v>
      </c>
      <c r="BB362" s="22">
        <v>10</v>
      </c>
      <c r="BC362" s="316">
        <f t="shared" si="57"/>
        <v>207</v>
      </c>
      <c r="BD362" s="58">
        <f t="shared" si="58"/>
        <v>8</v>
      </c>
      <c r="BE362" s="58">
        <f t="shared" si="59"/>
        <v>0</v>
      </c>
      <c r="BF362" s="58">
        <f t="shared" si="60"/>
        <v>0</v>
      </c>
      <c r="BG362" s="58">
        <f t="shared" si="61"/>
        <v>0</v>
      </c>
      <c r="BH362" s="58">
        <f t="shared" si="62"/>
        <v>0</v>
      </c>
      <c r="BI362" s="58">
        <f t="shared" si="63"/>
        <v>0</v>
      </c>
      <c r="BJ362" s="58">
        <f t="shared" si="64"/>
        <v>0</v>
      </c>
      <c r="BK362" s="58">
        <f t="shared" si="65"/>
        <v>8</v>
      </c>
    </row>
    <row r="363" spans="1:63" ht="27" customHeight="1">
      <c r="A363" s="13">
        <f t="shared" si="66"/>
        <v>361</v>
      </c>
      <c r="B363" s="14"/>
      <c r="C363" s="10">
        <v>2861</v>
      </c>
      <c r="D363" s="119" t="s">
        <v>2552</v>
      </c>
      <c r="E363" s="217" t="s">
        <v>2553</v>
      </c>
      <c r="F363" s="234" t="s">
        <v>2554</v>
      </c>
      <c r="G363" s="235" t="s">
        <v>2555</v>
      </c>
      <c r="H363" s="26" t="s">
        <v>2556</v>
      </c>
      <c r="I363" s="27" t="s">
        <v>2557</v>
      </c>
      <c r="J363" s="98" t="s">
        <v>178</v>
      </c>
      <c r="K363" s="28">
        <v>36482</v>
      </c>
      <c r="L363" s="82" t="s">
        <v>179</v>
      </c>
      <c r="M363" s="170">
        <v>43770</v>
      </c>
      <c r="N363" s="25">
        <v>43580</v>
      </c>
      <c r="O363" s="25" t="s">
        <v>34</v>
      </c>
      <c r="P363" s="18" t="s">
        <v>309</v>
      </c>
      <c r="Q363" s="18" t="s">
        <v>181</v>
      </c>
      <c r="R363" s="13" t="s">
        <v>182</v>
      </c>
      <c r="S363" s="13" t="s">
        <v>2505</v>
      </c>
      <c r="T363" s="175"/>
      <c r="U363" s="175"/>
      <c r="V363" s="21" t="s">
        <v>200</v>
      </c>
      <c r="W363" s="21" t="s">
        <v>184</v>
      </c>
      <c r="X363" s="1">
        <v>7</v>
      </c>
      <c r="Y363" s="176" t="s">
        <v>2558</v>
      </c>
      <c r="Z363" s="86" t="s">
        <v>186</v>
      </c>
      <c r="AA363" s="86"/>
      <c r="AB363" s="1"/>
      <c r="AC363" s="123"/>
      <c r="AD363" s="218"/>
      <c r="AE363" s="218"/>
      <c r="AF363" s="219"/>
      <c r="AG363" s="220"/>
      <c r="AH363" s="221"/>
      <c r="AI363" s="221"/>
      <c r="AJ363" s="97" t="s">
        <v>203</v>
      </c>
      <c r="AK363" s="97" t="s">
        <v>190</v>
      </c>
      <c r="AL363" s="97" t="s">
        <v>190</v>
      </c>
      <c r="AM363" s="88" t="s">
        <v>2354</v>
      </c>
      <c r="AN363" s="22">
        <v>182</v>
      </c>
      <c r="AO363" s="22">
        <v>0</v>
      </c>
      <c r="AP363" s="22">
        <v>0</v>
      </c>
      <c r="AQ363" s="22">
        <v>0</v>
      </c>
      <c r="AR363" s="22">
        <v>0</v>
      </c>
      <c r="AS363" s="22">
        <v>7</v>
      </c>
      <c r="AT363" s="22">
        <v>10</v>
      </c>
      <c r="AU363" s="316">
        <f t="shared" si="56"/>
        <v>199</v>
      </c>
      <c r="AV363" s="22">
        <v>190</v>
      </c>
      <c r="AW363" s="22">
        <v>0</v>
      </c>
      <c r="AX363" s="22">
        <v>0</v>
      </c>
      <c r="AY363" s="22">
        <v>0</v>
      </c>
      <c r="AZ363" s="22">
        <v>0</v>
      </c>
      <c r="BA363" s="22">
        <v>7</v>
      </c>
      <c r="BB363" s="22">
        <v>10</v>
      </c>
      <c r="BC363" s="316">
        <f t="shared" si="57"/>
        <v>207</v>
      </c>
      <c r="BD363" s="58">
        <f t="shared" si="58"/>
        <v>8</v>
      </c>
      <c r="BE363" s="58">
        <f t="shared" si="59"/>
        <v>0</v>
      </c>
      <c r="BF363" s="58">
        <f t="shared" si="60"/>
        <v>0</v>
      </c>
      <c r="BG363" s="58">
        <f t="shared" si="61"/>
        <v>0</v>
      </c>
      <c r="BH363" s="58">
        <f t="shared" si="62"/>
        <v>0</v>
      </c>
      <c r="BI363" s="58">
        <f t="shared" si="63"/>
        <v>0</v>
      </c>
      <c r="BJ363" s="58">
        <f t="shared" si="64"/>
        <v>0</v>
      </c>
      <c r="BK363" s="58">
        <f t="shared" si="65"/>
        <v>8</v>
      </c>
    </row>
    <row r="364" spans="1:63" ht="27" customHeight="1">
      <c r="A364" s="13">
        <f t="shared" si="66"/>
        <v>362</v>
      </c>
      <c r="B364" s="14"/>
      <c r="C364" s="10">
        <v>2844</v>
      </c>
      <c r="D364" s="119" t="s">
        <v>2559</v>
      </c>
      <c r="E364" s="217" t="s">
        <v>2560</v>
      </c>
      <c r="F364" s="234" t="s">
        <v>195</v>
      </c>
      <c r="G364" s="235" t="s">
        <v>1977</v>
      </c>
      <c r="H364" s="26" t="s">
        <v>197</v>
      </c>
      <c r="I364" s="27" t="s">
        <v>2561</v>
      </c>
      <c r="J364" s="98" t="s">
        <v>178</v>
      </c>
      <c r="K364" s="28">
        <v>31933</v>
      </c>
      <c r="L364" s="82" t="s">
        <v>179</v>
      </c>
      <c r="M364" s="170">
        <v>43770</v>
      </c>
      <c r="N364" s="25">
        <v>43578</v>
      </c>
      <c r="O364" s="25" t="s">
        <v>34</v>
      </c>
      <c r="P364" s="18" t="s">
        <v>386</v>
      </c>
      <c r="Q364" s="18" t="s">
        <v>181</v>
      </c>
      <c r="R364" s="13" t="s">
        <v>182</v>
      </c>
      <c r="S364" s="13" t="s">
        <v>2492</v>
      </c>
      <c r="T364" s="175"/>
      <c r="U364" s="175"/>
      <c r="V364" s="21" t="s">
        <v>200</v>
      </c>
      <c r="W364" s="21" t="s">
        <v>200</v>
      </c>
      <c r="X364" s="1">
        <v>9</v>
      </c>
      <c r="Y364" s="176" t="s">
        <v>2562</v>
      </c>
      <c r="Z364" s="86"/>
      <c r="AA364" s="86" t="s">
        <v>186</v>
      </c>
      <c r="AB364" s="1"/>
      <c r="AC364" s="123"/>
      <c r="AD364" s="219" t="s">
        <v>189</v>
      </c>
      <c r="AE364" s="218"/>
      <c r="AF364" s="219"/>
      <c r="AG364" s="220"/>
      <c r="AH364" s="221"/>
      <c r="AI364" s="221"/>
      <c r="AJ364" s="97" t="s">
        <v>203</v>
      </c>
      <c r="AK364" s="97" t="s">
        <v>190</v>
      </c>
      <c r="AL364" s="97" t="s">
        <v>190</v>
      </c>
      <c r="AM364" s="88" t="s">
        <v>2354</v>
      </c>
      <c r="AN364" s="22">
        <v>182</v>
      </c>
      <c r="AO364" s="22">
        <v>0</v>
      </c>
      <c r="AP364" s="22">
        <v>0</v>
      </c>
      <c r="AQ364" s="22">
        <v>0</v>
      </c>
      <c r="AR364" s="22">
        <v>0</v>
      </c>
      <c r="AS364" s="22">
        <v>7</v>
      </c>
      <c r="AT364" s="22">
        <v>10</v>
      </c>
      <c r="AU364" s="316">
        <f t="shared" si="56"/>
        <v>199</v>
      </c>
      <c r="AV364" s="22">
        <v>190</v>
      </c>
      <c r="AW364" s="22">
        <v>0</v>
      </c>
      <c r="AX364" s="22">
        <v>0</v>
      </c>
      <c r="AY364" s="22">
        <v>0</v>
      </c>
      <c r="AZ364" s="22">
        <v>0</v>
      </c>
      <c r="BA364" s="22">
        <v>7</v>
      </c>
      <c r="BB364" s="22">
        <v>10</v>
      </c>
      <c r="BC364" s="316">
        <f t="shared" si="57"/>
        <v>207</v>
      </c>
      <c r="BD364" s="58">
        <f t="shared" si="58"/>
        <v>8</v>
      </c>
      <c r="BE364" s="58">
        <f t="shared" si="59"/>
        <v>0</v>
      </c>
      <c r="BF364" s="58">
        <f t="shared" si="60"/>
        <v>0</v>
      </c>
      <c r="BG364" s="58">
        <f t="shared" si="61"/>
        <v>0</v>
      </c>
      <c r="BH364" s="58">
        <f t="shared" si="62"/>
        <v>0</v>
      </c>
      <c r="BI364" s="58">
        <f t="shared" si="63"/>
        <v>0</v>
      </c>
      <c r="BJ364" s="58">
        <f t="shared" si="64"/>
        <v>0</v>
      </c>
      <c r="BK364" s="58">
        <f t="shared" si="65"/>
        <v>8</v>
      </c>
    </row>
    <row r="365" spans="1:63" ht="27" customHeight="1">
      <c r="A365" s="13">
        <f t="shared" si="66"/>
        <v>363</v>
      </c>
      <c r="B365" s="14"/>
      <c r="C365" s="10">
        <v>2856</v>
      </c>
      <c r="D365" s="119" t="s">
        <v>2563</v>
      </c>
      <c r="E365" s="217" t="s">
        <v>2564</v>
      </c>
      <c r="F365" s="234" t="s">
        <v>2565</v>
      </c>
      <c r="G365" s="235" t="s">
        <v>2566</v>
      </c>
      <c r="H365" s="26" t="s">
        <v>41</v>
      </c>
      <c r="I365" s="27" t="s">
        <v>42</v>
      </c>
      <c r="J365" s="98" t="s">
        <v>209</v>
      </c>
      <c r="K365" s="28">
        <v>31122</v>
      </c>
      <c r="L365" s="82" t="s">
        <v>179</v>
      </c>
      <c r="M365" s="170">
        <v>43770</v>
      </c>
      <c r="N365" s="25">
        <v>43579</v>
      </c>
      <c r="O365" s="25" t="s">
        <v>34</v>
      </c>
      <c r="P365" s="18" t="s">
        <v>15</v>
      </c>
      <c r="Q365" s="18" t="s">
        <v>181</v>
      </c>
      <c r="R365" s="13" t="s">
        <v>182</v>
      </c>
      <c r="S365" s="13" t="s">
        <v>2359</v>
      </c>
      <c r="T365" s="175"/>
      <c r="U365" s="175"/>
      <c r="V365" s="21" t="s">
        <v>200</v>
      </c>
      <c r="W365" s="21" t="s">
        <v>200</v>
      </c>
      <c r="X365" s="1">
        <v>6</v>
      </c>
      <c r="Y365" s="176" t="s">
        <v>184</v>
      </c>
      <c r="Z365" s="86"/>
      <c r="AA365" s="86" t="s">
        <v>186</v>
      </c>
      <c r="AB365" s="1"/>
      <c r="AC365" s="123"/>
      <c r="AD365" s="219" t="s">
        <v>189</v>
      </c>
      <c r="AE365" s="218"/>
      <c r="AF365" s="219"/>
      <c r="AG365" s="220"/>
      <c r="AH365" s="221"/>
      <c r="AI365" s="221"/>
      <c r="AJ365" s="97" t="s">
        <v>203</v>
      </c>
      <c r="AK365" s="97" t="s">
        <v>190</v>
      </c>
      <c r="AL365" s="97" t="s">
        <v>190</v>
      </c>
      <c r="AM365" s="88" t="s">
        <v>2354</v>
      </c>
      <c r="AN365" s="22">
        <v>182</v>
      </c>
      <c r="AO365" s="22">
        <v>0</v>
      </c>
      <c r="AP365" s="22">
        <v>0</v>
      </c>
      <c r="AQ365" s="22">
        <v>0</v>
      </c>
      <c r="AR365" s="22">
        <v>0</v>
      </c>
      <c r="AS365" s="22">
        <v>7</v>
      </c>
      <c r="AT365" s="22">
        <v>10</v>
      </c>
      <c r="AU365" s="316">
        <f t="shared" si="56"/>
        <v>199</v>
      </c>
      <c r="AV365" s="22">
        <v>190</v>
      </c>
      <c r="AW365" s="22">
        <v>0</v>
      </c>
      <c r="AX365" s="22">
        <v>0</v>
      </c>
      <c r="AY365" s="22">
        <v>0</v>
      </c>
      <c r="AZ365" s="22">
        <v>0</v>
      </c>
      <c r="BA365" s="22">
        <v>7</v>
      </c>
      <c r="BB365" s="22">
        <v>10</v>
      </c>
      <c r="BC365" s="316">
        <f t="shared" si="57"/>
        <v>207</v>
      </c>
      <c r="BD365" s="58">
        <f t="shared" si="58"/>
        <v>8</v>
      </c>
      <c r="BE365" s="58">
        <f t="shared" si="59"/>
        <v>0</v>
      </c>
      <c r="BF365" s="58">
        <f t="shared" si="60"/>
        <v>0</v>
      </c>
      <c r="BG365" s="58">
        <f t="shared" si="61"/>
        <v>0</v>
      </c>
      <c r="BH365" s="58">
        <f t="shared" si="62"/>
        <v>0</v>
      </c>
      <c r="BI365" s="58">
        <f t="shared" si="63"/>
        <v>0</v>
      </c>
      <c r="BJ365" s="58">
        <f t="shared" si="64"/>
        <v>0</v>
      </c>
      <c r="BK365" s="58">
        <f t="shared" si="65"/>
        <v>8</v>
      </c>
    </row>
    <row r="366" spans="1:63" ht="27" customHeight="1">
      <c r="A366" s="13">
        <f t="shared" si="66"/>
        <v>364</v>
      </c>
      <c r="B366" s="14"/>
      <c r="C366" s="10">
        <v>2843</v>
      </c>
      <c r="D366" s="119" t="s">
        <v>2567</v>
      </c>
      <c r="E366" s="217" t="s">
        <v>2568</v>
      </c>
      <c r="F366" s="234" t="s">
        <v>1285</v>
      </c>
      <c r="G366" s="235" t="s">
        <v>306</v>
      </c>
      <c r="H366" s="26" t="s">
        <v>2569</v>
      </c>
      <c r="I366" s="27" t="s">
        <v>2570</v>
      </c>
      <c r="J366" s="98" t="s">
        <v>178</v>
      </c>
      <c r="K366" s="28">
        <v>31923</v>
      </c>
      <c r="L366" s="82" t="s">
        <v>179</v>
      </c>
      <c r="M366" s="170">
        <v>43770</v>
      </c>
      <c r="N366" s="25">
        <v>43578</v>
      </c>
      <c r="O366" s="25" t="s">
        <v>34</v>
      </c>
      <c r="P366" s="18" t="s">
        <v>348</v>
      </c>
      <c r="Q366" s="18" t="s">
        <v>181</v>
      </c>
      <c r="R366" s="13" t="s">
        <v>182</v>
      </c>
      <c r="S366" s="13" t="s">
        <v>2484</v>
      </c>
      <c r="T366" s="175"/>
      <c r="U366" s="175"/>
      <c r="V366" s="21" t="s">
        <v>200</v>
      </c>
      <c r="W366" s="21" t="s">
        <v>200</v>
      </c>
      <c r="X366" s="1">
        <v>5</v>
      </c>
      <c r="Y366" s="176" t="s">
        <v>2571</v>
      </c>
      <c r="Z366" s="86"/>
      <c r="AA366" s="86" t="s">
        <v>186</v>
      </c>
      <c r="AB366" s="1"/>
      <c r="AC366" s="123"/>
      <c r="AD366" s="218" t="s">
        <v>188</v>
      </c>
      <c r="AE366" s="218" t="s">
        <v>188</v>
      </c>
      <c r="AF366" s="218" t="s">
        <v>188</v>
      </c>
      <c r="AG366" s="219" t="s">
        <v>189</v>
      </c>
      <c r="AH366" s="221"/>
      <c r="AI366" s="221"/>
      <c r="AJ366" s="97" t="s">
        <v>203</v>
      </c>
      <c r="AK366" s="97" t="s">
        <v>190</v>
      </c>
      <c r="AL366" s="97" t="s">
        <v>190</v>
      </c>
      <c r="AM366" s="88" t="s">
        <v>2354</v>
      </c>
      <c r="AN366" s="22">
        <v>182</v>
      </c>
      <c r="AO366" s="22">
        <v>0</v>
      </c>
      <c r="AP366" s="22">
        <v>0</v>
      </c>
      <c r="AQ366" s="22">
        <v>0</v>
      </c>
      <c r="AR366" s="22">
        <v>0</v>
      </c>
      <c r="AS366" s="22">
        <v>7</v>
      </c>
      <c r="AT366" s="22">
        <v>10</v>
      </c>
      <c r="AU366" s="316">
        <f t="shared" si="56"/>
        <v>199</v>
      </c>
      <c r="AV366" s="22">
        <v>190</v>
      </c>
      <c r="AW366" s="22">
        <v>0</v>
      </c>
      <c r="AX366" s="22">
        <v>0</v>
      </c>
      <c r="AY366" s="22">
        <v>0</v>
      </c>
      <c r="AZ366" s="22">
        <v>0</v>
      </c>
      <c r="BA366" s="22">
        <v>7</v>
      </c>
      <c r="BB366" s="22">
        <v>10</v>
      </c>
      <c r="BC366" s="316">
        <f t="shared" si="57"/>
        <v>207</v>
      </c>
      <c r="BD366" s="58">
        <f t="shared" si="58"/>
        <v>8</v>
      </c>
      <c r="BE366" s="58">
        <f t="shared" si="59"/>
        <v>0</v>
      </c>
      <c r="BF366" s="58">
        <f t="shared" si="60"/>
        <v>0</v>
      </c>
      <c r="BG366" s="58">
        <f t="shared" si="61"/>
        <v>0</v>
      </c>
      <c r="BH366" s="58">
        <f t="shared" si="62"/>
        <v>0</v>
      </c>
      <c r="BI366" s="58">
        <f t="shared" si="63"/>
        <v>0</v>
      </c>
      <c r="BJ366" s="58">
        <f t="shared" si="64"/>
        <v>0</v>
      </c>
      <c r="BK366" s="58">
        <f t="shared" si="65"/>
        <v>8</v>
      </c>
    </row>
    <row r="367" spans="1:63" ht="27" customHeight="1">
      <c r="A367" s="13">
        <f t="shared" si="66"/>
        <v>365</v>
      </c>
      <c r="B367" s="14"/>
      <c r="C367" s="10">
        <v>2853</v>
      </c>
      <c r="D367" s="119" t="s">
        <v>2572</v>
      </c>
      <c r="E367" s="217" t="s">
        <v>2573</v>
      </c>
      <c r="F367" s="234" t="s">
        <v>2574</v>
      </c>
      <c r="G367" s="235" t="s">
        <v>2575</v>
      </c>
      <c r="H367" s="26" t="s">
        <v>2136</v>
      </c>
      <c r="I367" s="27" t="s">
        <v>2576</v>
      </c>
      <c r="J367" s="98" t="s">
        <v>209</v>
      </c>
      <c r="K367" s="28">
        <v>30225</v>
      </c>
      <c r="L367" s="82" t="s">
        <v>179</v>
      </c>
      <c r="M367" s="170">
        <v>43770</v>
      </c>
      <c r="N367" s="25">
        <v>43578</v>
      </c>
      <c r="O367" s="25" t="s">
        <v>34</v>
      </c>
      <c r="P367" s="18" t="s">
        <v>265</v>
      </c>
      <c r="Q367" s="18" t="s">
        <v>181</v>
      </c>
      <c r="R367" s="13" t="s">
        <v>182</v>
      </c>
      <c r="S367" s="13" t="s">
        <v>2384</v>
      </c>
      <c r="T367" s="175"/>
      <c r="U367" s="175"/>
      <c r="V367" s="21" t="s">
        <v>200</v>
      </c>
      <c r="W367" s="21" t="s">
        <v>200</v>
      </c>
      <c r="X367" s="1">
        <v>6</v>
      </c>
      <c r="Y367" s="176" t="s">
        <v>2577</v>
      </c>
      <c r="Z367" s="86"/>
      <c r="AA367" s="86" t="s">
        <v>186</v>
      </c>
      <c r="AB367" s="1"/>
      <c r="AC367" s="123"/>
      <c r="AD367" s="219" t="s">
        <v>189</v>
      </c>
      <c r="AE367" s="218"/>
      <c r="AF367" s="219"/>
      <c r="AG367" s="220"/>
      <c r="AH367" s="221"/>
      <c r="AI367" s="221"/>
      <c r="AJ367" s="97" t="s">
        <v>203</v>
      </c>
      <c r="AK367" s="97" t="s">
        <v>190</v>
      </c>
      <c r="AL367" s="97" t="s">
        <v>190</v>
      </c>
      <c r="AM367" s="88" t="s">
        <v>2354</v>
      </c>
      <c r="AN367" s="22">
        <v>182</v>
      </c>
      <c r="AO367" s="22">
        <v>0</v>
      </c>
      <c r="AP367" s="22">
        <v>0</v>
      </c>
      <c r="AQ367" s="22">
        <v>0</v>
      </c>
      <c r="AR367" s="22">
        <v>0</v>
      </c>
      <c r="AS367" s="22">
        <v>7</v>
      </c>
      <c r="AT367" s="22">
        <v>10</v>
      </c>
      <c r="AU367" s="316">
        <f t="shared" si="56"/>
        <v>199</v>
      </c>
      <c r="AV367" s="22">
        <v>190</v>
      </c>
      <c r="AW367" s="22">
        <v>0</v>
      </c>
      <c r="AX367" s="22">
        <v>0</v>
      </c>
      <c r="AY367" s="22">
        <v>0</v>
      </c>
      <c r="AZ367" s="22">
        <v>0</v>
      </c>
      <c r="BA367" s="22">
        <v>7</v>
      </c>
      <c r="BB367" s="22">
        <v>10</v>
      </c>
      <c r="BC367" s="316">
        <f t="shared" si="57"/>
        <v>207</v>
      </c>
      <c r="BD367" s="58">
        <f t="shared" si="58"/>
        <v>8</v>
      </c>
      <c r="BE367" s="58">
        <f t="shared" si="59"/>
        <v>0</v>
      </c>
      <c r="BF367" s="58">
        <f t="shared" si="60"/>
        <v>0</v>
      </c>
      <c r="BG367" s="58">
        <f t="shared" si="61"/>
        <v>0</v>
      </c>
      <c r="BH367" s="58">
        <f t="shared" si="62"/>
        <v>0</v>
      </c>
      <c r="BI367" s="58">
        <f t="shared" si="63"/>
        <v>0</v>
      </c>
      <c r="BJ367" s="58">
        <f t="shared" si="64"/>
        <v>0</v>
      </c>
      <c r="BK367" s="58">
        <f t="shared" si="65"/>
        <v>8</v>
      </c>
    </row>
    <row r="368" spans="1:63" ht="27" customHeight="1">
      <c r="A368" s="13">
        <f t="shared" si="66"/>
        <v>366</v>
      </c>
      <c r="B368" s="14"/>
      <c r="C368" s="10">
        <v>2840</v>
      </c>
      <c r="D368" s="119" t="s">
        <v>2578</v>
      </c>
      <c r="E368" s="217" t="s">
        <v>2579</v>
      </c>
      <c r="F368" s="234" t="s">
        <v>2580</v>
      </c>
      <c r="G368" s="235" t="s">
        <v>2581</v>
      </c>
      <c r="H368" s="26" t="s">
        <v>2582</v>
      </c>
      <c r="I368" s="27" t="s">
        <v>2583</v>
      </c>
      <c r="J368" s="98" t="s">
        <v>209</v>
      </c>
      <c r="K368" s="28">
        <v>35349</v>
      </c>
      <c r="L368" s="82" t="s">
        <v>179</v>
      </c>
      <c r="M368" s="170">
        <v>43770</v>
      </c>
      <c r="N368" s="25">
        <v>43578</v>
      </c>
      <c r="O368" s="25" t="s">
        <v>34</v>
      </c>
      <c r="P368" s="18" t="s">
        <v>512</v>
      </c>
      <c r="Q368" s="18" t="s">
        <v>181</v>
      </c>
      <c r="R368" s="13" t="s">
        <v>182</v>
      </c>
      <c r="S368" s="13" t="s">
        <v>2397</v>
      </c>
      <c r="T368" s="175"/>
      <c r="U368" s="175"/>
      <c r="V368" s="21" t="s">
        <v>200</v>
      </c>
      <c r="W368" s="21" t="s">
        <v>200</v>
      </c>
      <c r="X368" s="1">
        <v>5</v>
      </c>
      <c r="Y368" s="176" t="s">
        <v>2584</v>
      </c>
      <c r="Z368" s="86" t="s">
        <v>186</v>
      </c>
      <c r="AA368" s="86"/>
      <c r="AB368" s="1"/>
      <c r="AC368" s="123"/>
      <c r="AD368" s="218"/>
      <c r="AE368" s="218"/>
      <c r="AF368" s="219"/>
      <c r="AG368" s="220"/>
      <c r="AH368" s="221"/>
      <c r="AI368" s="221"/>
      <c r="AJ368" s="97" t="s">
        <v>203</v>
      </c>
      <c r="AK368" s="97" t="s">
        <v>190</v>
      </c>
      <c r="AL368" s="97" t="s">
        <v>190</v>
      </c>
      <c r="AM368" s="88" t="s">
        <v>2354</v>
      </c>
      <c r="AN368" s="22">
        <v>182</v>
      </c>
      <c r="AO368" s="22">
        <v>0</v>
      </c>
      <c r="AP368" s="22">
        <v>0</v>
      </c>
      <c r="AQ368" s="22">
        <v>0</v>
      </c>
      <c r="AR368" s="22">
        <v>0</v>
      </c>
      <c r="AS368" s="22">
        <v>7</v>
      </c>
      <c r="AT368" s="22">
        <v>10</v>
      </c>
      <c r="AU368" s="316">
        <f t="shared" si="56"/>
        <v>199</v>
      </c>
      <c r="AV368" s="22">
        <v>190</v>
      </c>
      <c r="AW368" s="22">
        <v>0</v>
      </c>
      <c r="AX368" s="22">
        <v>0</v>
      </c>
      <c r="AY368" s="22">
        <v>0</v>
      </c>
      <c r="AZ368" s="22">
        <v>0</v>
      </c>
      <c r="BA368" s="22">
        <v>7</v>
      </c>
      <c r="BB368" s="22">
        <v>10</v>
      </c>
      <c r="BC368" s="316">
        <f t="shared" si="57"/>
        <v>207</v>
      </c>
      <c r="BD368" s="58">
        <f t="shared" si="58"/>
        <v>8</v>
      </c>
      <c r="BE368" s="58">
        <f t="shared" si="59"/>
        <v>0</v>
      </c>
      <c r="BF368" s="58">
        <f t="shared" si="60"/>
        <v>0</v>
      </c>
      <c r="BG368" s="58">
        <f t="shared" si="61"/>
        <v>0</v>
      </c>
      <c r="BH368" s="58">
        <f t="shared" si="62"/>
        <v>0</v>
      </c>
      <c r="BI368" s="58">
        <f t="shared" si="63"/>
        <v>0</v>
      </c>
      <c r="BJ368" s="58">
        <f t="shared" si="64"/>
        <v>0</v>
      </c>
      <c r="BK368" s="58">
        <f t="shared" si="65"/>
        <v>8</v>
      </c>
    </row>
    <row r="369" spans="1:63" ht="27" customHeight="1">
      <c r="A369" s="13">
        <f t="shared" si="66"/>
        <v>367</v>
      </c>
      <c r="B369" s="14"/>
      <c r="C369" s="10">
        <v>2847</v>
      </c>
      <c r="D369" s="119" t="s">
        <v>2585</v>
      </c>
      <c r="E369" s="217" t="s">
        <v>2586</v>
      </c>
      <c r="F369" s="234" t="s">
        <v>1653</v>
      </c>
      <c r="G369" s="235" t="s">
        <v>1155</v>
      </c>
      <c r="H369" s="26" t="s">
        <v>2587</v>
      </c>
      <c r="I369" s="27" t="s">
        <v>2588</v>
      </c>
      <c r="J369" s="98" t="s">
        <v>178</v>
      </c>
      <c r="K369" s="28">
        <v>35747</v>
      </c>
      <c r="L369" s="82" t="s">
        <v>179</v>
      </c>
      <c r="M369" s="170">
        <v>43770</v>
      </c>
      <c r="N369" s="25">
        <v>43578</v>
      </c>
      <c r="O369" s="25" t="s">
        <v>34</v>
      </c>
      <c r="P369" s="18" t="s">
        <v>282</v>
      </c>
      <c r="Q369" s="18" t="s">
        <v>249</v>
      </c>
      <c r="R369" s="13" t="s">
        <v>182</v>
      </c>
      <c r="S369" s="13" t="s">
        <v>2505</v>
      </c>
      <c r="T369" s="175"/>
      <c r="U369" s="175"/>
      <c r="V369" s="21" t="s">
        <v>184</v>
      </c>
      <c r="W369" s="21" t="s">
        <v>200</v>
      </c>
      <c r="X369" s="1">
        <v>4</v>
      </c>
      <c r="Y369" s="176" t="s">
        <v>184</v>
      </c>
      <c r="Z369" s="86"/>
      <c r="AA369" s="86" t="s">
        <v>186</v>
      </c>
      <c r="AB369" s="1"/>
      <c r="AC369" s="123"/>
      <c r="AD369" s="219" t="s">
        <v>189</v>
      </c>
      <c r="AE369" s="218"/>
      <c r="AF369" s="219"/>
      <c r="AG369" s="220"/>
      <c r="AH369" s="221"/>
      <c r="AI369" s="221"/>
      <c r="AJ369" s="97" t="s">
        <v>203</v>
      </c>
      <c r="AK369" s="97" t="s">
        <v>190</v>
      </c>
      <c r="AL369" s="97" t="s">
        <v>190</v>
      </c>
      <c r="AM369" s="88" t="s">
        <v>2354</v>
      </c>
      <c r="AN369" s="22">
        <v>182</v>
      </c>
      <c r="AO369" s="22">
        <v>0</v>
      </c>
      <c r="AP369" s="22">
        <v>20</v>
      </c>
      <c r="AQ369" s="22">
        <v>0</v>
      </c>
      <c r="AR369" s="22">
        <v>0</v>
      </c>
      <c r="AS369" s="22">
        <v>7</v>
      </c>
      <c r="AT369" s="22">
        <v>10</v>
      </c>
      <c r="AU369" s="316">
        <f t="shared" si="56"/>
        <v>219</v>
      </c>
      <c r="AV369" s="22">
        <v>190</v>
      </c>
      <c r="AW369" s="22">
        <v>0</v>
      </c>
      <c r="AX369" s="22">
        <v>20</v>
      </c>
      <c r="AY369" s="22">
        <v>0</v>
      </c>
      <c r="AZ369" s="22">
        <v>0</v>
      </c>
      <c r="BA369" s="22">
        <v>7</v>
      </c>
      <c r="BB369" s="22">
        <v>10</v>
      </c>
      <c r="BC369" s="316">
        <f t="shared" si="57"/>
        <v>227</v>
      </c>
      <c r="BD369" s="58">
        <f t="shared" si="58"/>
        <v>8</v>
      </c>
      <c r="BE369" s="58">
        <f t="shared" si="59"/>
        <v>0</v>
      </c>
      <c r="BF369" s="58">
        <f t="shared" si="60"/>
        <v>0</v>
      </c>
      <c r="BG369" s="58">
        <f t="shared" si="61"/>
        <v>0</v>
      </c>
      <c r="BH369" s="58">
        <f t="shared" si="62"/>
        <v>0</v>
      </c>
      <c r="BI369" s="58">
        <f t="shared" si="63"/>
        <v>0</v>
      </c>
      <c r="BJ369" s="58">
        <f t="shared" si="64"/>
        <v>0</v>
      </c>
      <c r="BK369" s="58">
        <f t="shared" si="65"/>
        <v>8</v>
      </c>
    </row>
    <row r="370" spans="1:63" ht="27" customHeight="1">
      <c r="A370" s="13">
        <f t="shared" si="66"/>
        <v>368</v>
      </c>
      <c r="B370" s="14"/>
      <c r="C370" s="10">
        <v>2846</v>
      </c>
      <c r="D370" s="119" t="s">
        <v>2589</v>
      </c>
      <c r="E370" s="217" t="s">
        <v>2590</v>
      </c>
      <c r="F370" s="234" t="s">
        <v>2591</v>
      </c>
      <c r="G370" s="235" t="s">
        <v>2592</v>
      </c>
      <c r="H370" s="26" t="s">
        <v>2332</v>
      </c>
      <c r="I370" s="27" t="s">
        <v>2593</v>
      </c>
      <c r="J370" s="98" t="s">
        <v>178</v>
      </c>
      <c r="K370" s="28">
        <v>32006</v>
      </c>
      <c r="L370" s="82" t="s">
        <v>179</v>
      </c>
      <c r="M370" s="170">
        <v>43770</v>
      </c>
      <c r="N370" s="25">
        <v>43577</v>
      </c>
      <c r="O370" s="25" t="s">
        <v>34</v>
      </c>
      <c r="P370" s="18" t="s">
        <v>227</v>
      </c>
      <c r="Q370" s="18" t="s">
        <v>181</v>
      </c>
      <c r="R370" s="13" t="s">
        <v>182</v>
      </c>
      <c r="S370" s="13" t="s">
        <v>2430</v>
      </c>
      <c r="T370" s="175"/>
      <c r="U370" s="175"/>
      <c r="V370" s="21" t="s">
        <v>184</v>
      </c>
      <c r="W370" s="21" t="s">
        <v>184</v>
      </c>
      <c r="X370" s="1">
        <v>3</v>
      </c>
      <c r="Y370" s="176" t="s">
        <v>184</v>
      </c>
      <c r="Z370" s="86"/>
      <c r="AA370" s="86" t="s">
        <v>186</v>
      </c>
      <c r="AB370" s="1"/>
      <c r="AC370" s="123"/>
      <c r="AD370" s="218" t="s">
        <v>188</v>
      </c>
      <c r="AE370" s="218" t="s">
        <v>188</v>
      </c>
      <c r="AF370" s="219" t="s">
        <v>189</v>
      </c>
      <c r="AG370" s="220"/>
      <c r="AH370" s="221"/>
      <c r="AI370" s="221"/>
      <c r="AJ370" s="97" t="s">
        <v>203</v>
      </c>
      <c r="AK370" s="97" t="s">
        <v>190</v>
      </c>
      <c r="AL370" s="97" t="s">
        <v>190</v>
      </c>
      <c r="AM370" s="88" t="s">
        <v>2354</v>
      </c>
      <c r="AN370" s="22">
        <v>182</v>
      </c>
      <c r="AO370" s="22">
        <v>0</v>
      </c>
      <c r="AP370" s="22">
        <v>0</v>
      </c>
      <c r="AQ370" s="22">
        <v>0</v>
      </c>
      <c r="AR370" s="22">
        <v>0</v>
      </c>
      <c r="AS370" s="22">
        <v>7</v>
      </c>
      <c r="AT370" s="22">
        <v>10</v>
      </c>
      <c r="AU370" s="316">
        <f t="shared" si="56"/>
        <v>199</v>
      </c>
      <c r="AV370" s="22">
        <v>190</v>
      </c>
      <c r="AW370" s="22">
        <v>0</v>
      </c>
      <c r="AX370" s="22">
        <v>0</v>
      </c>
      <c r="AY370" s="22">
        <v>0</v>
      </c>
      <c r="AZ370" s="22">
        <v>0</v>
      </c>
      <c r="BA370" s="22">
        <v>7</v>
      </c>
      <c r="BB370" s="22">
        <v>10</v>
      </c>
      <c r="BC370" s="316">
        <f t="shared" si="57"/>
        <v>207</v>
      </c>
      <c r="BD370" s="58">
        <f t="shared" si="58"/>
        <v>8</v>
      </c>
      <c r="BE370" s="58">
        <f t="shared" si="59"/>
        <v>0</v>
      </c>
      <c r="BF370" s="58">
        <f t="shared" si="60"/>
        <v>0</v>
      </c>
      <c r="BG370" s="58">
        <f t="shared" si="61"/>
        <v>0</v>
      </c>
      <c r="BH370" s="58">
        <f t="shared" si="62"/>
        <v>0</v>
      </c>
      <c r="BI370" s="58">
        <f t="shared" si="63"/>
        <v>0</v>
      </c>
      <c r="BJ370" s="58">
        <f t="shared" si="64"/>
        <v>0</v>
      </c>
      <c r="BK370" s="58">
        <f t="shared" si="65"/>
        <v>8</v>
      </c>
    </row>
    <row r="371" spans="1:63" ht="27" customHeight="1">
      <c r="A371" s="13">
        <f t="shared" si="66"/>
        <v>369</v>
      </c>
      <c r="B371" s="14"/>
      <c r="C371" s="10">
        <v>2841</v>
      </c>
      <c r="D371" s="119" t="s">
        <v>2594</v>
      </c>
      <c r="E371" s="217" t="s">
        <v>2595</v>
      </c>
      <c r="F371" s="234" t="s">
        <v>321</v>
      </c>
      <c r="G371" s="235" t="s">
        <v>2596</v>
      </c>
      <c r="H371" s="26" t="s">
        <v>323</v>
      </c>
      <c r="I371" s="27" t="s">
        <v>2597</v>
      </c>
      <c r="J371" s="98" t="s">
        <v>178</v>
      </c>
      <c r="K371" s="28">
        <v>36542</v>
      </c>
      <c r="L371" s="82" t="s">
        <v>179</v>
      </c>
      <c r="M371" s="170">
        <v>43770</v>
      </c>
      <c r="N371" s="25">
        <v>43578</v>
      </c>
      <c r="O371" s="25" t="s">
        <v>34</v>
      </c>
      <c r="P371" s="18" t="s">
        <v>27</v>
      </c>
      <c r="Q371" s="18" t="s">
        <v>181</v>
      </c>
      <c r="R371" s="13" t="s">
        <v>182</v>
      </c>
      <c r="S371" s="13" t="s">
        <v>2598</v>
      </c>
      <c r="T371" s="175"/>
      <c r="U371" s="175"/>
      <c r="V371" s="21" t="s">
        <v>184</v>
      </c>
      <c r="W371" s="21" t="s">
        <v>184</v>
      </c>
      <c r="X371" s="1">
        <v>7</v>
      </c>
      <c r="Y371" s="176" t="s">
        <v>2599</v>
      </c>
      <c r="Z371" s="86" t="s">
        <v>186</v>
      </c>
      <c r="AA371" s="86"/>
      <c r="AB371" s="1"/>
      <c r="AC371" s="123"/>
      <c r="AD371" s="218"/>
      <c r="AE371" s="218"/>
      <c r="AF371" s="219"/>
      <c r="AG371" s="220"/>
      <c r="AH371" s="221"/>
      <c r="AI371" s="221"/>
      <c r="AJ371" s="97" t="s">
        <v>203</v>
      </c>
      <c r="AK371" s="97" t="s">
        <v>190</v>
      </c>
      <c r="AL371" s="97" t="s">
        <v>190</v>
      </c>
      <c r="AM371" s="88" t="s">
        <v>2354</v>
      </c>
      <c r="AN371" s="22">
        <v>182</v>
      </c>
      <c r="AO371" s="22">
        <v>0</v>
      </c>
      <c r="AP371" s="22">
        <v>0</v>
      </c>
      <c r="AQ371" s="22">
        <v>0</v>
      </c>
      <c r="AR371" s="22">
        <v>0</v>
      </c>
      <c r="AS371" s="22">
        <v>7</v>
      </c>
      <c r="AT371" s="22">
        <v>10</v>
      </c>
      <c r="AU371" s="316">
        <f t="shared" si="56"/>
        <v>199</v>
      </c>
      <c r="AV371" s="22">
        <v>190</v>
      </c>
      <c r="AW371" s="22">
        <v>0</v>
      </c>
      <c r="AX371" s="22">
        <v>0</v>
      </c>
      <c r="AY371" s="22">
        <v>0</v>
      </c>
      <c r="AZ371" s="22">
        <v>0</v>
      </c>
      <c r="BA371" s="22">
        <v>7</v>
      </c>
      <c r="BB371" s="22">
        <v>10</v>
      </c>
      <c r="BC371" s="316">
        <f t="shared" si="57"/>
        <v>207</v>
      </c>
      <c r="BD371" s="58">
        <f t="shared" si="58"/>
        <v>8</v>
      </c>
      <c r="BE371" s="58">
        <f t="shared" si="59"/>
        <v>0</v>
      </c>
      <c r="BF371" s="58">
        <f t="shared" si="60"/>
        <v>0</v>
      </c>
      <c r="BG371" s="58">
        <f t="shared" si="61"/>
        <v>0</v>
      </c>
      <c r="BH371" s="58">
        <f t="shared" si="62"/>
        <v>0</v>
      </c>
      <c r="BI371" s="58">
        <f t="shared" si="63"/>
        <v>0</v>
      </c>
      <c r="BJ371" s="58">
        <f t="shared" si="64"/>
        <v>0</v>
      </c>
      <c r="BK371" s="58">
        <f t="shared" si="65"/>
        <v>8</v>
      </c>
    </row>
    <row r="372" spans="1:63" ht="27" customHeight="1">
      <c r="A372" s="13">
        <f t="shared" si="66"/>
        <v>370</v>
      </c>
      <c r="B372" s="14"/>
      <c r="C372" s="10">
        <v>2831</v>
      </c>
      <c r="D372" s="119" t="s">
        <v>2600</v>
      </c>
      <c r="E372" s="217" t="s">
        <v>296</v>
      </c>
      <c r="F372" s="234" t="s">
        <v>2601</v>
      </c>
      <c r="G372" s="235" t="s">
        <v>2602</v>
      </c>
      <c r="H372" s="26" t="s">
        <v>85</v>
      </c>
      <c r="I372" s="27" t="s">
        <v>86</v>
      </c>
      <c r="J372" s="98" t="s">
        <v>209</v>
      </c>
      <c r="K372" s="28">
        <v>35160</v>
      </c>
      <c r="L372" s="82" t="s">
        <v>179</v>
      </c>
      <c r="M372" s="170">
        <v>43770</v>
      </c>
      <c r="N372" s="25">
        <v>43573</v>
      </c>
      <c r="O372" s="25" t="s">
        <v>87</v>
      </c>
      <c r="P372" s="18" t="s">
        <v>84</v>
      </c>
      <c r="Q372" s="18" t="s">
        <v>181</v>
      </c>
      <c r="R372" s="13" t="s">
        <v>182</v>
      </c>
      <c r="S372" s="13" t="s">
        <v>2359</v>
      </c>
      <c r="T372" s="175"/>
      <c r="U372" s="175"/>
      <c r="V372" s="21" t="s">
        <v>184</v>
      </c>
      <c r="W372" s="21" t="s">
        <v>184</v>
      </c>
      <c r="X372" s="1">
        <v>6</v>
      </c>
      <c r="Y372" s="176" t="s">
        <v>184</v>
      </c>
      <c r="Z372" s="86" t="s">
        <v>186</v>
      </c>
      <c r="AA372" s="86"/>
      <c r="AB372" s="1"/>
      <c r="AC372" s="123"/>
      <c r="AD372" s="218"/>
      <c r="AE372" s="218"/>
      <c r="AF372" s="219"/>
      <c r="AG372" s="220"/>
      <c r="AH372" s="221"/>
      <c r="AI372" s="221"/>
      <c r="AJ372" s="97" t="s">
        <v>203</v>
      </c>
      <c r="AK372" s="97" t="s">
        <v>190</v>
      </c>
      <c r="AL372" s="97" t="s">
        <v>190</v>
      </c>
      <c r="AM372" s="88" t="s">
        <v>2354</v>
      </c>
      <c r="AN372" s="22">
        <v>182</v>
      </c>
      <c r="AO372" s="22">
        <v>0</v>
      </c>
      <c r="AP372" s="22">
        <v>0</v>
      </c>
      <c r="AQ372" s="22">
        <v>0</v>
      </c>
      <c r="AR372" s="22">
        <v>0</v>
      </c>
      <c r="AS372" s="22">
        <v>7</v>
      </c>
      <c r="AT372" s="22">
        <v>10</v>
      </c>
      <c r="AU372" s="316">
        <f t="shared" si="56"/>
        <v>199</v>
      </c>
      <c r="AV372" s="22">
        <v>190</v>
      </c>
      <c r="AW372" s="22">
        <v>0</v>
      </c>
      <c r="AX372" s="22">
        <v>0</v>
      </c>
      <c r="AY372" s="22">
        <v>0</v>
      </c>
      <c r="AZ372" s="22">
        <v>0</v>
      </c>
      <c r="BA372" s="22">
        <v>7</v>
      </c>
      <c r="BB372" s="22">
        <v>10</v>
      </c>
      <c r="BC372" s="316">
        <f t="shared" si="57"/>
        <v>207</v>
      </c>
      <c r="BD372" s="58">
        <f t="shared" si="58"/>
        <v>8</v>
      </c>
      <c r="BE372" s="58">
        <f t="shared" si="59"/>
        <v>0</v>
      </c>
      <c r="BF372" s="58">
        <f t="shared" si="60"/>
        <v>0</v>
      </c>
      <c r="BG372" s="58">
        <f t="shared" si="61"/>
        <v>0</v>
      </c>
      <c r="BH372" s="58">
        <f t="shared" si="62"/>
        <v>0</v>
      </c>
      <c r="BI372" s="58">
        <f t="shared" si="63"/>
        <v>0</v>
      </c>
      <c r="BJ372" s="58">
        <f t="shared" si="64"/>
        <v>0</v>
      </c>
      <c r="BK372" s="58">
        <f t="shared" si="65"/>
        <v>8</v>
      </c>
    </row>
    <row r="373" spans="1:63" ht="27" customHeight="1">
      <c r="A373" s="13">
        <f t="shared" si="66"/>
        <v>371</v>
      </c>
      <c r="B373" s="14"/>
      <c r="C373" s="10">
        <v>2851</v>
      </c>
      <c r="D373" s="119" t="s">
        <v>2603</v>
      </c>
      <c r="E373" s="217" t="s">
        <v>2604</v>
      </c>
      <c r="F373" s="234" t="s">
        <v>1877</v>
      </c>
      <c r="G373" s="235" t="s">
        <v>994</v>
      </c>
      <c r="H373" s="26" t="s">
        <v>88</v>
      </c>
      <c r="I373" s="27" t="s">
        <v>89</v>
      </c>
      <c r="J373" s="98" t="s">
        <v>209</v>
      </c>
      <c r="K373" s="28">
        <v>35160</v>
      </c>
      <c r="L373" s="82" t="s">
        <v>179</v>
      </c>
      <c r="M373" s="170">
        <v>43770</v>
      </c>
      <c r="N373" s="25">
        <v>43573</v>
      </c>
      <c r="O373" s="25" t="s">
        <v>87</v>
      </c>
      <c r="P373" s="18" t="s">
        <v>84</v>
      </c>
      <c r="Q373" s="18" t="s">
        <v>181</v>
      </c>
      <c r="R373" s="13" t="s">
        <v>182</v>
      </c>
      <c r="S373" s="13" t="s">
        <v>2430</v>
      </c>
      <c r="T373" s="175"/>
      <c r="U373" s="175"/>
      <c r="V373" s="21" t="s">
        <v>184</v>
      </c>
      <c r="W373" s="21" t="s">
        <v>200</v>
      </c>
      <c r="X373" s="1">
        <v>8</v>
      </c>
      <c r="Y373" s="176" t="s">
        <v>2605</v>
      </c>
      <c r="Z373" s="86"/>
      <c r="AA373" s="86" t="s">
        <v>186</v>
      </c>
      <c r="AB373" s="1"/>
      <c r="AC373" s="123"/>
      <c r="AD373" s="218"/>
      <c r="AE373" s="218"/>
      <c r="AF373" s="219"/>
      <c r="AG373" s="220"/>
      <c r="AH373" s="221"/>
      <c r="AI373" s="221"/>
      <c r="AJ373" s="97" t="s">
        <v>203</v>
      </c>
      <c r="AK373" s="97" t="s">
        <v>190</v>
      </c>
      <c r="AL373" s="97" t="s">
        <v>190</v>
      </c>
      <c r="AM373" s="88" t="s">
        <v>2354</v>
      </c>
      <c r="AN373" s="22">
        <v>182</v>
      </c>
      <c r="AO373" s="22">
        <v>0</v>
      </c>
      <c r="AP373" s="22">
        <v>0</v>
      </c>
      <c r="AQ373" s="22">
        <v>20</v>
      </c>
      <c r="AR373" s="22">
        <v>0</v>
      </c>
      <c r="AS373" s="22">
        <v>7</v>
      </c>
      <c r="AT373" s="22">
        <v>10</v>
      </c>
      <c r="AU373" s="316">
        <f t="shared" si="56"/>
        <v>219</v>
      </c>
      <c r="AV373" s="22">
        <v>190</v>
      </c>
      <c r="AW373" s="22">
        <v>0</v>
      </c>
      <c r="AX373" s="22">
        <v>0</v>
      </c>
      <c r="AY373" s="22">
        <v>20</v>
      </c>
      <c r="AZ373" s="22">
        <v>0</v>
      </c>
      <c r="BA373" s="22">
        <v>7</v>
      </c>
      <c r="BB373" s="22">
        <v>10</v>
      </c>
      <c r="BC373" s="316">
        <f t="shared" si="57"/>
        <v>227</v>
      </c>
      <c r="BD373" s="58">
        <f t="shared" si="58"/>
        <v>8</v>
      </c>
      <c r="BE373" s="58">
        <f t="shared" si="59"/>
        <v>0</v>
      </c>
      <c r="BF373" s="58">
        <f t="shared" si="60"/>
        <v>0</v>
      </c>
      <c r="BG373" s="58">
        <f t="shared" si="61"/>
        <v>0</v>
      </c>
      <c r="BH373" s="58">
        <f t="shared" si="62"/>
        <v>0</v>
      </c>
      <c r="BI373" s="58">
        <f t="shared" si="63"/>
        <v>0</v>
      </c>
      <c r="BJ373" s="58">
        <f t="shared" si="64"/>
        <v>0</v>
      </c>
      <c r="BK373" s="58">
        <f t="shared" si="65"/>
        <v>8</v>
      </c>
    </row>
    <row r="374" spans="1:63" ht="27" customHeight="1">
      <c r="A374" s="13">
        <f t="shared" si="66"/>
        <v>372</v>
      </c>
      <c r="B374" s="14"/>
      <c r="C374" s="10">
        <v>2857</v>
      </c>
      <c r="D374" s="119" t="s">
        <v>2606</v>
      </c>
      <c r="E374" s="217" t="s">
        <v>2607</v>
      </c>
      <c r="F374" s="234" t="s">
        <v>2608</v>
      </c>
      <c r="G374" s="235" t="s">
        <v>494</v>
      </c>
      <c r="H374" s="26" t="s">
        <v>2609</v>
      </c>
      <c r="I374" s="27" t="s">
        <v>2610</v>
      </c>
      <c r="J374" s="98" t="s">
        <v>178</v>
      </c>
      <c r="K374" s="28">
        <v>23961</v>
      </c>
      <c r="L374" s="82" t="s">
        <v>179</v>
      </c>
      <c r="M374" s="170">
        <v>43770</v>
      </c>
      <c r="N374" s="25">
        <v>43579</v>
      </c>
      <c r="O374" s="25" t="s">
        <v>34</v>
      </c>
      <c r="P374" s="18" t="s">
        <v>199</v>
      </c>
      <c r="Q374" s="18" t="s">
        <v>181</v>
      </c>
      <c r="R374" s="13" t="s">
        <v>182</v>
      </c>
      <c r="S374" s="13" t="s">
        <v>2505</v>
      </c>
      <c r="T374" s="175"/>
      <c r="U374" s="175"/>
      <c r="V374" s="21" t="s">
        <v>184</v>
      </c>
      <c r="W374" s="21" t="s">
        <v>200</v>
      </c>
      <c r="X374" s="1">
        <v>3</v>
      </c>
      <c r="Y374" s="176" t="s">
        <v>2611</v>
      </c>
      <c r="Z374" s="86"/>
      <c r="AA374" s="86" t="s">
        <v>186</v>
      </c>
      <c r="AB374" s="1"/>
      <c r="AC374" s="123"/>
      <c r="AD374" s="218"/>
      <c r="AE374" s="218"/>
      <c r="AF374" s="219"/>
      <c r="AG374" s="220"/>
      <c r="AH374" s="221"/>
      <c r="AI374" s="221"/>
      <c r="AJ374" s="97" t="s">
        <v>203</v>
      </c>
      <c r="AK374" s="97" t="s">
        <v>190</v>
      </c>
      <c r="AL374" s="97" t="s">
        <v>190</v>
      </c>
      <c r="AM374" s="88" t="s">
        <v>2354</v>
      </c>
      <c r="AN374" s="22">
        <v>182</v>
      </c>
      <c r="AO374" s="22">
        <v>0</v>
      </c>
      <c r="AP374" s="22">
        <v>20</v>
      </c>
      <c r="AQ374" s="22">
        <v>0</v>
      </c>
      <c r="AR374" s="22">
        <v>0</v>
      </c>
      <c r="AS374" s="22">
        <v>7</v>
      </c>
      <c r="AT374" s="22">
        <v>10</v>
      </c>
      <c r="AU374" s="316">
        <f t="shared" si="56"/>
        <v>219</v>
      </c>
      <c r="AV374" s="22">
        <v>190</v>
      </c>
      <c r="AW374" s="22">
        <v>0</v>
      </c>
      <c r="AX374" s="22">
        <v>20</v>
      </c>
      <c r="AY374" s="22">
        <v>0</v>
      </c>
      <c r="AZ374" s="22">
        <v>0</v>
      </c>
      <c r="BA374" s="22">
        <v>7</v>
      </c>
      <c r="BB374" s="22">
        <v>10</v>
      </c>
      <c r="BC374" s="316">
        <f t="shared" si="57"/>
        <v>227</v>
      </c>
      <c r="BD374" s="58">
        <f t="shared" si="58"/>
        <v>8</v>
      </c>
      <c r="BE374" s="58">
        <f t="shared" si="59"/>
        <v>0</v>
      </c>
      <c r="BF374" s="58">
        <f t="shared" si="60"/>
        <v>0</v>
      </c>
      <c r="BG374" s="58">
        <f t="shared" si="61"/>
        <v>0</v>
      </c>
      <c r="BH374" s="58">
        <f t="shared" si="62"/>
        <v>0</v>
      </c>
      <c r="BI374" s="58">
        <f t="shared" si="63"/>
        <v>0</v>
      </c>
      <c r="BJ374" s="58">
        <f t="shared" si="64"/>
        <v>0</v>
      </c>
      <c r="BK374" s="58">
        <f t="shared" si="65"/>
        <v>8</v>
      </c>
    </row>
    <row r="375" spans="1:63" ht="27" customHeight="1">
      <c r="A375" s="13">
        <f t="shared" si="66"/>
        <v>373</v>
      </c>
      <c r="B375" s="14"/>
      <c r="C375" s="10">
        <v>2833</v>
      </c>
      <c r="D375" s="119" t="s">
        <v>2612</v>
      </c>
      <c r="E375" s="217" t="s">
        <v>2613</v>
      </c>
      <c r="F375" s="234" t="s">
        <v>2614</v>
      </c>
      <c r="G375" s="235" t="s">
        <v>2615</v>
      </c>
      <c r="H375" s="26" t="s">
        <v>2616</v>
      </c>
      <c r="I375" s="27" t="s">
        <v>2617</v>
      </c>
      <c r="J375" s="98" t="s">
        <v>178</v>
      </c>
      <c r="K375" s="28">
        <v>32253</v>
      </c>
      <c r="L375" s="82" t="s">
        <v>179</v>
      </c>
      <c r="M375" s="170">
        <v>43770</v>
      </c>
      <c r="N375" s="25">
        <v>43578</v>
      </c>
      <c r="O375" s="25" t="s">
        <v>34</v>
      </c>
      <c r="P375" s="18" t="s">
        <v>309</v>
      </c>
      <c r="Q375" s="18" t="s">
        <v>181</v>
      </c>
      <c r="R375" s="13" t="s">
        <v>182</v>
      </c>
      <c r="S375" s="13" t="s">
        <v>2430</v>
      </c>
      <c r="T375" s="175"/>
      <c r="U375" s="175"/>
      <c r="V375" s="21" t="s">
        <v>200</v>
      </c>
      <c r="W375" s="21" t="s">
        <v>200</v>
      </c>
      <c r="X375" s="1">
        <v>8</v>
      </c>
      <c r="Y375" s="176" t="s">
        <v>2618</v>
      </c>
      <c r="Z375" s="86"/>
      <c r="AA375" s="86" t="s">
        <v>186</v>
      </c>
      <c r="AB375" s="1"/>
      <c r="AC375" s="123"/>
      <c r="AD375" s="219" t="s">
        <v>189</v>
      </c>
      <c r="AE375" s="218"/>
      <c r="AF375" s="219"/>
      <c r="AG375" s="220"/>
      <c r="AH375" s="221"/>
      <c r="AI375" s="221"/>
      <c r="AJ375" s="97" t="s">
        <v>203</v>
      </c>
      <c r="AK375" s="97" t="s">
        <v>190</v>
      </c>
      <c r="AL375" s="97" t="s">
        <v>190</v>
      </c>
      <c r="AM375" s="88" t="s">
        <v>2354</v>
      </c>
      <c r="AN375" s="22">
        <v>182</v>
      </c>
      <c r="AO375" s="22">
        <v>0</v>
      </c>
      <c r="AP375" s="22">
        <v>0</v>
      </c>
      <c r="AQ375" s="22">
        <v>0</v>
      </c>
      <c r="AR375" s="22">
        <v>0</v>
      </c>
      <c r="AS375" s="22">
        <v>7</v>
      </c>
      <c r="AT375" s="22">
        <v>10</v>
      </c>
      <c r="AU375" s="316">
        <f t="shared" si="56"/>
        <v>199</v>
      </c>
      <c r="AV375" s="22">
        <v>190</v>
      </c>
      <c r="AW375" s="22">
        <v>0</v>
      </c>
      <c r="AX375" s="22">
        <v>0</v>
      </c>
      <c r="AY375" s="22">
        <v>0</v>
      </c>
      <c r="AZ375" s="22">
        <v>0</v>
      </c>
      <c r="BA375" s="22">
        <v>7</v>
      </c>
      <c r="BB375" s="22">
        <v>10</v>
      </c>
      <c r="BC375" s="316">
        <f t="shared" si="57"/>
        <v>207</v>
      </c>
      <c r="BD375" s="58">
        <f t="shared" si="58"/>
        <v>8</v>
      </c>
      <c r="BE375" s="58">
        <f t="shared" si="59"/>
        <v>0</v>
      </c>
      <c r="BF375" s="58">
        <f t="shared" si="60"/>
        <v>0</v>
      </c>
      <c r="BG375" s="58">
        <f t="shared" si="61"/>
        <v>0</v>
      </c>
      <c r="BH375" s="58">
        <f t="shared" si="62"/>
        <v>0</v>
      </c>
      <c r="BI375" s="58">
        <f t="shared" si="63"/>
        <v>0</v>
      </c>
      <c r="BJ375" s="58">
        <f t="shared" si="64"/>
        <v>0</v>
      </c>
      <c r="BK375" s="58">
        <f t="shared" si="65"/>
        <v>8</v>
      </c>
    </row>
    <row r="376" spans="1:63" ht="27" customHeight="1">
      <c r="A376" s="13">
        <f t="shared" si="66"/>
        <v>374</v>
      </c>
      <c r="B376" s="14"/>
      <c r="C376" s="10">
        <v>2837</v>
      </c>
      <c r="D376" s="119" t="s">
        <v>2619</v>
      </c>
      <c r="E376" s="217" t="s">
        <v>2620</v>
      </c>
      <c r="F376" s="234" t="s">
        <v>457</v>
      </c>
      <c r="G376" s="235" t="s">
        <v>2621</v>
      </c>
      <c r="H376" s="26" t="s">
        <v>2526</v>
      </c>
      <c r="I376" s="27" t="s">
        <v>2622</v>
      </c>
      <c r="J376" s="98" t="s">
        <v>178</v>
      </c>
      <c r="K376" s="28">
        <v>31786</v>
      </c>
      <c r="L376" s="82" t="s">
        <v>179</v>
      </c>
      <c r="M376" s="170">
        <v>43770</v>
      </c>
      <c r="N376" s="25">
        <v>43575</v>
      </c>
      <c r="O376" s="25" t="s">
        <v>34</v>
      </c>
      <c r="P376" s="18" t="s">
        <v>512</v>
      </c>
      <c r="Q376" s="18" t="s">
        <v>181</v>
      </c>
      <c r="R376" s="13" t="s">
        <v>182</v>
      </c>
      <c r="S376" s="13" t="s">
        <v>2505</v>
      </c>
      <c r="T376" s="175"/>
      <c r="U376" s="175"/>
      <c r="V376" s="21" t="s">
        <v>184</v>
      </c>
      <c r="W376" s="21" t="s">
        <v>184</v>
      </c>
      <c r="X376" s="1">
        <v>3</v>
      </c>
      <c r="Y376" s="176" t="s">
        <v>2623</v>
      </c>
      <c r="Z376" s="86"/>
      <c r="AA376" s="86" t="s">
        <v>186</v>
      </c>
      <c r="AB376" s="1"/>
      <c r="AC376" s="123"/>
      <c r="AD376" s="218" t="s">
        <v>188</v>
      </c>
      <c r="AE376" s="218"/>
      <c r="AF376" s="219"/>
      <c r="AG376" s="220"/>
      <c r="AH376" s="221"/>
      <c r="AI376" s="221"/>
      <c r="AJ376" s="97" t="s">
        <v>203</v>
      </c>
      <c r="AK376" s="97" t="s">
        <v>190</v>
      </c>
      <c r="AL376" s="97" t="s">
        <v>190</v>
      </c>
      <c r="AM376" s="88" t="s">
        <v>2354</v>
      </c>
      <c r="AN376" s="22">
        <v>182</v>
      </c>
      <c r="AO376" s="22">
        <v>0</v>
      </c>
      <c r="AP376" s="22">
        <v>0</v>
      </c>
      <c r="AQ376" s="22">
        <v>0</v>
      </c>
      <c r="AR376" s="22">
        <v>0</v>
      </c>
      <c r="AS376" s="22">
        <v>7</v>
      </c>
      <c r="AT376" s="22">
        <v>10</v>
      </c>
      <c r="AU376" s="316">
        <f t="shared" si="56"/>
        <v>199</v>
      </c>
      <c r="AV376" s="22">
        <v>190</v>
      </c>
      <c r="AW376" s="22">
        <v>0</v>
      </c>
      <c r="AX376" s="22">
        <v>0</v>
      </c>
      <c r="AY376" s="22">
        <v>0</v>
      </c>
      <c r="AZ376" s="22">
        <v>0</v>
      </c>
      <c r="BA376" s="22">
        <v>7</v>
      </c>
      <c r="BB376" s="22">
        <v>10</v>
      </c>
      <c r="BC376" s="316">
        <f t="shared" si="57"/>
        <v>207</v>
      </c>
      <c r="BD376" s="58">
        <f t="shared" si="58"/>
        <v>8</v>
      </c>
      <c r="BE376" s="58">
        <f t="shared" si="59"/>
        <v>0</v>
      </c>
      <c r="BF376" s="58">
        <f t="shared" si="60"/>
        <v>0</v>
      </c>
      <c r="BG376" s="58">
        <f t="shared" si="61"/>
        <v>0</v>
      </c>
      <c r="BH376" s="58">
        <f t="shared" si="62"/>
        <v>0</v>
      </c>
      <c r="BI376" s="58">
        <f t="shared" si="63"/>
        <v>0</v>
      </c>
      <c r="BJ376" s="58">
        <f t="shared" si="64"/>
        <v>0</v>
      </c>
      <c r="BK376" s="58">
        <f t="shared" si="65"/>
        <v>8</v>
      </c>
    </row>
    <row r="377" spans="1:63" ht="27" customHeight="1">
      <c r="A377" s="13">
        <f t="shared" si="66"/>
        <v>375</v>
      </c>
      <c r="B377" s="14"/>
      <c r="C377" s="10">
        <v>2829</v>
      </c>
      <c r="D377" s="119" t="s">
        <v>2624</v>
      </c>
      <c r="E377" s="217" t="s">
        <v>2625</v>
      </c>
      <c r="F377" s="234" t="s">
        <v>2626</v>
      </c>
      <c r="G377" s="235" t="s">
        <v>2627</v>
      </c>
      <c r="H377" s="26" t="s">
        <v>2628</v>
      </c>
      <c r="I377" s="27" t="s">
        <v>2629</v>
      </c>
      <c r="J377" s="98" t="s">
        <v>178</v>
      </c>
      <c r="K377" s="28">
        <v>31269</v>
      </c>
      <c r="L377" s="82" t="s">
        <v>179</v>
      </c>
      <c r="M377" s="170">
        <v>43770</v>
      </c>
      <c r="N377" s="25">
        <v>43574</v>
      </c>
      <c r="O377" s="25" t="s">
        <v>34</v>
      </c>
      <c r="P377" s="18" t="s">
        <v>339</v>
      </c>
      <c r="Q377" s="18" t="s">
        <v>181</v>
      </c>
      <c r="R377" s="13" t="s">
        <v>182</v>
      </c>
      <c r="S377" s="13" t="s">
        <v>2359</v>
      </c>
      <c r="T377" s="175"/>
      <c r="U377" s="175"/>
      <c r="V377" s="21" t="s">
        <v>184</v>
      </c>
      <c r="W377" s="21" t="s">
        <v>184</v>
      </c>
      <c r="X377" s="1" t="s">
        <v>184</v>
      </c>
      <c r="Y377" s="176" t="s">
        <v>184</v>
      </c>
      <c r="Z377" s="86"/>
      <c r="AA377" s="86"/>
      <c r="AB377" s="86" t="s">
        <v>186</v>
      </c>
      <c r="AC377" s="123"/>
      <c r="AD377" s="218" t="s">
        <v>188</v>
      </c>
      <c r="AE377" s="218"/>
      <c r="AF377" s="219"/>
      <c r="AG377" s="220"/>
      <c r="AH377" s="221"/>
      <c r="AI377" s="221"/>
      <c r="AJ377" s="97" t="s">
        <v>203</v>
      </c>
      <c r="AK377" s="97" t="s">
        <v>190</v>
      </c>
      <c r="AL377" s="97" t="s">
        <v>190</v>
      </c>
      <c r="AM377" s="88" t="s">
        <v>2354</v>
      </c>
      <c r="AN377" s="22">
        <v>182</v>
      </c>
      <c r="AO377" s="22">
        <v>0</v>
      </c>
      <c r="AP377" s="22">
        <v>0</v>
      </c>
      <c r="AQ377" s="22">
        <v>0</v>
      </c>
      <c r="AR377" s="22">
        <v>0</v>
      </c>
      <c r="AS377" s="22">
        <v>7</v>
      </c>
      <c r="AT377" s="22">
        <v>10</v>
      </c>
      <c r="AU377" s="316">
        <f t="shared" si="56"/>
        <v>199</v>
      </c>
      <c r="AV377" s="22">
        <v>190</v>
      </c>
      <c r="AW377" s="22">
        <v>0</v>
      </c>
      <c r="AX377" s="22">
        <v>0</v>
      </c>
      <c r="AY377" s="22">
        <v>0</v>
      </c>
      <c r="AZ377" s="22">
        <v>0</v>
      </c>
      <c r="BA377" s="22">
        <v>7</v>
      </c>
      <c r="BB377" s="22">
        <v>10</v>
      </c>
      <c r="BC377" s="316">
        <f t="shared" si="57"/>
        <v>207</v>
      </c>
      <c r="BD377" s="58">
        <f t="shared" si="58"/>
        <v>8</v>
      </c>
      <c r="BE377" s="58">
        <f t="shared" si="59"/>
        <v>0</v>
      </c>
      <c r="BF377" s="58">
        <f t="shared" si="60"/>
        <v>0</v>
      </c>
      <c r="BG377" s="58">
        <f t="shared" si="61"/>
        <v>0</v>
      </c>
      <c r="BH377" s="58">
        <f t="shared" si="62"/>
        <v>0</v>
      </c>
      <c r="BI377" s="58">
        <f t="shared" si="63"/>
        <v>0</v>
      </c>
      <c r="BJ377" s="58">
        <f t="shared" si="64"/>
        <v>0</v>
      </c>
      <c r="BK377" s="58">
        <f t="shared" si="65"/>
        <v>8</v>
      </c>
    </row>
    <row r="378" spans="1:63" ht="27" customHeight="1">
      <c r="A378" s="13">
        <f t="shared" si="66"/>
        <v>376</v>
      </c>
      <c r="B378" s="14"/>
      <c r="C378" s="10">
        <v>2821</v>
      </c>
      <c r="D378" s="119" t="s">
        <v>2630</v>
      </c>
      <c r="E378" s="217" t="s">
        <v>2631</v>
      </c>
      <c r="F378" s="234" t="s">
        <v>2632</v>
      </c>
      <c r="G378" s="235" t="s">
        <v>2241</v>
      </c>
      <c r="H378" s="26" t="s">
        <v>2633</v>
      </c>
      <c r="I378" s="27" t="s">
        <v>2634</v>
      </c>
      <c r="J378" s="98" t="s">
        <v>178</v>
      </c>
      <c r="K378" s="28">
        <v>28709</v>
      </c>
      <c r="L378" s="82" t="s">
        <v>179</v>
      </c>
      <c r="M378" s="170">
        <v>43739</v>
      </c>
      <c r="N378" s="25">
        <v>43560</v>
      </c>
      <c r="O378" s="25" t="s">
        <v>34</v>
      </c>
      <c r="P378" s="18" t="s">
        <v>27</v>
      </c>
      <c r="Q378" s="18" t="s">
        <v>181</v>
      </c>
      <c r="R378" s="13" t="s">
        <v>182</v>
      </c>
      <c r="S378" s="13" t="s">
        <v>1374</v>
      </c>
      <c r="T378" s="175"/>
      <c r="U378" s="175"/>
      <c r="V378" s="21" t="s">
        <v>184</v>
      </c>
      <c r="W378" s="21" t="s">
        <v>184</v>
      </c>
      <c r="X378" s="1">
        <v>8</v>
      </c>
      <c r="Y378" s="176" t="s">
        <v>2635</v>
      </c>
      <c r="Z378" s="86"/>
      <c r="AA378" s="86" t="s">
        <v>186</v>
      </c>
      <c r="AB378" s="1"/>
      <c r="AC378" s="123"/>
      <c r="AD378" s="218" t="s">
        <v>188</v>
      </c>
      <c r="AE378" s="219" t="s">
        <v>189</v>
      </c>
      <c r="AF378" s="219"/>
      <c r="AG378" s="220"/>
      <c r="AH378" s="221"/>
      <c r="AI378" s="221"/>
      <c r="AJ378" s="97" t="s">
        <v>203</v>
      </c>
      <c r="AK378" s="97" t="s">
        <v>190</v>
      </c>
      <c r="AL378" s="97" t="s">
        <v>190</v>
      </c>
      <c r="AM378" s="88" t="s">
        <v>2354</v>
      </c>
      <c r="AN378" s="22">
        <v>182</v>
      </c>
      <c r="AO378" s="22">
        <v>0</v>
      </c>
      <c r="AP378" s="22">
        <v>0</v>
      </c>
      <c r="AQ378" s="22">
        <v>0</v>
      </c>
      <c r="AR378" s="22">
        <v>0</v>
      </c>
      <c r="AS378" s="22">
        <v>7</v>
      </c>
      <c r="AT378" s="22">
        <v>10</v>
      </c>
      <c r="AU378" s="316">
        <f t="shared" si="56"/>
        <v>199</v>
      </c>
      <c r="AV378" s="22">
        <v>190</v>
      </c>
      <c r="AW378" s="22">
        <v>0</v>
      </c>
      <c r="AX378" s="22">
        <v>0</v>
      </c>
      <c r="AY378" s="22">
        <v>0</v>
      </c>
      <c r="AZ378" s="22">
        <v>0</v>
      </c>
      <c r="BA378" s="22">
        <v>7</v>
      </c>
      <c r="BB378" s="22">
        <v>10</v>
      </c>
      <c r="BC378" s="316">
        <f t="shared" si="57"/>
        <v>207</v>
      </c>
      <c r="BD378" s="58">
        <f t="shared" si="58"/>
        <v>8</v>
      </c>
      <c r="BE378" s="58">
        <f t="shared" si="59"/>
        <v>0</v>
      </c>
      <c r="BF378" s="58">
        <f t="shared" si="60"/>
        <v>0</v>
      </c>
      <c r="BG378" s="58">
        <f t="shared" si="61"/>
        <v>0</v>
      </c>
      <c r="BH378" s="58">
        <f t="shared" si="62"/>
        <v>0</v>
      </c>
      <c r="BI378" s="58">
        <f t="shared" si="63"/>
        <v>0</v>
      </c>
      <c r="BJ378" s="58">
        <f t="shared" si="64"/>
        <v>0</v>
      </c>
      <c r="BK378" s="58">
        <f t="shared" si="65"/>
        <v>8</v>
      </c>
    </row>
    <row r="379" spans="1:63" ht="27" customHeight="1">
      <c r="A379" s="13">
        <f t="shared" si="66"/>
        <v>377</v>
      </c>
      <c r="B379" s="14"/>
      <c r="C379" s="10">
        <v>2890</v>
      </c>
      <c r="D379" s="119" t="s">
        <v>2636</v>
      </c>
      <c r="E379" s="217" t="s">
        <v>2637</v>
      </c>
      <c r="F379" s="234" t="s">
        <v>2638</v>
      </c>
      <c r="G379" s="235" t="s">
        <v>2281</v>
      </c>
      <c r="H379" s="26" t="s">
        <v>43</v>
      </c>
      <c r="I379" s="27" t="s">
        <v>44</v>
      </c>
      <c r="J379" s="98" t="s">
        <v>209</v>
      </c>
      <c r="K379" s="28">
        <v>34920</v>
      </c>
      <c r="L379" s="82" t="s">
        <v>179</v>
      </c>
      <c r="M379" s="170">
        <v>43770</v>
      </c>
      <c r="N379" s="25">
        <v>43587</v>
      </c>
      <c r="O379" s="25" t="s">
        <v>34</v>
      </c>
      <c r="P379" s="18" t="s">
        <v>15</v>
      </c>
      <c r="Q379" s="18" t="s">
        <v>181</v>
      </c>
      <c r="R379" s="13" t="s">
        <v>182</v>
      </c>
      <c r="S379" s="13" t="s">
        <v>2359</v>
      </c>
      <c r="T379" s="175"/>
      <c r="U379" s="175"/>
      <c r="V379" s="21" t="s">
        <v>184</v>
      </c>
      <c r="W379" s="21" t="s">
        <v>184</v>
      </c>
      <c r="X379" s="1">
        <v>5</v>
      </c>
      <c r="Y379" s="176" t="s">
        <v>2639</v>
      </c>
      <c r="Z379" s="86" t="s">
        <v>186</v>
      </c>
      <c r="AA379" s="86"/>
      <c r="AB379" s="1"/>
      <c r="AC379" s="123"/>
      <c r="AD379" s="218"/>
      <c r="AE379" s="218"/>
      <c r="AF379" s="219"/>
      <c r="AG379" s="220"/>
      <c r="AH379" s="221"/>
      <c r="AI379" s="221"/>
      <c r="AJ379" s="97" t="s">
        <v>203</v>
      </c>
      <c r="AK379" s="97" t="s">
        <v>190</v>
      </c>
      <c r="AL379" s="97" t="s">
        <v>190</v>
      </c>
      <c r="AM379" s="88" t="s">
        <v>2354</v>
      </c>
      <c r="AN379" s="22">
        <v>182</v>
      </c>
      <c r="AO379" s="22">
        <v>0</v>
      </c>
      <c r="AP379" s="22">
        <v>0</v>
      </c>
      <c r="AQ379" s="22">
        <v>0</v>
      </c>
      <c r="AR379" s="22">
        <v>0</v>
      </c>
      <c r="AS379" s="22">
        <v>7</v>
      </c>
      <c r="AT379" s="22">
        <v>10</v>
      </c>
      <c r="AU379" s="316">
        <f t="shared" si="56"/>
        <v>199</v>
      </c>
      <c r="AV379" s="22">
        <v>190</v>
      </c>
      <c r="AW379" s="22">
        <v>0</v>
      </c>
      <c r="AX379" s="22">
        <v>0</v>
      </c>
      <c r="AY379" s="22">
        <v>0</v>
      </c>
      <c r="AZ379" s="22">
        <v>0</v>
      </c>
      <c r="BA379" s="22">
        <v>7</v>
      </c>
      <c r="BB379" s="22">
        <v>10</v>
      </c>
      <c r="BC379" s="316">
        <f t="shared" si="57"/>
        <v>207</v>
      </c>
      <c r="BD379" s="58">
        <f t="shared" si="58"/>
        <v>8</v>
      </c>
      <c r="BE379" s="58">
        <f t="shared" si="59"/>
        <v>0</v>
      </c>
      <c r="BF379" s="58">
        <f t="shared" si="60"/>
        <v>0</v>
      </c>
      <c r="BG379" s="58">
        <f t="shared" si="61"/>
        <v>0</v>
      </c>
      <c r="BH379" s="58">
        <f t="shared" si="62"/>
        <v>0</v>
      </c>
      <c r="BI379" s="58">
        <f t="shared" si="63"/>
        <v>0</v>
      </c>
      <c r="BJ379" s="58">
        <f t="shared" si="64"/>
        <v>0</v>
      </c>
      <c r="BK379" s="58">
        <f t="shared" si="65"/>
        <v>8</v>
      </c>
    </row>
    <row r="380" spans="1:63" ht="27" customHeight="1">
      <c r="A380" s="13">
        <f t="shared" si="66"/>
        <v>378</v>
      </c>
      <c r="B380" s="14"/>
      <c r="C380" s="10">
        <v>2885</v>
      </c>
      <c r="D380" s="119" t="s">
        <v>2640</v>
      </c>
      <c r="E380" s="217" t="s">
        <v>2641</v>
      </c>
      <c r="F380" s="234" t="s">
        <v>2642</v>
      </c>
      <c r="G380" s="235" t="s">
        <v>2643</v>
      </c>
      <c r="H380" s="26" t="s">
        <v>2644</v>
      </c>
      <c r="I380" s="27" t="s">
        <v>2645</v>
      </c>
      <c r="J380" s="98" t="s">
        <v>178</v>
      </c>
      <c r="K380" s="28">
        <v>36861</v>
      </c>
      <c r="L380" s="82" t="s">
        <v>179</v>
      </c>
      <c r="M380" s="170">
        <v>43770</v>
      </c>
      <c r="N380" s="25">
        <v>43588</v>
      </c>
      <c r="O380" s="25" t="s">
        <v>34</v>
      </c>
      <c r="P380" s="18" t="s">
        <v>227</v>
      </c>
      <c r="Q380" s="18" t="s">
        <v>181</v>
      </c>
      <c r="R380" s="13" t="s">
        <v>182</v>
      </c>
      <c r="S380" s="13" t="s">
        <v>2397</v>
      </c>
      <c r="T380" s="175"/>
      <c r="U380" s="175"/>
      <c r="V380" s="21" t="s">
        <v>184</v>
      </c>
      <c r="W380" s="21" t="s">
        <v>184</v>
      </c>
      <c r="X380" s="1">
        <v>6</v>
      </c>
      <c r="Y380" s="176" t="s">
        <v>2646</v>
      </c>
      <c r="Z380" s="86"/>
      <c r="AA380" s="86" t="s">
        <v>186</v>
      </c>
      <c r="AB380" s="1"/>
      <c r="AC380" s="123"/>
      <c r="AD380" s="218"/>
      <c r="AE380" s="218"/>
      <c r="AF380" s="219"/>
      <c r="AG380" s="220"/>
      <c r="AH380" s="221"/>
      <c r="AI380" s="221"/>
      <c r="AJ380" s="97" t="s">
        <v>203</v>
      </c>
      <c r="AK380" s="97" t="s">
        <v>190</v>
      </c>
      <c r="AL380" s="97" t="s">
        <v>190</v>
      </c>
      <c r="AM380" s="88" t="s">
        <v>2354</v>
      </c>
      <c r="AN380" s="22">
        <v>182</v>
      </c>
      <c r="AO380" s="22">
        <v>0</v>
      </c>
      <c r="AP380" s="22">
        <v>0</v>
      </c>
      <c r="AQ380" s="22">
        <v>0</v>
      </c>
      <c r="AR380" s="22">
        <v>0</v>
      </c>
      <c r="AS380" s="22">
        <v>7</v>
      </c>
      <c r="AT380" s="22">
        <v>10</v>
      </c>
      <c r="AU380" s="316">
        <f t="shared" si="56"/>
        <v>199</v>
      </c>
      <c r="AV380" s="22">
        <v>190</v>
      </c>
      <c r="AW380" s="22">
        <v>0</v>
      </c>
      <c r="AX380" s="22">
        <v>0</v>
      </c>
      <c r="AY380" s="22">
        <v>0</v>
      </c>
      <c r="AZ380" s="22">
        <v>0</v>
      </c>
      <c r="BA380" s="22">
        <v>7</v>
      </c>
      <c r="BB380" s="22">
        <v>10</v>
      </c>
      <c r="BC380" s="316">
        <f t="shared" si="57"/>
        <v>207</v>
      </c>
      <c r="BD380" s="58">
        <f t="shared" si="58"/>
        <v>8</v>
      </c>
      <c r="BE380" s="58">
        <f t="shared" si="59"/>
        <v>0</v>
      </c>
      <c r="BF380" s="58">
        <f t="shared" si="60"/>
        <v>0</v>
      </c>
      <c r="BG380" s="58">
        <f t="shared" si="61"/>
        <v>0</v>
      </c>
      <c r="BH380" s="58">
        <f t="shared" si="62"/>
        <v>0</v>
      </c>
      <c r="BI380" s="58">
        <f t="shared" si="63"/>
        <v>0</v>
      </c>
      <c r="BJ380" s="58">
        <f t="shared" si="64"/>
        <v>0</v>
      </c>
      <c r="BK380" s="58">
        <f t="shared" si="65"/>
        <v>8</v>
      </c>
    </row>
    <row r="381" spans="1:63" ht="27" customHeight="1">
      <c r="A381" s="13">
        <f t="shared" si="66"/>
        <v>379</v>
      </c>
      <c r="B381" s="14"/>
      <c r="C381" s="10">
        <v>2906</v>
      </c>
      <c r="D381" s="119" t="s">
        <v>2647</v>
      </c>
      <c r="E381" s="217" t="s">
        <v>2648</v>
      </c>
      <c r="F381" s="234" t="s">
        <v>904</v>
      </c>
      <c r="G381" s="235" t="s">
        <v>2164</v>
      </c>
      <c r="H381" s="26" t="s">
        <v>2207</v>
      </c>
      <c r="I381" s="27" t="s">
        <v>2649</v>
      </c>
      <c r="J381" s="98" t="s">
        <v>178</v>
      </c>
      <c r="K381" s="28">
        <v>25684</v>
      </c>
      <c r="L381" s="82" t="s">
        <v>179</v>
      </c>
      <c r="M381" s="170">
        <v>43770</v>
      </c>
      <c r="N381" s="25">
        <v>43591</v>
      </c>
      <c r="O381" s="25" t="s">
        <v>34</v>
      </c>
      <c r="P381" s="18" t="s">
        <v>199</v>
      </c>
      <c r="Q381" s="18" t="s">
        <v>181</v>
      </c>
      <c r="R381" s="13" t="s">
        <v>182</v>
      </c>
      <c r="S381" s="13" t="s">
        <v>2359</v>
      </c>
      <c r="T381" s="175"/>
      <c r="U381" s="175"/>
      <c r="V381" s="21" t="s">
        <v>200</v>
      </c>
      <c r="W381" s="21" t="s">
        <v>184</v>
      </c>
      <c r="X381" s="1">
        <v>3</v>
      </c>
      <c r="Y381" s="176" t="s">
        <v>2650</v>
      </c>
      <c r="Z381" s="86"/>
      <c r="AA381" s="86"/>
      <c r="AB381" s="86" t="s">
        <v>186</v>
      </c>
      <c r="AC381" s="123"/>
      <c r="AD381" s="218" t="s">
        <v>356</v>
      </c>
      <c r="AE381" s="218" t="s">
        <v>188</v>
      </c>
      <c r="AF381" s="218" t="s">
        <v>188</v>
      </c>
      <c r="AG381" s="220"/>
      <c r="AH381" s="221"/>
      <c r="AI381" s="221"/>
      <c r="AJ381" s="97" t="s">
        <v>203</v>
      </c>
      <c r="AK381" s="97" t="s">
        <v>190</v>
      </c>
      <c r="AL381" s="97" t="s">
        <v>190</v>
      </c>
      <c r="AM381" s="88" t="s">
        <v>2354</v>
      </c>
      <c r="AN381" s="22">
        <v>182</v>
      </c>
      <c r="AO381" s="22">
        <v>0</v>
      </c>
      <c r="AP381" s="22">
        <v>0</v>
      </c>
      <c r="AQ381" s="22">
        <v>0</v>
      </c>
      <c r="AR381" s="22">
        <v>0</v>
      </c>
      <c r="AS381" s="22">
        <v>7</v>
      </c>
      <c r="AT381" s="22">
        <v>10</v>
      </c>
      <c r="AU381" s="316">
        <f t="shared" si="56"/>
        <v>199</v>
      </c>
      <c r="AV381" s="22">
        <v>190</v>
      </c>
      <c r="AW381" s="22">
        <v>0</v>
      </c>
      <c r="AX381" s="22">
        <v>0</v>
      </c>
      <c r="AY381" s="22">
        <v>0</v>
      </c>
      <c r="AZ381" s="22">
        <v>0</v>
      </c>
      <c r="BA381" s="22">
        <v>7</v>
      </c>
      <c r="BB381" s="22">
        <v>10</v>
      </c>
      <c r="BC381" s="316">
        <f t="shared" si="57"/>
        <v>207</v>
      </c>
      <c r="BD381" s="58">
        <f t="shared" si="58"/>
        <v>8</v>
      </c>
      <c r="BE381" s="58">
        <f t="shared" si="59"/>
        <v>0</v>
      </c>
      <c r="BF381" s="58">
        <f t="shared" si="60"/>
        <v>0</v>
      </c>
      <c r="BG381" s="58">
        <f t="shared" si="61"/>
        <v>0</v>
      </c>
      <c r="BH381" s="58">
        <f t="shared" si="62"/>
        <v>0</v>
      </c>
      <c r="BI381" s="58">
        <f t="shared" si="63"/>
        <v>0</v>
      </c>
      <c r="BJ381" s="58">
        <f t="shared" si="64"/>
        <v>0</v>
      </c>
      <c r="BK381" s="58">
        <f t="shared" si="65"/>
        <v>8</v>
      </c>
    </row>
    <row r="382" spans="1:63" ht="27" customHeight="1">
      <c r="A382" s="13">
        <f t="shared" si="66"/>
        <v>380</v>
      </c>
      <c r="B382" s="14"/>
      <c r="C382" s="10">
        <v>2909</v>
      </c>
      <c r="D382" s="119" t="s">
        <v>2651</v>
      </c>
      <c r="E382" s="217" t="s">
        <v>2652</v>
      </c>
      <c r="F382" s="234" t="s">
        <v>2653</v>
      </c>
      <c r="G382" s="235" t="s">
        <v>2654</v>
      </c>
      <c r="H382" s="26" t="s">
        <v>2655</v>
      </c>
      <c r="I382" s="27" t="s">
        <v>2656</v>
      </c>
      <c r="J382" s="98" t="s">
        <v>178</v>
      </c>
      <c r="K382" s="28">
        <v>30323</v>
      </c>
      <c r="L382" s="82" t="s">
        <v>179</v>
      </c>
      <c r="M382" s="25">
        <v>43800</v>
      </c>
      <c r="N382" s="25">
        <v>43608</v>
      </c>
      <c r="O382" s="25" t="s">
        <v>34</v>
      </c>
      <c r="P382" s="18" t="s">
        <v>199</v>
      </c>
      <c r="Q382" s="18" t="s">
        <v>181</v>
      </c>
      <c r="R382" s="13" t="s">
        <v>182</v>
      </c>
      <c r="S382" s="13" t="s">
        <v>2430</v>
      </c>
      <c r="T382" s="175"/>
      <c r="U382" s="175"/>
      <c r="V382" s="21" t="s">
        <v>184</v>
      </c>
      <c r="W382" s="21" t="s">
        <v>184</v>
      </c>
      <c r="X382" s="1">
        <v>4</v>
      </c>
      <c r="Y382" s="176" t="s">
        <v>2657</v>
      </c>
      <c r="Z382" s="86" t="s">
        <v>186</v>
      </c>
      <c r="AA382" s="86"/>
      <c r="AB382" s="1"/>
      <c r="AC382" s="123"/>
      <c r="AD382" s="218"/>
      <c r="AE382" s="218"/>
      <c r="AF382" s="219"/>
      <c r="AG382" s="220"/>
      <c r="AH382" s="221"/>
      <c r="AI382" s="221"/>
      <c r="AJ382" s="97" t="s">
        <v>203</v>
      </c>
      <c r="AK382" s="97" t="s">
        <v>190</v>
      </c>
      <c r="AL382" s="97" t="s">
        <v>190</v>
      </c>
      <c r="AM382" s="88" t="s">
        <v>2354</v>
      </c>
      <c r="AN382" s="22">
        <v>182</v>
      </c>
      <c r="AO382" s="22">
        <v>0</v>
      </c>
      <c r="AP382" s="22">
        <v>0</v>
      </c>
      <c r="AQ382" s="22">
        <v>10</v>
      </c>
      <c r="AR382" s="22">
        <v>0</v>
      </c>
      <c r="AS382" s="22">
        <v>7</v>
      </c>
      <c r="AT382" s="22">
        <v>10</v>
      </c>
      <c r="AU382" s="316">
        <f t="shared" si="56"/>
        <v>209</v>
      </c>
      <c r="AV382" s="22">
        <v>190</v>
      </c>
      <c r="AW382" s="22">
        <v>0</v>
      </c>
      <c r="AX382" s="22">
        <v>0</v>
      </c>
      <c r="AY382" s="22">
        <v>10</v>
      </c>
      <c r="AZ382" s="22">
        <v>0</v>
      </c>
      <c r="BA382" s="22">
        <v>7</v>
      </c>
      <c r="BB382" s="22">
        <v>10</v>
      </c>
      <c r="BC382" s="316">
        <f t="shared" si="57"/>
        <v>217</v>
      </c>
      <c r="BD382" s="58">
        <f t="shared" si="58"/>
        <v>8</v>
      </c>
      <c r="BE382" s="58">
        <f t="shared" si="59"/>
        <v>0</v>
      </c>
      <c r="BF382" s="58">
        <f t="shared" si="60"/>
        <v>0</v>
      </c>
      <c r="BG382" s="58">
        <f t="shared" si="61"/>
        <v>0</v>
      </c>
      <c r="BH382" s="58">
        <f t="shared" si="62"/>
        <v>0</v>
      </c>
      <c r="BI382" s="58">
        <f t="shared" si="63"/>
        <v>0</v>
      </c>
      <c r="BJ382" s="58">
        <f t="shared" si="64"/>
        <v>0</v>
      </c>
      <c r="BK382" s="58">
        <f t="shared" si="65"/>
        <v>8</v>
      </c>
    </row>
    <row r="383" spans="1:63" ht="27" customHeight="1">
      <c r="A383" s="13">
        <f t="shared" si="66"/>
        <v>381</v>
      </c>
      <c r="B383" s="14"/>
      <c r="C383" s="10">
        <v>2875</v>
      </c>
      <c r="D383" s="119" t="s">
        <v>2658</v>
      </c>
      <c r="E383" s="217" t="s">
        <v>2659</v>
      </c>
      <c r="F383" s="234" t="s">
        <v>2660</v>
      </c>
      <c r="G383" s="235" t="s">
        <v>2661</v>
      </c>
      <c r="H383" s="26" t="s">
        <v>2662</v>
      </c>
      <c r="I383" s="27" t="s">
        <v>338</v>
      </c>
      <c r="J383" s="98" t="s">
        <v>178</v>
      </c>
      <c r="K383" s="28">
        <v>34455</v>
      </c>
      <c r="L383" s="82" t="s">
        <v>179</v>
      </c>
      <c r="M383" s="170">
        <v>43770</v>
      </c>
      <c r="N383" s="25">
        <v>43585</v>
      </c>
      <c r="O383" s="25" t="s">
        <v>34</v>
      </c>
      <c r="P383" s="18" t="s">
        <v>339</v>
      </c>
      <c r="Q383" s="18" t="s">
        <v>181</v>
      </c>
      <c r="R383" s="13" t="s">
        <v>182</v>
      </c>
      <c r="S383" s="13"/>
      <c r="T383" s="175"/>
      <c r="U383" s="175"/>
      <c r="V383" s="21"/>
      <c r="W383" s="21"/>
      <c r="X383" s="1"/>
      <c r="Y383" s="176"/>
      <c r="Z383" s="86"/>
      <c r="AA383" s="86"/>
      <c r="AB383" s="1"/>
      <c r="AC383" s="123"/>
      <c r="AD383" s="218"/>
      <c r="AE383" s="218"/>
      <c r="AF383" s="219"/>
      <c r="AG383" s="220"/>
      <c r="AH383" s="221"/>
      <c r="AI383" s="221"/>
      <c r="AJ383" s="97" t="s">
        <v>203</v>
      </c>
      <c r="AK383" s="97" t="s">
        <v>190</v>
      </c>
      <c r="AL383" s="97" t="s">
        <v>190</v>
      </c>
      <c r="AM383" s="123"/>
      <c r="AN383" s="22">
        <v>182</v>
      </c>
      <c r="AO383" s="22">
        <v>0</v>
      </c>
      <c r="AP383" s="22">
        <v>0</v>
      </c>
      <c r="AQ383" s="22">
        <v>0</v>
      </c>
      <c r="AR383" s="22">
        <v>0</v>
      </c>
      <c r="AS383" s="22">
        <v>7</v>
      </c>
      <c r="AT383" s="22">
        <v>10</v>
      </c>
      <c r="AU383" s="316">
        <f t="shared" si="56"/>
        <v>199</v>
      </c>
      <c r="AV383" s="22">
        <v>190</v>
      </c>
      <c r="AW383" s="22">
        <v>0</v>
      </c>
      <c r="AX383" s="22">
        <v>0</v>
      </c>
      <c r="AY383" s="22">
        <v>0</v>
      </c>
      <c r="AZ383" s="22">
        <v>0</v>
      </c>
      <c r="BA383" s="22">
        <v>7</v>
      </c>
      <c r="BB383" s="22">
        <v>10</v>
      </c>
      <c r="BC383" s="316">
        <f t="shared" si="57"/>
        <v>207</v>
      </c>
      <c r="BD383" s="58">
        <f t="shared" si="58"/>
        <v>8</v>
      </c>
      <c r="BE383" s="58">
        <f t="shared" si="59"/>
        <v>0</v>
      </c>
      <c r="BF383" s="58">
        <f t="shared" si="60"/>
        <v>0</v>
      </c>
      <c r="BG383" s="58">
        <f t="shared" si="61"/>
        <v>0</v>
      </c>
      <c r="BH383" s="58">
        <f t="shared" si="62"/>
        <v>0</v>
      </c>
      <c r="BI383" s="58">
        <f t="shared" si="63"/>
        <v>0</v>
      </c>
      <c r="BJ383" s="58">
        <f t="shared" si="64"/>
        <v>0</v>
      </c>
      <c r="BK383" s="58">
        <f t="shared" si="65"/>
        <v>8</v>
      </c>
    </row>
    <row r="384" spans="1:63" ht="27" customHeight="1">
      <c r="A384" s="13">
        <f t="shared" si="66"/>
        <v>382</v>
      </c>
      <c r="B384" s="14"/>
      <c r="C384" s="10">
        <v>2583</v>
      </c>
      <c r="D384" s="119" t="s">
        <v>2663</v>
      </c>
      <c r="E384" s="217" t="s">
        <v>2664</v>
      </c>
      <c r="F384" s="234" t="s">
        <v>2665</v>
      </c>
      <c r="G384" s="235" t="s">
        <v>2666</v>
      </c>
      <c r="H384" s="26" t="s">
        <v>353</v>
      </c>
      <c r="I384" s="27" t="s">
        <v>2667</v>
      </c>
      <c r="J384" s="98" t="s">
        <v>178</v>
      </c>
      <c r="K384" s="28">
        <v>32372</v>
      </c>
      <c r="L384" s="82" t="s">
        <v>179</v>
      </c>
      <c r="M384" s="25">
        <v>43800</v>
      </c>
      <c r="N384" s="25">
        <v>43442</v>
      </c>
      <c r="O384" s="25" t="s">
        <v>34</v>
      </c>
      <c r="P384" s="18" t="s">
        <v>27</v>
      </c>
      <c r="Q384" s="18" t="s">
        <v>181</v>
      </c>
      <c r="R384" s="13" t="s">
        <v>182</v>
      </c>
      <c r="S384" s="13"/>
      <c r="T384" s="175"/>
      <c r="U384" s="175"/>
      <c r="V384" s="21"/>
      <c r="W384" s="21"/>
      <c r="X384" s="1"/>
      <c r="Y384" s="176"/>
      <c r="Z384" s="86"/>
      <c r="AA384" s="86" t="s">
        <v>186</v>
      </c>
      <c r="AB384" s="1"/>
      <c r="AC384" s="123"/>
      <c r="AD384" s="218"/>
      <c r="AE384" s="218"/>
      <c r="AF384" s="219"/>
      <c r="AG384" s="220"/>
      <c r="AH384" s="221"/>
      <c r="AI384" s="221"/>
      <c r="AJ384" s="97" t="s">
        <v>203</v>
      </c>
      <c r="AK384" s="97" t="s">
        <v>190</v>
      </c>
      <c r="AL384" s="97" t="s">
        <v>190</v>
      </c>
      <c r="AM384" s="88" t="s">
        <v>2354</v>
      </c>
      <c r="AN384" s="22">
        <v>182</v>
      </c>
      <c r="AO384" s="22">
        <v>0</v>
      </c>
      <c r="AP384" s="22">
        <v>0</v>
      </c>
      <c r="AQ384" s="22">
        <v>0</v>
      </c>
      <c r="AR384" s="22">
        <v>0</v>
      </c>
      <c r="AS384" s="22">
        <v>7</v>
      </c>
      <c r="AT384" s="22">
        <v>10</v>
      </c>
      <c r="AU384" s="316">
        <f t="shared" si="56"/>
        <v>199</v>
      </c>
      <c r="AV384" s="22">
        <v>190</v>
      </c>
      <c r="AW384" s="22">
        <v>0</v>
      </c>
      <c r="AX384" s="22">
        <v>0</v>
      </c>
      <c r="AY384" s="22">
        <v>0</v>
      </c>
      <c r="AZ384" s="22">
        <v>0</v>
      </c>
      <c r="BA384" s="22">
        <v>7</v>
      </c>
      <c r="BB384" s="22">
        <v>10</v>
      </c>
      <c r="BC384" s="316">
        <f t="shared" si="57"/>
        <v>207</v>
      </c>
      <c r="BD384" s="58">
        <f t="shared" si="58"/>
        <v>8</v>
      </c>
      <c r="BE384" s="58">
        <f t="shared" si="59"/>
        <v>0</v>
      </c>
      <c r="BF384" s="58">
        <f t="shared" si="60"/>
        <v>0</v>
      </c>
      <c r="BG384" s="58">
        <f t="shared" si="61"/>
        <v>0</v>
      </c>
      <c r="BH384" s="58">
        <f t="shared" si="62"/>
        <v>0</v>
      </c>
      <c r="BI384" s="58">
        <f t="shared" si="63"/>
        <v>0</v>
      </c>
      <c r="BJ384" s="58">
        <f t="shared" si="64"/>
        <v>0</v>
      </c>
      <c r="BK384" s="58">
        <f t="shared" si="65"/>
        <v>8</v>
      </c>
    </row>
    <row r="385" spans="1:63" ht="27" customHeight="1">
      <c r="A385" s="13">
        <f t="shared" si="66"/>
        <v>383</v>
      </c>
      <c r="B385" s="14"/>
      <c r="C385" s="10">
        <v>2887</v>
      </c>
      <c r="D385" s="119" t="s">
        <v>2668</v>
      </c>
      <c r="E385" s="217" t="s">
        <v>2669</v>
      </c>
      <c r="F385" s="234" t="s">
        <v>2670</v>
      </c>
      <c r="G385" s="235" t="s">
        <v>2671</v>
      </c>
      <c r="H385" s="26" t="s">
        <v>2672</v>
      </c>
      <c r="I385" s="27" t="s">
        <v>2673</v>
      </c>
      <c r="J385" s="98" t="s">
        <v>178</v>
      </c>
      <c r="K385" s="28">
        <v>31140</v>
      </c>
      <c r="L385" s="82" t="s">
        <v>179</v>
      </c>
      <c r="M385" s="170">
        <v>43770</v>
      </c>
      <c r="N385" s="25">
        <v>43588</v>
      </c>
      <c r="O385" s="25" t="s">
        <v>34</v>
      </c>
      <c r="P385" s="18" t="s">
        <v>309</v>
      </c>
      <c r="Q385" s="18" t="s">
        <v>181</v>
      </c>
      <c r="R385" s="13" t="s">
        <v>182</v>
      </c>
      <c r="S385" s="13" t="s">
        <v>2430</v>
      </c>
      <c r="T385" s="175"/>
      <c r="U385" s="175"/>
      <c r="V385" s="21" t="s">
        <v>200</v>
      </c>
      <c r="W385" s="21" t="s">
        <v>200</v>
      </c>
      <c r="X385" s="1">
        <v>6</v>
      </c>
      <c r="Y385" s="176" t="s">
        <v>2674</v>
      </c>
      <c r="Z385" s="86"/>
      <c r="AA385" s="86"/>
      <c r="AB385" s="1"/>
      <c r="AC385" s="123"/>
      <c r="AD385" s="218"/>
      <c r="AE385" s="218"/>
      <c r="AF385" s="219"/>
      <c r="AG385" s="220"/>
      <c r="AH385" s="221"/>
      <c r="AI385" s="221"/>
      <c r="AJ385" s="97" t="s">
        <v>203</v>
      </c>
      <c r="AK385" s="97" t="s">
        <v>190</v>
      </c>
      <c r="AL385" s="97" t="s">
        <v>190</v>
      </c>
      <c r="AM385" s="88" t="s">
        <v>2354</v>
      </c>
      <c r="AN385" s="22">
        <v>182</v>
      </c>
      <c r="AO385" s="22">
        <v>0</v>
      </c>
      <c r="AP385" s="22">
        <v>0</v>
      </c>
      <c r="AQ385" s="22">
        <v>0</v>
      </c>
      <c r="AR385" s="22">
        <v>0</v>
      </c>
      <c r="AS385" s="22">
        <v>7</v>
      </c>
      <c r="AT385" s="22">
        <v>10</v>
      </c>
      <c r="AU385" s="316">
        <f t="shared" si="56"/>
        <v>199</v>
      </c>
      <c r="AV385" s="22">
        <v>190</v>
      </c>
      <c r="AW385" s="22">
        <v>0</v>
      </c>
      <c r="AX385" s="22">
        <v>0</v>
      </c>
      <c r="AY385" s="22">
        <v>0</v>
      </c>
      <c r="AZ385" s="22">
        <v>0</v>
      </c>
      <c r="BA385" s="22">
        <v>7</v>
      </c>
      <c r="BB385" s="22">
        <v>10</v>
      </c>
      <c r="BC385" s="316">
        <f t="shared" si="57"/>
        <v>207</v>
      </c>
      <c r="BD385" s="58">
        <f t="shared" si="58"/>
        <v>8</v>
      </c>
      <c r="BE385" s="58">
        <f t="shared" si="59"/>
        <v>0</v>
      </c>
      <c r="BF385" s="58">
        <f t="shared" si="60"/>
        <v>0</v>
      </c>
      <c r="BG385" s="58">
        <f t="shared" si="61"/>
        <v>0</v>
      </c>
      <c r="BH385" s="58">
        <f t="shared" si="62"/>
        <v>0</v>
      </c>
      <c r="BI385" s="58">
        <f t="shared" si="63"/>
        <v>0</v>
      </c>
      <c r="BJ385" s="58">
        <f t="shared" si="64"/>
        <v>0</v>
      </c>
      <c r="BK385" s="58">
        <f t="shared" si="65"/>
        <v>8</v>
      </c>
    </row>
    <row r="386" spans="1:63" ht="27" customHeight="1">
      <c r="A386" s="13">
        <f t="shared" si="66"/>
        <v>384</v>
      </c>
      <c r="B386" s="14"/>
      <c r="C386" s="10">
        <v>2921</v>
      </c>
      <c r="D386" s="119" t="s">
        <v>2675</v>
      </c>
      <c r="E386" s="217" t="s">
        <v>296</v>
      </c>
      <c r="F386" s="234" t="s">
        <v>1178</v>
      </c>
      <c r="G386" s="235" t="s">
        <v>2676</v>
      </c>
      <c r="H386" s="26" t="s">
        <v>100</v>
      </c>
      <c r="I386" s="27" t="s">
        <v>101</v>
      </c>
      <c r="J386" s="98" t="s">
        <v>178</v>
      </c>
      <c r="K386" s="28">
        <v>33074</v>
      </c>
      <c r="L386" s="82" t="s">
        <v>179</v>
      </c>
      <c r="M386" s="25">
        <v>43608</v>
      </c>
      <c r="N386" s="25"/>
      <c r="O386" s="25" t="s">
        <v>34</v>
      </c>
      <c r="P386" s="18" t="s">
        <v>81</v>
      </c>
      <c r="Q386" s="18" t="s">
        <v>181</v>
      </c>
      <c r="R386" s="13" t="s">
        <v>182</v>
      </c>
      <c r="S386" s="13"/>
      <c r="T386" s="175"/>
      <c r="U386" s="175"/>
      <c r="V386" s="21"/>
      <c r="W386" s="21"/>
      <c r="X386" s="1"/>
      <c r="Y386" s="176"/>
      <c r="Z386" s="86"/>
      <c r="AA386" s="86"/>
      <c r="AB386" s="1"/>
      <c r="AC386" s="123"/>
      <c r="AD386" s="218"/>
      <c r="AE386" s="218"/>
      <c r="AF386" s="219"/>
      <c r="AG386" s="220"/>
      <c r="AH386" s="221"/>
      <c r="AI386" s="221"/>
      <c r="AJ386" s="97" t="s">
        <v>203</v>
      </c>
      <c r="AK386" s="97" t="s">
        <v>190</v>
      </c>
      <c r="AL386" s="97" t="s">
        <v>190</v>
      </c>
      <c r="AM386" s="88" t="s">
        <v>2354</v>
      </c>
      <c r="AN386" s="22">
        <v>182</v>
      </c>
      <c r="AO386" s="22">
        <v>0</v>
      </c>
      <c r="AP386" s="22">
        <v>0</v>
      </c>
      <c r="AQ386" s="22">
        <v>26</v>
      </c>
      <c r="AR386" s="22">
        <v>0</v>
      </c>
      <c r="AS386" s="22">
        <v>7</v>
      </c>
      <c r="AT386" s="22">
        <v>10</v>
      </c>
      <c r="AU386" s="316">
        <f t="shared" si="56"/>
        <v>225</v>
      </c>
      <c r="AV386" s="22">
        <v>190</v>
      </c>
      <c r="AW386" s="22">
        <v>0</v>
      </c>
      <c r="AX386" s="22">
        <v>0</v>
      </c>
      <c r="AY386" s="22">
        <v>26</v>
      </c>
      <c r="AZ386" s="22">
        <v>0</v>
      </c>
      <c r="BA386" s="22">
        <v>7</v>
      </c>
      <c r="BB386" s="22">
        <v>10</v>
      </c>
      <c r="BC386" s="316">
        <f t="shared" si="57"/>
        <v>233</v>
      </c>
      <c r="BD386" s="58">
        <f t="shared" si="58"/>
        <v>8</v>
      </c>
      <c r="BE386" s="58">
        <f t="shared" si="59"/>
        <v>0</v>
      </c>
      <c r="BF386" s="58">
        <f t="shared" si="60"/>
        <v>0</v>
      </c>
      <c r="BG386" s="58">
        <f t="shared" si="61"/>
        <v>0</v>
      </c>
      <c r="BH386" s="58">
        <f t="shared" si="62"/>
        <v>0</v>
      </c>
      <c r="BI386" s="58">
        <f t="shared" si="63"/>
        <v>0</v>
      </c>
      <c r="BJ386" s="58">
        <f t="shared" si="64"/>
        <v>0</v>
      </c>
      <c r="BK386" s="58">
        <f t="shared" si="65"/>
        <v>8</v>
      </c>
    </row>
    <row r="387" spans="1:63" ht="27" customHeight="1">
      <c r="A387" s="13">
        <f t="shared" si="66"/>
        <v>385</v>
      </c>
      <c r="B387" s="14"/>
      <c r="C387" s="10">
        <v>2897</v>
      </c>
      <c r="D387" s="119" t="s">
        <v>2677</v>
      </c>
      <c r="E387" s="217" t="s">
        <v>2678</v>
      </c>
      <c r="F387" s="234" t="s">
        <v>2679</v>
      </c>
      <c r="G387" s="235" t="s">
        <v>853</v>
      </c>
      <c r="H387" s="26" t="s">
        <v>2680</v>
      </c>
      <c r="I387" s="27" t="s">
        <v>2681</v>
      </c>
      <c r="J387" s="98" t="s">
        <v>178</v>
      </c>
      <c r="K387" s="28">
        <v>31505</v>
      </c>
      <c r="L387" s="82" t="s">
        <v>179</v>
      </c>
      <c r="M387" s="170">
        <v>43770</v>
      </c>
      <c r="N387" s="25">
        <v>43589</v>
      </c>
      <c r="O387" s="25" t="s">
        <v>34</v>
      </c>
      <c r="P387" s="18" t="s">
        <v>282</v>
      </c>
      <c r="Q387" s="18" t="s">
        <v>249</v>
      </c>
      <c r="R387" s="13" t="s">
        <v>182</v>
      </c>
      <c r="S387" s="13" t="s">
        <v>2359</v>
      </c>
      <c r="T387" s="175"/>
      <c r="U387" s="175"/>
      <c r="V387" s="21" t="s">
        <v>200</v>
      </c>
      <c r="W387" s="21" t="s">
        <v>200</v>
      </c>
      <c r="X387" s="1">
        <v>5</v>
      </c>
      <c r="Y387" s="176" t="s">
        <v>2682</v>
      </c>
      <c r="Z387" s="86"/>
      <c r="AA387" s="86" t="s">
        <v>186</v>
      </c>
      <c r="AB387" s="1"/>
      <c r="AC387" s="123"/>
      <c r="AD387" s="218"/>
      <c r="AE387" s="218"/>
      <c r="AF387" s="219"/>
      <c r="AG387" s="220"/>
      <c r="AH387" s="221"/>
      <c r="AI387" s="221"/>
      <c r="AJ387" s="97" t="s">
        <v>203</v>
      </c>
      <c r="AK387" s="97" t="s">
        <v>190</v>
      </c>
      <c r="AL387" s="97" t="s">
        <v>190</v>
      </c>
      <c r="AM387" s="88" t="s">
        <v>2354</v>
      </c>
      <c r="AN387" s="22">
        <v>182</v>
      </c>
      <c r="AO387" s="22">
        <v>0</v>
      </c>
      <c r="AP387" s="22">
        <v>20</v>
      </c>
      <c r="AQ387" s="22">
        <v>0</v>
      </c>
      <c r="AR387" s="22">
        <v>0</v>
      </c>
      <c r="AS387" s="22">
        <v>7</v>
      </c>
      <c r="AT387" s="22">
        <v>10</v>
      </c>
      <c r="AU387" s="316">
        <f t="shared" si="56"/>
        <v>219</v>
      </c>
      <c r="AV387" s="22">
        <v>190</v>
      </c>
      <c r="AW387" s="22">
        <v>0</v>
      </c>
      <c r="AX387" s="22">
        <v>20</v>
      </c>
      <c r="AY387" s="22">
        <v>0</v>
      </c>
      <c r="AZ387" s="22">
        <v>0</v>
      </c>
      <c r="BA387" s="22">
        <v>7</v>
      </c>
      <c r="BB387" s="22">
        <v>10</v>
      </c>
      <c r="BC387" s="316">
        <f t="shared" si="57"/>
        <v>227</v>
      </c>
      <c r="BD387" s="58">
        <f t="shared" si="58"/>
        <v>8</v>
      </c>
      <c r="BE387" s="58">
        <f t="shared" si="59"/>
        <v>0</v>
      </c>
      <c r="BF387" s="58">
        <f t="shared" si="60"/>
        <v>0</v>
      </c>
      <c r="BG387" s="58">
        <f t="shared" si="61"/>
        <v>0</v>
      </c>
      <c r="BH387" s="58">
        <f t="shared" si="62"/>
        <v>0</v>
      </c>
      <c r="BI387" s="58">
        <f t="shared" si="63"/>
        <v>0</v>
      </c>
      <c r="BJ387" s="58">
        <f t="shared" si="64"/>
        <v>0</v>
      </c>
      <c r="BK387" s="58">
        <f t="shared" si="65"/>
        <v>8</v>
      </c>
    </row>
    <row r="388" spans="1:63" ht="27" customHeight="1">
      <c r="A388" s="13">
        <f t="shared" si="66"/>
        <v>386</v>
      </c>
      <c r="B388" s="14"/>
      <c r="C388" s="10">
        <v>2868</v>
      </c>
      <c r="D388" s="119">
        <v>0</v>
      </c>
      <c r="E388" s="217" t="s">
        <v>2683</v>
      </c>
      <c r="F388" s="234" t="s">
        <v>2684</v>
      </c>
      <c r="G388" s="235" t="s">
        <v>2685</v>
      </c>
      <c r="H388" s="26" t="s">
        <v>2395</v>
      </c>
      <c r="I388" s="27" t="s">
        <v>2686</v>
      </c>
      <c r="J388" s="98" t="s">
        <v>178</v>
      </c>
      <c r="K388" s="28">
        <v>31557</v>
      </c>
      <c r="L388" s="82" t="s">
        <v>179</v>
      </c>
      <c r="M388" s="170">
        <v>43770</v>
      </c>
      <c r="N388" s="25">
        <v>43586</v>
      </c>
      <c r="O388" s="25" t="s">
        <v>34</v>
      </c>
      <c r="P388" s="18" t="s">
        <v>636</v>
      </c>
      <c r="Q388" s="18" t="s">
        <v>181</v>
      </c>
      <c r="R388" s="13" t="s">
        <v>182</v>
      </c>
      <c r="S388" s="13" t="s">
        <v>2430</v>
      </c>
      <c r="T388" s="175"/>
      <c r="U388" s="175"/>
      <c r="V388" s="21" t="s">
        <v>200</v>
      </c>
      <c r="W388" s="21" t="s">
        <v>200</v>
      </c>
      <c r="X388" s="1">
        <v>9</v>
      </c>
      <c r="Y388" s="176" t="s">
        <v>2687</v>
      </c>
      <c r="Z388" s="86"/>
      <c r="AA388" s="86" t="s">
        <v>186</v>
      </c>
      <c r="AB388" s="1"/>
      <c r="AC388" s="123"/>
      <c r="AD388" s="218"/>
      <c r="AE388" s="218"/>
      <c r="AF388" s="219"/>
      <c r="AG388" s="220"/>
      <c r="AH388" s="221"/>
      <c r="AI388" s="221"/>
      <c r="AJ388" s="97" t="s">
        <v>203</v>
      </c>
      <c r="AK388" s="97" t="s">
        <v>190</v>
      </c>
      <c r="AL388" s="97" t="s">
        <v>190</v>
      </c>
      <c r="AM388" s="88" t="s">
        <v>2354</v>
      </c>
      <c r="AN388" s="22">
        <v>182</v>
      </c>
      <c r="AO388" s="22">
        <v>0</v>
      </c>
      <c r="AP388" s="22">
        <v>0</v>
      </c>
      <c r="AQ388" s="22">
        <v>0</v>
      </c>
      <c r="AR388" s="22">
        <v>0</v>
      </c>
      <c r="AS388" s="22">
        <v>7</v>
      </c>
      <c r="AT388" s="22">
        <v>10</v>
      </c>
      <c r="AU388" s="316">
        <f t="shared" ref="AU388:AU451" si="67">SUM(AN388:AT388)</f>
        <v>199</v>
      </c>
      <c r="AV388" s="22">
        <v>190</v>
      </c>
      <c r="AW388" s="22">
        <v>0</v>
      </c>
      <c r="AX388" s="22">
        <v>0</v>
      </c>
      <c r="AY388" s="22">
        <v>0</v>
      </c>
      <c r="AZ388" s="22">
        <v>0</v>
      </c>
      <c r="BA388" s="22">
        <v>7</v>
      </c>
      <c r="BB388" s="22">
        <v>10</v>
      </c>
      <c r="BC388" s="316">
        <f t="shared" ref="BC388:BC451" si="68">SUM(AV388:BB388)</f>
        <v>207</v>
      </c>
      <c r="BD388" s="58">
        <f t="shared" ref="BD388:BD451" si="69">AV388-AN388</f>
        <v>8</v>
      </c>
      <c r="BE388" s="58">
        <f t="shared" ref="BE388:BE451" si="70">AW388-AO388</f>
        <v>0</v>
      </c>
      <c r="BF388" s="58">
        <f t="shared" ref="BF388:BF451" si="71">AX388-AP388</f>
        <v>0</v>
      </c>
      <c r="BG388" s="58">
        <f t="shared" ref="BG388:BG451" si="72">AY388-AQ388</f>
        <v>0</v>
      </c>
      <c r="BH388" s="58">
        <f t="shared" ref="BH388:BH451" si="73">AZ388-AR388</f>
        <v>0</v>
      </c>
      <c r="BI388" s="58">
        <f t="shared" ref="BI388:BI451" si="74">BA388-AS388</f>
        <v>0</v>
      </c>
      <c r="BJ388" s="58">
        <f t="shared" ref="BJ388:BJ451" si="75">BB388-AT388</f>
        <v>0</v>
      </c>
      <c r="BK388" s="58">
        <f t="shared" ref="BK388:BK451" si="76">BC388-AU388</f>
        <v>8</v>
      </c>
    </row>
    <row r="389" spans="1:63" ht="27" customHeight="1">
      <c r="A389" s="13">
        <f t="shared" ref="A389:A452" si="77">1+A388</f>
        <v>387</v>
      </c>
      <c r="B389" s="14"/>
      <c r="C389" s="10">
        <v>2898</v>
      </c>
      <c r="D389" s="119" t="s">
        <v>2688</v>
      </c>
      <c r="E389" s="217" t="s">
        <v>2689</v>
      </c>
      <c r="F389" s="234" t="s">
        <v>1796</v>
      </c>
      <c r="G389" s="235" t="s">
        <v>2690</v>
      </c>
      <c r="H389" s="26" t="s">
        <v>2113</v>
      </c>
      <c r="I389" s="27" t="s">
        <v>2691</v>
      </c>
      <c r="J389" s="98" t="s">
        <v>178</v>
      </c>
      <c r="K389" s="28">
        <v>36267</v>
      </c>
      <c r="L389" s="82" t="s">
        <v>179</v>
      </c>
      <c r="M389" s="170">
        <v>43770</v>
      </c>
      <c r="N389" s="25">
        <v>43592</v>
      </c>
      <c r="O389" s="25" t="s">
        <v>34</v>
      </c>
      <c r="P389" s="18" t="s">
        <v>386</v>
      </c>
      <c r="Q389" s="18" t="s">
        <v>181</v>
      </c>
      <c r="R389" s="13" t="s">
        <v>182</v>
      </c>
      <c r="S389" s="13" t="s">
        <v>2430</v>
      </c>
      <c r="T389" s="175"/>
      <c r="U389" s="175"/>
      <c r="V389" s="21" t="s">
        <v>184</v>
      </c>
      <c r="W389" s="21" t="s">
        <v>200</v>
      </c>
      <c r="X389" s="1" t="s">
        <v>184</v>
      </c>
      <c r="Y389" s="176" t="s">
        <v>2692</v>
      </c>
      <c r="Z389" s="86"/>
      <c r="AA389" s="86" t="s">
        <v>186</v>
      </c>
      <c r="AB389" s="1"/>
      <c r="AC389" s="123"/>
      <c r="AD389" s="218"/>
      <c r="AE389" s="218"/>
      <c r="AF389" s="219"/>
      <c r="AG389" s="220"/>
      <c r="AH389" s="221"/>
      <c r="AI389" s="221"/>
      <c r="AJ389" s="97" t="s">
        <v>203</v>
      </c>
      <c r="AK389" s="97" t="s">
        <v>190</v>
      </c>
      <c r="AL389" s="97" t="s">
        <v>190</v>
      </c>
      <c r="AM389" s="88" t="s">
        <v>2354</v>
      </c>
      <c r="AN389" s="22">
        <v>182</v>
      </c>
      <c r="AO389" s="22">
        <v>0</v>
      </c>
      <c r="AP389" s="22">
        <v>0</v>
      </c>
      <c r="AQ389" s="22">
        <v>0</v>
      </c>
      <c r="AR389" s="22">
        <v>0</v>
      </c>
      <c r="AS389" s="22">
        <v>7</v>
      </c>
      <c r="AT389" s="22">
        <v>10</v>
      </c>
      <c r="AU389" s="316">
        <f t="shared" si="67"/>
        <v>199</v>
      </c>
      <c r="AV389" s="22">
        <v>190</v>
      </c>
      <c r="AW389" s="22">
        <v>0</v>
      </c>
      <c r="AX389" s="22">
        <v>0</v>
      </c>
      <c r="AY389" s="22">
        <v>0</v>
      </c>
      <c r="AZ389" s="22">
        <v>0</v>
      </c>
      <c r="BA389" s="22">
        <v>7</v>
      </c>
      <c r="BB389" s="22">
        <v>10</v>
      </c>
      <c r="BC389" s="316">
        <f t="shared" si="68"/>
        <v>207</v>
      </c>
      <c r="BD389" s="58">
        <f t="shared" si="69"/>
        <v>8</v>
      </c>
      <c r="BE389" s="58">
        <f t="shared" si="70"/>
        <v>0</v>
      </c>
      <c r="BF389" s="58">
        <f t="shared" si="71"/>
        <v>0</v>
      </c>
      <c r="BG389" s="58">
        <f t="shared" si="72"/>
        <v>0</v>
      </c>
      <c r="BH389" s="58">
        <f t="shared" si="73"/>
        <v>0</v>
      </c>
      <c r="BI389" s="58">
        <f t="shared" si="74"/>
        <v>0</v>
      </c>
      <c r="BJ389" s="58">
        <f t="shared" si="75"/>
        <v>0</v>
      </c>
      <c r="BK389" s="58">
        <f t="shared" si="76"/>
        <v>8</v>
      </c>
    </row>
    <row r="390" spans="1:63" ht="27" customHeight="1">
      <c r="A390" s="13">
        <f t="shared" si="77"/>
        <v>388</v>
      </c>
      <c r="B390" s="14"/>
      <c r="C390" s="10">
        <v>2920</v>
      </c>
      <c r="D390" s="119" t="s">
        <v>2693</v>
      </c>
      <c r="E390" s="217" t="s">
        <v>2694</v>
      </c>
      <c r="F390" s="234" t="s">
        <v>2695</v>
      </c>
      <c r="G390" s="235" t="s">
        <v>2696</v>
      </c>
      <c r="H390" s="26" t="s">
        <v>2697</v>
      </c>
      <c r="I390" s="27" t="s">
        <v>2698</v>
      </c>
      <c r="J390" s="98" t="s">
        <v>209</v>
      </c>
      <c r="K390" s="28">
        <v>30898</v>
      </c>
      <c r="L390" s="82" t="s">
        <v>179</v>
      </c>
      <c r="M390" s="25">
        <v>43800</v>
      </c>
      <c r="N390" s="25">
        <v>43612</v>
      </c>
      <c r="O390" s="25" t="s">
        <v>34</v>
      </c>
      <c r="P390" s="18" t="s">
        <v>561</v>
      </c>
      <c r="Q390" s="18" t="s">
        <v>181</v>
      </c>
      <c r="R390" s="13" t="s">
        <v>182</v>
      </c>
      <c r="S390" s="13" t="s">
        <v>2699</v>
      </c>
      <c r="T390" s="175"/>
      <c r="U390" s="175"/>
      <c r="V390" s="21" t="s">
        <v>184</v>
      </c>
      <c r="W390" s="21" t="s">
        <v>200</v>
      </c>
      <c r="X390" s="1">
        <v>6</v>
      </c>
      <c r="Y390" s="176" t="s">
        <v>2700</v>
      </c>
      <c r="Z390" s="86"/>
      <c r="AA390" s="86" t="s">
        <v>186</v>
      </c>
      <c r="AB390" s="1"/>
      <c r="AC390" s="123"/>
      <c r="AD390" s="218" t="s">
        <v>188</v>
      </c>
      <c r="AE390" s="219" t="s">
        <v>189</v>
      </c>
      <c r="AF390" s="219"/>
      <c r="AG390" s="220"/>
      <c r="AH390" s="221"/>
      <c r="AI390" s="221"/>
      <c r="AJ390" s="97" t="s">
        <v>203</v>
      </c>
      <c r="AK390" s="97" t="s">
        <v>190</v>
      </c>
      <c r="AL390" s="97" t="s">
        <v>190</v>
      </c>
      <c r="AM390" s="88" t="s">
        <v>2354</v>
      </c>
      <c r="AN390" s="22">
        <v>182</v>
      </c>
      <c r="AO390" s="22">
        <v>0</v>
      </c>
      <c r="AP390" s="22">
        <v>0</v>
      </c>
      <c r="AQ390" s="22">
        <v>0</v>
      </c>
      <c r="AR390" s="22">
        <v>0</v>
      </c>
      <c r="AS390" s="22">
        <v>7</v>
      </c>
      <c r="AT390" s="22">
        <v>10</v>
      </c>
      <c r="AU390" s="316">
        <f t="shared" si="67"/>
        <v>199</v>
      </c>
      <c r="AV390" s="22">
        <v>190</v>
      </c>
      <c r="AW390" s="22">
        <v>0</v>
      </c>
      <c r="AX390" s="22">
        <v>0</v>
      </c>
      <c r="AY390" s="22">
        <v>0</v>
      </c>
      <c r="AZ390" s="22">
        <v>0</v>
      </c>
      <c r="BA390" s="22">
        <v>7</v>
      </c>
      <c r="BB390" s="22">
        <v>10</v>
      </c>
      <c r="BC390" s="316">
        <f t="shared" si="68"/>
        <v>207</v>
      </c>
      <c r="BD390" s="58">
        <f t="shared" si="69"/>
        <v>8</v>
      </c>
      <c r="BE390" s="58">
        <f t="shared" si="70"/>
        <v>0</v>
      </c>
      <c r="BF390" s="58">
        <f t="shared" si="71"/>
        <v>0</v>
      </c>
      <c r="BG390" s="58">
        <f t="shared" si="72"/>
        <v>0</v>
      </c>
      <c r="BH390" s="58">
        <f t="shared" si="73"/>
        <v>0</v>
      </c>
      <c r="BI390" s="58">
        <f t="shared" si="74"/>
        <v>0</v>
      </c>
      <c r="BJ390" s="58">
        <f t="shared" si="75"/>
        <v>0</v>
      </c>
      <c r="BK390" s="58">
        <f t="shared" si="76"/>
        <v>8</v>
      </c>
    </row>
    <row r="391" spans="1:63" ht="27" customHeight="1">
      <c r="A391" s="13">
        <f t="shared" si="77"/>
        <v>389</v>
      </c>
      <c r="B391" s="14"/>
      <c r="C391" s="10">
        <v>2872</v>
      </c>
      <c r="D391" s="119" t="s">
        <v>2701</v>
      </c>
      <c r="E391" s="217" t="s">
        <v>2702</v>
      </c>
      <c r="F391" s="234" t="s">
        <v>2703</v>
      </c>
      <c r="G391" s="235" t="s">
        <v>1320</v>
      </c>
      <c r="H391" s="26" t="s">
        <v>2704</v>
      </c>
      <c r="I391" s="27" t="s">
        <v>2705</v>
      </c>
      <c r="J391" s="98" t="s">
        <v>178</v>
      </c>
      <c r="K391" s="28">
        <v>33004</v>
      </c>
      <c r="L391" s="82" t="s">
        <v>179</v>
      </c>
      <c r="M391" s="170">
        <v>43770</v>
      </c>
      <c r="N391" s="25">
        <v>43586</v>
      </c>
      <c r="O391" s="25" t="s">
        <v>34</v>
      </c>
      <c r="P391" s="18" t="s">
        <v>1281</v>
      </c>
      <c r="Q391" s="18" t="s">
        <v>181</v>
      </c>
      <c r="R391" s="13" t="s">
        <v>182</v>
      </c>
      <c r="S391" s="13" t="s">
        <v>2359</v>
      </c>
      <c r="T391" s="175"/>
      <c r="U391" s="175"/>
      <c r="V391" s="21" t="s">
        <v>184</v>
      </c>
      <c r="W391" s="21" t="s">
        <v>200</v>
      </c>
      <c r="X391" s="1">
        <v>6</v>
      </c>
      <c r="Y391" s="176" t="s">
        <v>184</v>
      </c>
      <c r="Z391" s="86"/>
      <c r="AA391" s="86" t="s">
        <v>186</v>
      </c>
      <c r="AB391" s="1"/>
      <c r="AC391" s="123"/>
      <c r="AD391" s="218" t="s">
        <v>188</v>
      </c>
      <c r="AE391" s="219" t="s">
        <v>189</v>
      </c>
      <c r="AF391" s="219"/>
      <c r="AG391" s="220"/>
      <c r="AH391" s="221"/>
      <c r="AI391" s="221"/>
      <c r="AJ391" s="97" t="s">
        <v>203</v>
      </c>
      <c r="AK391" s="97" t="s">
        <v>190</v>
      </c>
      <c r="AL391" s="97" t="s">
        <v>190</v>
      </c>
      <c r="AM391" s="88" t="s">
        <v>2354</v>
      </c>
      <c r="AN391" s="22">
        <v>182</v>
      </c>
      <c r="AO391" s="22">
        <v>0</v>
      </c>
      <c r="AP391" s="22">
        <v>20</v>
      </c>
      <c r="AQ391" s="22">
        <v>0</v>
      </c>
      <c r="AR391" s="22">
        <v>0</v>
      </c>
      <c r="AS391" s="22">
        <v>7</v>
      </c>
      <c r="AT391" s="22">
        <v>10</v>
      </c>
      <c r="AU391" s="316">
        <f t="shared" si="67"/>
        <v>219</v>
      </c>
      <c r="AV391" s="22">
        <v>190</v>
      </c>
      <c r="AW391" s="22">
        <v>0</v>
      </c>
      <c r="AX391" s="22">
        <v>20</v>
      </c>
      <c r="AY391" s="22">
        <v>0</v>
      </c>
      <c r="AZ391" s="22">
        <v>0</v>
      </c>
      <c r="BA391" s="22">
        <v>7</v>
      </c>
      <c r="BB391" s="22">
        <v>10</v>
      </c>
      <c r="BC391" s="316">
        <f t="shared" si="68"/>
        <v>227</v>
      </c>
      <c r="BD391" s="58">
        <f t="shared" si="69"/>
        <v>8</v>
      </c>
      <c r="BE391" s="58">
        <f t="shared" si="70"/>
        <v>0</v>
      </c>
      <c r="BF391" s="58">
        <f t="shared" si="71"/>
        <v>0</v>
      </c>
      <c r="BG391" s="58">
        <f t="shared" si="72"/>
        <v>0</v>
      </c>
      <c r="BH391" s="58">
        <f t="shared" si="73"/>
        <v>0</v>
      </c>
      <c r="BI391" s="58">
        <f t="shared" si="74"/>
        <v>0</v>
      </c>
      <c r="BJ391" s="58">
        <f t="shared" si="75"/>
        <v>0</v>
      </c>
      <c r="BK391" s="58">
        <f t="shared" si="76"/>
        <v>8</v>
      </c>
    </row>
    <row r="392" spans="1:63" ht="27" customHeight="1">
      <c r="A392" s="13">
        <f t="shared" si="77"/>
        <v>390</v>
      </c>
      <c r="B392" s="14"/>
      <c r="C392" s="10">
        <v>2883</v>
      </c>
      <c r="D392" s="119" t="s">
        <v>2706</v>
      </c>
      <c r="E392" s="217" t="s">
        <v>2707</v>
      </c>
      <c r="F392" s="234" t="s">
        <v>2310</v>
      </c>
      <c r="G392" s="235" t="s">
        <v>976</v>
      </c>
      <c r="H392" s="26" t="s">
        <v>2312</v>
      </c>
      <c r="I392" s="27" t="s">
        <v>2708</v>
      </c>
      <c r="J392" s="98" t="s">
        <v>178</v>
      </c>
      <c r="K392" s="28">
        <v>31140</v>
      </c>
      <c r="L392" s="82" t="s">
        <v>179</v>
      </c>
      <c r="M392" s="170">
        <v>43770</v>
      </c>
      <c r="N392" s="25">
        <v>43588</v>
      </c>
      <c r="O392" s="25" t="s">
        <v>34</v>
      </c>
      <c r="P392" s="18" t="s">
        <v>227</v>
      </c>
      <c r="Q392" s="18" t="s">
        <v>181</v>
      </c>
      <c r="R392" s="13" t="s">
        <v>182</v>
      </c>
      <c r="S392" s="13" t="s">
        <v>2397</v>
      </c>
      <c r="T392" s="175"/>
      <c r="U392" s="175"/>
      <c r="V392" s="21" t="s">
        <v>200</v>
      </c>
      <c r="W392" s="21" t="s">
        <v>184</v>
      </c>
      <c r="X392" s="1" t="s">
        <v>184</v>
      </c>
      <c r="Y392" s="176" t="s">
        <v>2709</v>
      </c>
      <c r="Z392" s="86"/>
      <c r="AA392" s="86" t="s">
        <v>186</v>
      </c>
      <c r="AB392" s="1"/>
      <c r="AC392" s="123"/>
      <c r="AD392" s="218" t="s">
        <v>188</v>
      </c>
      <c r="AE392" s="219" t="s">
        <v>189</v>
      </c>
      <c r="AF392" s="219"/>
      <c r="AG392" s="220"/>
      <c r="AH392" s="221"/>
      <c r="AI392" s="221"/>
      <c r="AJ392" s="97" t="s">
        <v>203</v>
      </c>
      <c r="AK392" s="97" t="s">
        <v>190</v>
      </c>
      <c r="AL392" s="97" t="s">
        <v>190</v>
      </c>
      <c r="AM392" s="88" t="s">
        <v>2354</v>
      </c>
      <c r="AN392" s="22">
        <v>182</v>
      </c>
      <c r="AO392" s="22">
        <v>0</v>
      </c>
      <c r="AP392" s="22">
        <v>0</v>
      </c>
      <c r="AQ392" s="22">
        <v>0</v>
      </c>
      <c r="AR392" s="22">
        <v>0</v>
      </c>
      <c r="AS392" s="22">
        <v>7</v>
      </c>
      <c r="AT392" s="22">
        <v>10</v>
      </c>
      <c r="AU392" s="316">
        <f t="shared" si="67"/>
        <v>199</v>
      </c>
      <c r="AV392" s="22">
        <v>190</v>
      </c>
      <c r="AW392" s="22">
        <v>0</v>
      </c>
      <c r="AX392" s="22">
        <v>0</v>
      </c>
      <c r="AY392" s="22">
        <v>0</v>
      </c>
      <c r="AZ392" s="22">
        <v>0</v>
      </c>
      <c r="BA392" s="22">
        <v>7</v>
      </c>
      <c r="BB392" s="22">
        <v>10</v>
      </c>
      <c r="BC392" s="316">
        <f t="shared" si="68"/>
        <v>207</v>
      </c>
      <c r="BD392" s="58">
        <f t="shared" si="69"/>
        <v>8</v>
      </c>
      <c r="BE392" s="58">
        <f t="shared" si="70"/>
        <v>0</v>
      </c>
      <c r="BF392" s="58">
        <f t="shared" si="71"/>
        <v>0</v>
      </c>
      <c r="BG392" s="58">
        <f t="shared" si="72"/>
        <v>0</v>
      </c>
      <c r="BH392" s="58">
        <f t="shared" si="73"/>
        <v>0</v>
      </c>
      <c r="BI392" s="58">
        <f t="shared" si="74"/>
        <v>0</v>
      </c>
      <c r="BJ392" s="58">
        <f t="shared" si="75"/>
        <v>0</v>
      </c>
      <c r="BK392" s="58">
        <f t="shared" si="76"/>
        <v>8</v>
      </c>
    </row>
    <row r="393" spans="1:63" ht="27" customHeight="1">
      <c r="A393" s="13">
        <f t="shared" si="77"/>
        <v>391</v>
      </c>
      <c r="B393" s="14"/>
      <c r="C393" s="10">
        <v>2876</v>
      </c>
      <c r="D393" s="119" t="s">
        <v>2710</v>
      </c>
      <c r="E393" s="217" t="s">
        <v>2711</v>
      </c>
      <c r="F393" s="234" t="s">
        <v>527</v>
      </c>
      <c r="G393" s="235" t="s">
        <v>2712</v>
      </c>
      <c r="H393" s="26" t="s">
        <v>90</v>
      </c>
      <c r="I393" s="27" t="s">
        <v>91</v>
      </c>
      <c r="J393" s="98" t="s">
        <v>178</v>
      </c>
      <c r="K393" s="28">
        <v>32108</v>
      </c>
      <c r="L393" s="82" t="s">
        <v>179</v>
      </c>
      <c r="M393" s="170">
        <v>43770</v>
      </c>
      <c r="N393" s="25">
        <v>43586</v>
      </c>
      <c r="O393" s="25" t="s">
        <v>34</v>
      </c>
      <c r="P393" s="18" t="s">
        <v>84</v>
      </c>
      <c r="Q393" s="18" t="s">
        <v>181</v>
      </c>
      <c r="R393" s="13" t="s">
        <v>182</v>
      </c>
      <c r="S393" s="13" t="s">
        <v>2359</v>
      </c>
      <c r="T393" s="175"/>
      <c r="U393" s="175"/>
      <c r="V393" s="21" t="s">
        <v>184</v>
      </c>
      <c r="W393" s="21" t="s">
        <v>200</v>
      </c>
      <c r="X393" s="1">
        <v>5</v>
      </c>
      <c r="Y393" s="176" t="s">
        <v>2713</v>
      </c>
      <c r="Z393" s="86"/>
      <c r="AA393" s="86" t="s">
        <v>186</v>
      </c>
      <c r="AB393" s="1"/>
      <c r="AC393" s="123"/>
      <c r="AD393" s="218" t="s">
        <v>188</v>
      </c>
      <c r="AE393" s="219" t="s">
        <v>189</v>
      </c>
      <c r="AF393" s="219"/>
      <c r="AG393" s="220"/>
      <c r="AH393" s="221"/>
      <c r="AI393" s="221"/>
      <c r="AJ393" s="97" t="s">
        <v>203</v>
      </c>
      <c r="AK393" s="97" t="s">
        <v>190</v>
      </c>
      <c r="AL393" s="97" t="s">
        <v>190</v>
      </c>
      <c r="AM393" s="88" t="s">
        <v>2354</v>
      </c>
      <c r="AN393" s="22">
        <v>182</v>
      </c>
      <c r="AO393" s="22">
        <v>0</v>
      </c>
      <c r="AP393" s="22">
        <v>0</v>
      </c>
      <c r="AQ393" s="22">
        <v>15</v>
      </c>
      <c r="AR393" s="22">
        <v>0</v>
      </c>
      <c r="AS393" s="22">
        <v>7</v>
      </c>
      <c r="AT393" s="22">
        <v>10</v>
      </c>
      <c r="AU393" s="316">
        <f t="shared" si="67"/>
        <v>214</v>
      </c>
      <c r="AV393" s="22">
        <v>190</v>
      </c>
      <c r="AW393" s="22">
        <v>0</v>
      </c>
      <c r="AX393" s="22">
        <v>0</v>
      </c>
      <c r="AY393" s="22">
        <v>15</v>
      </c>
      <c r="AZ393" s="22">
        <v>0</v>
      </c>
      <c r="BA393" s="22">
        <v>7</v>
      </c>
      <c r="BB393" s="22">
        <v>10</v>
      </c>
      <c r="BC393" s="316">
        <f t="shared" si="68"/>
        <v>222</v>
      </c>
      <c r="BD393" s="58">
        <f t="shared" si="69"/>
        <v>8</v>
      </c>
      <c r="BE393" s="58">
        <f t="shared" si="70"/>
        <v>0</v>
      </c>
      <c r="BF393" s="58">
        <f t="shared" si="71"/>
        <v>0</v>
      </c>
      <c r="BG393" s="58">
        <f t="shared" si="72"/>
        <v>0</v>
      </c>
      <c r="BH393" s="58">
        <f t="shared" si="73"/>
        <v>0</v>
      </c>
      <c r="BI393" s="58">
        <f t="shared" si="74"/>
        <v>0</v>
      </c>
      <c r="BJ393" s="58">
        <f t="shared" si="75"/>
        <v>0</v>
      </c>
      <c r="BK393" s="58">
        <f t="shared" si="76"/>
        <v>8</v>
      </c>
    </row>
    <row r="394" spans="1:63" ht="27" customHeight="1">
      <c r="A394" s="13">
        <f t="shared" si="77"/>
        <v>392</v>
      </c>
      <c r="B394" s="14"/>
      <c r="C394" s="10">
        <v>2919</v>
      </c>
      <c r="D394" s="119" t="s">
        <v>2714</v>
      </c>
      <c r="E394" s="217" t="s">
        <v>2715</v>
      </c>
      <c r="F394" s="234" t="s">
        <v>1277</v>
      </c>
      <c r="G394" s="235" t="s">
        <v>2716</v>
      </c>
      <c r="H394" s="26" t="s">
        <v>2717</v>
      </c>
      <c r="I394" s="27" t="s">
        <v>2718</v>
      </c>
      <c r="J394" s="98" t="s">
        <v>178</v>
      </c>
      <c r="K394" s="28">
        <v>30653</v>
      </c>
      <c r="L394" s="82" t="s">
        <v>179</v>
      </c>
      <c r="M394" s="25">
        <v>43800</v>
      </c>
      <c r="N394" s="25">
        <v>43612</v>
      </c>
      <c r="O394" s="25" t="s">
        <v>34</v>
      </c>
      <c r="P394" s="18" t="s">
        <v>1085</v>
      </c>
      <c r="Q394" s="18" t="s">
        <v>181</v>
      </c>
      <c r="R394" s="13" t="s">
        <v>182</v>
      </c>
      <c r="S394" s="13" t="s">
        <v>2359</v>
      </c>
      <c r="T394" s="175"/>
      <c r="U394" s="175"/>
      <c r="V394" s="21" t="s">
        <v>184</v>
      </c>
      <c r="W394" s="21" t="s">
        <v>184</v>
      </c>
      <c r="X394" s="1" t="s">
        <v>184</v>
      </c>
      <c r="Y394" s="176" t="s">
        <v>184</v>
      </c>
      <c r="Z394" s="86"/>
      <c r="AA394" s="86"/>
      <c r="AB394" s="86" t="s">
        <v>186</v>
      </c>
      <c r="AC394" s="123"/>
      <c r="AD394" s="218"/>
      <c r="AE394" s="218"/>
      <c r="AF394" s="219"/>
      <c r="AG394" s="220"/>
      <c r="AH394" s="221"/>
      <c r="AI394" s="221"/>
      <c r="AJ394" s="97" t="s">
        <v>203</v>
      </c>
      <c r="AK394" s="97" t="s">
        <v>190</v>
      </c>
      <c r="AL394" s="97" t="s">
        <v>190</v>
      </c>
      <c r="AM394" s="88" t="s">
        <v>2354</v>
      </c>
      <c r="AN394" s="22">
        <v>182</v>
      </c>
      <c r="AO394" s="22">
        <v>0</v>
      </c>
      <c r="AP394" s="22">
        <v>0</v>
      </c>
      <c r="AQ394" s="22">
        <v>0</v>
      </c>
      <c r="AR394" s="22">
        <v>0</v>
      </c>
      <c r="AS394" s="22">
        <v>7</v>
      </c>
      <c r="AT394" s="22">
        <v>10</v>
      </c>
      <c r="AU394" s="316">
        <f t="shared" si="67"/>
        <v>199</v>
      </c>
      <c r="AV394" s="22">
        <v>190</v>
      </c>
      <c r="AW394" s="22">
        <v>0</v>
      </c>
      <c r="AX394" s="22">
        <v>0</v>
      </c>
      <c r="AY394" s="22">
        <v>0</v>
      </c>
      <c r="AZ394" s="22">
        <v>0</v>
      </c>
      <c r="BA394" s="22">
        <v>7</v>
      </c>
      <c r="BB394" s="22">
        <v>10</v>
      </c>
      <c r="BC394" s="316">
        <f t="shared" si="68"/>
        <v>207</v>
      </c>
      <c r="BD394" s="58">
        <f t="shared" si="69"/>
        <v>8</v>
      </c>
      <c r="BE394" s="58">
        <f t="shared" si="70"/>
        <v>0</v>
      </c>
      <c r="BF394" s="58">
        <f t="shared" si="71"/>
        <v>0</v>
      </c>
      <c r="BG394" s="58">
        <f t="shared" si="72"/>
        <v>0</v>
      </c>
      <c r="BH394" s="58">
        <f t="shared" si="73"/>
        <v>0</v>
      </c>
      <c r="BI394" s="58">
        <f t="shared" si="74"/>
        <v>0</v>
      </c>
      <c r="BJ394" s="58">
        <f t="shared" si="75"/>
        <v>0</v>
      </c>
      <c r="BK394" s="58">
        <f t="shared" si="76"/>
        <v>8</v>
      </c>
    </row>
    <row r="395" spans="1:63" ht="27" customHeight="1">
      <c r="A395" s="13">
        <f t="shared" si="77"/>
        <v>393</v>
      </c>
      <c r="B395" s="14"/>
      <c r="C395" s="10">
        <v>2912</v>
      </c>
      <c r="D395" s="119" t="s">
        <v>2719</v>
      </c>
      <c r="E395" s="217" t="s">
        <v>2720</v>
      </c>
      <c r="F395" s="234" t="s">
        <v>649</v>
      </c>
      <c r="G395" s="235" t="s">
        <v>509</v>
      </c>
      <c r="H395" s="26" t="s">
        <v>45</v>
      </c>
      <c r="I395" s="27" t="s">
        <v>46</v>
      </c>
      <c r="J395" s="98" t="s">
        <v>209</v>
      </c>
      <c r="K395" s="28">
        <v>31235</v>
      </c>
      <c r="L395" s="82" t="s">
        <v>179</v>
      </c>
      <c r="M395" s="25">
        <v>43800</v>
      </c>
      <c r="N395" s="25">
        <v>43608</v>
      </c>
      <c r="O395" s="25" t="s">
        <v>34</v>
      </c>
      <c r="P395" s="18" t="s">
        <v>15</v>
      </c>
      <c r="Q395" s="18" t="s">
        <v>181</v>
      </c>
      <c r="R395" s="13" t="s">
        <v>182</v>
      </c>
      <c r="S395" s="13" t="s">
        <v>2359</v>
      </c>
      <c r="T395" s="175"/>
      <c r="U395" s="175"/>
      <c r="V395" s="21" t="s">
        <v>184</v>
      </c>
      <c r="W395" s="21" t="s">
        <v>200</v>
      </c>
      <c r="X395" s="1">
        <v>9</v>
      </c>
      <c r="Y395" s="176" t="s">
        <v>2721</v>
      </c>
      <c r="Z395" s="86"/>
      <c r="AA395" s="86" t="s">
        <v>186</v>
      </c>
      <c r="AB395" s="1"/>
      <c r="AC395" s="123"/>
      <c r="AD395" s="218" t="s">
        <v>188</v>
      </c>
      <c r="AE395" s="219" t="s">
        <v>189</v>
      </c>
      <c r="AF395" s="219"/>
      <c r="AG395" s="220"/>
      <c r="AH395" s="221"/>
      <c r="AI395" s="221"/>
      <c r="AJ395" s="97" t="s">
        <v>203</v>
      </c>
      <c r="AK395" s="97" t="s">
        <v>190</v>
      </c>
      <c r="AL395" s="97" t="s">
        <v>190</v>
      </c>
      <c r="AM395" s="88" t="s">
        <v>2354</v>
      </c>
      <c r="AN395" s="22">
        <v>182</v>
      </c>
      <c r="AO395" s="22">
        <v>0</v>
      </c>
      <c r="AP395" s="22">
        <v>0</v>
      </c>
      <c r="AQ395" s="22">
        <v>0</v>
      </c>
      <c r="AR395" s="22">
        <v>0</v>
      </c>
      <c r="AS395" s="22">
        <v>7</v>
      </c>
      <c r="AT395" s="22">
        <v>10</v>
      </c>
      <c r="AU395" s="316">
        <f t="shared" si="67"/>
        <v>199</v>
      </c>
      <c r="AV395" s="22">
        <v>190</v>
      </c>
      <c r="AW395" s="22">
        <v>0</v>
      </c>
      <c r="AX395" s="22">
        <v>0</v>
      </c>
      <c r="AY395" s="22">
        <v>0</v>
      </c>
      <c r="AZ395" s="22">
        <v>0</v>
      </c>
      <c r="BA395" s="22">
        <v>7</v>
      </c>
      <c r="BB395" s="22">
        <v>10</v>
      </c>
      <c r="BC395" s="316">
        <f t="shared" si="68"/>
        <v>207</v>
      </c>
      <c r="BD395" s="58">
        <f t="shared" si="69"/>
        <v>8</v>
      </c>
      <c r="BE395" s="58">
        <f t="shared" si="70"/>
        <v>0</v>
      </c>
      <c r="BF395" s="58">
        <f t="shared" si="71"/>
        <v>0</v>
      </c>
      <c r="BG395" s="58">
        <f t="shared" si="72"/>
        <v>0</v>
      </c>
      <c r="BH395" s="58">
        <f t="shared" si="73"/>
        <v>0</v>
      </c>
      <c r="BI395" s="58">
        <f t="shared" si="74"/>
        <v>0</v>
      </c>
      <c r="BJ395" s="58">
        <f t="shared" si="75"/>
        <v>0</v>
      </c>
      <c r="BK395" s="58">
        <f t="shared" si="76"/>
        <v>8</v>
      </c>
    </row>
    <row r="396" spans="1:63" ht="27" customHeight="1">
      <c r="A396" s="13">
        <f t="shared" si="77"/>
        <v>394</v>
      </c>
      <c r="B396" s="14"/>
      <c r="C396" s="10">
        <v>2882</v>
      </c>
      <c r="D396" s="119" t="s">
        <v>2722</v>
      </c>
      <c r="E396" s="217" t="s">
        <v>2723</v>
      </c>
      <c r="F396" s="234" t="s">
        <v>1123</v>
      </c>
      <c r="G396" s="235" t="s">
        <v>963</v>
      </c>
      <c r="H396" s="26" t="s">
        <v>2724</v>
      </c>
      <c r="I396" s="27" t="s">
        <v>2252</v>
      </c>
      <c r="J396" s="98" t="s">
        <v>209</v>
      </c>
      <c r="K396" s="28">
        <v>30392</v>
      </c>
      <c r="L396" s="82" t="s">
        <v>179</v>
      </c>
      <c r="M396" s="170">
        <v>43770</v>
      </c>
      <c r="N396" s="25">
        <v>43586</v>
      </c>
      <c r="O396" s="25" t="s">
        <v>34</v>
      </c>
      <c r="P396" s="18" t="s">
        <v>199</v>
      </c>
      <c r="Q396" s="18" t="s">
        <v>181</v>
      </c>
      <c r="R396" s="13" t="s">
        <v>182</v>
      </c>
      <c r="S396" s="13" t="s">
        <v>2492</v>
      </c>
      <c r="T396" s="175"/>
      <c r="U396" s="175"/>
      <c r="V396" s="21" t="s">
        <v>184</v>
      </c>
      <c r="W396" s="21" t="s">
        <v>184</v>
      </c>
      <c r="X396" s="1">
        <v>4</v>
      </c>
      <c r="Y396" s="176" t="s">
        <v>2725</v>
      </c>
      <c r="Z396" s="86"/>
      <c r="AA396" s="86" t="s">
        <v>186</v>
      </c>
      <c r="AB396" s="1"/>
      <c r="AC396" s="123"/>
      <c r="AD396" s="218" t="s">
        <v>188</v>
      </c>
      <c r="AE396" s="219" t="s">
        <v>189</v>
      </c>
      <c r="AF396" s="219"/>
      <c r="AG396" s="220"/>
      <c r="AH396" s="221"/>
      <c r="AI396" s="221"/>
      <c r="AJ396" s="97" t="s">
        <v>203</v>
      </c>
      <c r="AK396" s="97" t="s">
        <v>190</v>
      </c>
      <c r="AL396" s="97" t="s">
        <v>190</v>
      </c>
      <c r="AM396" s="88" t="s">
        <v>2354</v>
      </c>
      <c r="AN396" s="22">
        <v>182</v>
      </c>
      <c r="AO396" s="22">
        <v>0</v>
      </c>
      <c r="AP396" s="22">
        <v>0</v>
      </c>
      <c r="AQ396" s="22">
        <v>0</v>
      </c>
      <c r="AR396" s="22">
        <v>0</v>
      </c>
      <c r="AS396" s="22">
        <v>7</v>
      </c>
      <c r="AT396" s="22">
        <v>10</v>
      </c>
      <c r="AU396" s="316">
        <f t="shared" si="67"/>
        <v>199</v>
      </c>
      <c r="AV396" s="22">
        <v>190</v>
      </c>
      <c r="AW396" s="22">
        <v>0</v>
      </c>
      <c r="AX396" s="22">
        <v>0</v>
      </c>
      <c r="AY396" s="22">
        <v>0</v>
      </c>
      <c r="AZ396" s="22">
        <v>0</v>
      </c>
      <c r="BA396" s="22">
        <v>7</v>
      </c>
      <c r="BB396" s="22">
        <v>10</v>
      </c>
      <c r="BC396" s="316">
        <f t="shared" si="68"/>
        <v>207</v>
      </c>
      <c r="BD396" s="58">
        <f t="shared" si="69"/>
        <v>8</v>
      </c>
      <c r="BE396" s="58">
        <f t="shared" si="70"/>
        <v>0</v>
      </c>
      <c r="BF396" s="58">
        <f t="shared" si="71"/>
        <v>0</v>
      </c>
      <c r="BG396" s="58">
        <f t="shared" si="72"/>
        <v>0</v>
      </c>
      <c r="BH396" s="58">
        <f t="shared" si="73"/>
        <v>0</v>
      </c>
      <c r="BI396" s="58">
        <f t="shared" si="74"/>
        <v>0</v>
      </c>
      <c r="BJ396" s="58">
        <f t="shared" si="75"/>
        <v>0</v>
      </c>
      <c r="BK396" s="58">
        <f t="shared" si="76"/>
        <v>8</v>
      </c>
    </row>
    <row r="397" spans="1:63" ht="27" customHeight="1">
      <c r="A397" s="13">
        <f t="shared" si="77"/>
        <v>395</v>
      </c>
      <c r="B397" s="14"/>
      <c r="C397" s="10">
        <v>2834</v>
      </c>
      <c r="D397" s="119" t="s">
        <v>2726</v>
      </c>
      <c r="E397" s="217" t="s">
        <v>2727</v>
      </c>
      <c r="F397" s="234" t="s">
        <v>2728</v>
      </c>
      <c r="G397" s="235" t="s">
        <v>2729</v>
      </c>
      <c r="H397" s="26" t="s">
        <v>2730</v>
      </c>
      <c r="I397" s="27" t="s">
        <v>2731</v>
      </c>
      <c r="J397" s="98" t="s">
        <v>178</v>
      </c>
      <c r="K397" s="28">
        <v>33793</v>
      </c>
      <c r="L397" s="82" t="s">
        <v>179</v>
      </c>
      <c r="M397" s="170">
        <v>43770</v>
      </c>
      <c r="N397" s="25">
        <v>43578</v>
      </c>
      <c r="O397" s="25" t="s">
        <v>34</v>
      </c>
      <c r="P397" s="18" t="s">
        <v>1085</v>
      </c>
      <c r="Q397" s="18" t="s">
        <v>181</v>
      </c>
      <c r="R397" s="13" t="s">
        <v>182</v>
      </c>
      <c r="S397" s="13" t="s">
        <v>2384</v>
      </c>
      <c r="T397" s="175"/>
      <c r="U397" s="175"/>
      <c r="V397" s="21" t="s">
        <v>184</v>
      </c>
      <c r="W397" s="21" t="s">
        <v>184</v>
      </c>
      <c r="X397" s="1">
        <v>7</v>
      </c>
      <c r="Y397" s="176" t="s">
        <v>2732</v>
      </c>
      <c r="Z397" s="86" t="s">
        <v>186</v>
      </c>
      <c r="AA397" s="86"/>
      <c r="AB397" s="1"/>
      <c r="AC397" s="123"/>
      <c r="AD397" s="218"/>
      <c r="AE397" s="218"/>
      <c r="AF397" s="219"/>
      <c r="AG397" s="220"/>
      <c r="AH397" s="221"/>
      <c r="AI397" s="221"/>
      <c r="AJ397" s="97" t="s">
        <v>203</v>
      </c>
      <c r="AK397" s="97" t="s">
        <v>190</v>
      </c>
      <c r="AL397" s="97" t="s">
        <v>190</v>
      </c>
      <c r="AM397" s="88" t="s">
        <v>2354</v>
      </c>
      <c r="AN397" s="22">
        <v>182</v>
      </c>
      <c r="AO397" s="22">
        <v>0</v>
      </c>
      <c r="AP397" s="22">
        <v>0</v>
      </c>
      <c r="AQ397" s="22">
        <v>0</v>
      </c>
      <c r="AR397" s="22">
        <v>0</v>
      </c>
      <c r="AS397" s="22">
        <v>7</v>
      </c>
      <c r="AT397" s="22">
        <v>10</v>
      </c>
      <c r="AU397" s="316">
        <f t="shared" si="67"/>
        <v>199</v>
      </c>
      <c r="AV397" s="22">
        <v>190</v>
      </c>
      <c r="AW397" s="22">
        <v>0</v>
      </c>
      <c r="AX397" s="22">
        <v>0</v>
      </c>
      <c r="AY397" s="22">
        <v>0</v>
      </c>
      <c r="AZ397" s="22">
        <v>0</v>
      </c>
      <c r="BA397" s="22">
        <v>7</v>
      </c>
      <c r="BB397" s="22">
        <v>10</v>
      </c>
      <c r="BC397" s="316">
        <f t="shared" si="68"/>
        <v>207</v>
      </c>
      <c r="BD397" s="58">
        <f t="shared" si="69"/>
        <v>8</v>
      </c>
      <c r="BE397" s="58">
        <f t="shared" si="70"/>
        <v>0</v>
      </c>
      <c r="BF397" s="58">
        <f t="shared" si="71"/>
        <v>0</v>
      </c>
      <c r="BG397" s="58">
        <f t="shared" si="72"/>
        <v>0</v>
      </c>
      <c r="BH397" s="58">
        <f t="shared" si="73"/>
        <v>0</v>
      </c>
      <c r="BI397" s="58">
        <f t="shared" si="74"/>
        <v>0</v>
      </c>
      <c r="BJ397" s="58">
        <f t="shared" si="75"/>
        <v>0</v>
      </c>
      <c r="BK397" s="58">
        <f t="shared" si="76"/>
        <v>8</v>
      </c>
    </row>
    <row r="398" spans="1:63" ht="27" customHeight="1">
      <c r="A398" s="13">
        <f t="shared" si="77"/>
        <v>396</v>
      </c>
      <c r="B398" s="14"/>
      <c r="C398" s="10">
        <v>2943</v>
      </c>
      <c r="D398" s="119" t="s">
        <v>2733</v>
      </c>
      <c r="E398" s="217" t="s">
        <v>2734</v>
      </c>
      <c r="F398" s="234" t="s">
        <v>2735</v>
      </c>
      <c r="G398" s="235" t="s">
        <v>2169</v>
      </c>
      <c r="H398" s="26" t="s">
        <v>2736</v>
      </c>
      <c r="I398" s="27" t="s">
        <v>2737</v>
      </c>
      <c r="J398" s="98" t="s">
        <v>178</v>
      </c>
      <c r="K398" s="28">
        <v>29405</v>
      </c>
      <c r="L398" s="82" t="s">
        <v>179</v>
      </c>
      <c r="M398" s="25">
        <v>43800</v>
      </c>
      <c r="N398" s="25">
        <v>43627</v>
      </c>
      <c r="O398" s="25" t="s">
        <v>34</v>
      </c>
      <c r="P398" s="18" t="s">
        <v>339</v>
      </c>
      <c r="Q398" s="18" t="s">
        <v>181</v>
      </c>
      <c r="R398" s="13" t="s">
        <v>182</v>
      </c>
      <c r="S398" s="13" t="s">
        <v>2492</v>
      </c>
      <c r="T398" s="175"/>
      <c r="U398" s="175"/>
      <c r="V398" s="21" t="s">
        <v>200</v>
      </c>
      <c r="W398" s="21" t="s">
        <v>200</v>
      </c>
      <c r="X398" s="1">
        <v>3</v>
      </c>
      <c r="Y398" s="176" t="s">
        <v>2738</v>
      </c>
      <c r="Z398" s="86"/>
      <c r="AA398" s="86" t="s">
        <v>186</v>
      </c>
      <c r="AB398" s="1"/>
      <c r="AC398" s="123"/>
      <c r="AD398" s="218" t="s">
        <v>188</v>
      </c>
      <c r="AE398" s="219" t="s">
        <v>189</v>
      </c>
      <c r="AF398" s="219"/>
      <c r="AG398" s="220"/>
      <c r="AH398" s="221"/>
      <c r="AI398" s="221"/>
      <c r="AJ398" s="97" t="s">
        <v>203</v>
      </c>
      <c r="AK398" s="97" t="s">
        <v>190</v>
      </c>
      <c r="AL398" s="97" t="s">
        <v>190</v>
      </c>
      <c r="AM398" s="88" t="s">
        <v>2354</v>
      </c>
      <c r="AN398" s="22">
        <v>182</v>
      </c>
      <c r="AO398" s="22">
        <v>0</v>
      </c>
      <c r="AP398" s="22">
        <v>0</v>
      </c>
      <c r="AQ398" s="22">
        <v>0</v>
      </c>
      <c r="AR398" s="22">
        <v>0</v>
      </c>
      <c r="AS398" s="22">
        <v>7</v>
      </c>
      <c r="AT398" s="22">
        <v>10</v>
      </c>
      <c r="AU398" s="316">
        <f t="shared" si="67"/>
        <v>199</v>
      </c>
      <c r="AV398" s="22">
        <v>190</v>
      </c>
      <c r="AW398" s="22">
        <v>0</v>
      </c>
      <c r="AX398" s="22">
        <v>0</v>
      </c>
      <c r="AY398" s="22">
        <v>0</v>
      </c>
      <c r="AZ398" s="22">
        <v>0</v>
      </c>
      <c r="BA398" s="22">
        <v>7</v>
      </c>
      <c r="BB398" s="22">
        <v>10</v>
      </c>
      <c r="BC398" s="316">
        <f t="shared" si="68"/>
        <v>207</v>
      </c>
      <c r="BD398" s="58">
        <f t="shared" si="69"/>
        <v>8</v>
      </c>
      <c r="BE398" s="58">
        <f t="shared" si="70"/>
        <v>0</v>
      </c>
      <c r="BF398" s="58">
        <f t="shared" si="71"/>
        <v>0</v>
      </c>
      <c r="BG398" s="58">
        <f t="shared" si="72"/>
        <v>0</v>
      </c>
      <c r="BH398" s="58">
        <f t="shared" si="73"/>
        <v>0</v>
      </c>
      <c r="BI398" s="58">
        <f t="shared" si="74"/>
        <v>0</v>
      </c>
      <c r="BJ398" s="58">
        <f t="shared" si="75"/>
        <v>0</v>
      </c>
      <c r="BK398" s="58">
        <f t="shared" si="76"/>
        <v>8</v>
      </c>
    </row>
    <row r="399" spans="1:63" ht="27" customHeight="1">
      <c r="A399" s="13">
        <f t="shared" si="77"/>
        <v>397</v>
      </c>
      <c r="B399" s="14"/>
      <c r="C399" s="10">
        <v>2942</v>
      </c>
      <c r="D399" s="119" t="s">
        <v>2739</v>
      </c>
      <c r="E399" s="217" t="s">
        <v>2740</v>
      </c>
      <c r="F399" s="234" t="s">
        <v>174</v>
      </c>
      <c r="G399" s="235" t="s">
        <v>2741</v>
      </c>
      <c r="H399" s="26" t="s">
        <v>2742</v>
      </c>
      <c r="I399" s="27" t="s">
        <v>2743</v>
      </c>
      <c r="J399" s="98" t="s">
        <v>209</v>
      </c>
      <c r="K399" s="28">
        <v>31931</v>
      </c>
      <c r="L399" s="82" t="s">
        <v>179</v>
      </c>
      <c r="M399" s="25">
        <v>43800</v>
      </c>
      <c r="N399" s="25">
        <v>43627</v>
      </c>
      <c r="O399" s="25" t="s">
        <v>34</v>
      </c>
      <c r="P399" s="18" t="s">
        <v>2410</v>
      </c>
      <c r="Q399" s="18" t="s">
        <v>249</v>
      </c>
      <c r="R399" s="13" t="s">
        <v>182</v>
      </c>
      <c r="S399" s="13" t="s">
        <v>2505</v>
      </c>
      <c r="T399" s="175"/>
      <c r="U399" s="175"/>
      <c r="V399" s="21" t="s">
        <v>184</v>
      </c>
      <c r="W399" s="21" t="s">
        <v>184</v>
      </c>
      <c r="X399" s="1">
        <v>5</v>
      </c>
      <c r="Y399" s="176" t="s">
        <v>2744</v>
      </c>
      <c r="Z399" s="86" t="s">
        <v>186</v>
      </c>
      <c r="AA399" s="86"/>
      <c r="AB399" s="1"/>
      <c r="AC399" s="123"/>
      <c r="AD399" s="218"/>
      <c r="AE399" s="218"/>
      <c r="AF399" s="219"/>
      <c r="AG399" s="220"/>
      <c r="AH399" s="221"/>
      <c r="AI399" s="221"/>
      <c r="AJ399" s="97" t="s">
        <v>203</v>
      </c>
      <c r="AK399" s="97" t="s">
        <v>190</v>
      </c>
      <c r="AL399" s="97" t="s">
        <v>190</v>
      </c>
      <c r="AM399" s="88" t="s">
        <v>2354</v>
      </c>
      <c r="AN399" s="22">
        <v>182</v>
      </c>
      <c r="AO399" s="22">
        <v>0</v>
      </c>
      <c r="AP399" s="22">
        <v>20</v>
      </c>
      <c r="AQ399" s="22">
        <v>0</v>
      </c>
      <c r="AR399" s="22">
        <v>0</v>
      </c>
      <c r="AS399" s="22">
        <v>7</v>
      </c>
      <c r="AT399" s="22">
        <v>10</v>
      </c>
      <c r="AU399" s="316">
        <f t="shared" si="67"/>
        <v>219</v>
      </c>
      <c r="AV399" s="22">
        <v>190</v>
      </c>
      <c r="AW399" s="22">
        <v>0</v>
      </c>
      <c r="AX399" s="22">
        <v>20</v>
      </c>
      <c r="AY399" s="22">
        <v>0</v>
      </c>
      <c r="AZ399" s="22">
        <v>0</v>
      </c>
      <c r="BA399" s="22">
        <v>7</v>
      </c>
      <c r="BB399" s="22">
        <v>10</v>
      </c>
      <c r="BC399" s="316">
        <f t="shared" si="68"/>
        <v>227</v>
      </c>
      <c r="BD399" s="58">
        <f t="shared" si="69"/>
        <v>8</v>
      </c>
      <c r="BE399" s="58">
        <f t="shared" si="70"/>
        <v>0</v>
      </c>
      <c r="BF399" s="58">
        <f t="shared" si="71"/>
        <v>0</v>
      </c>
      <c r="BG399" s="58">
        <f t="shared" si="72"/>
        <v>0</v>
      </c>
      <c r="BH399" s="58">
        <f t="shared" si="73"/>
        <v>0</v>
      </c>
      <c r="BI399" s="58">
        <f t="shared" si="74"/>
        <v>0</v>
      </c>
      <c r="BJ399" s="58">
        <f t="shared" si="75"/>
        <v>0</v>
      </c>
      <c r="BK399" s="58">
        <f t="shared" si="76"/>
        <v>8</v>
      </c>
    </row>
    <row r="400" spans="1:63" ht="27" customHeight="1">
      <c r="A400" s="13">
        <f t="shared" si="77"/>
        <v>398</v>
      </c>
      <c r="B400" s="14"/>
      <c r="C400" s="10">
        <v>2936</v>
      </c>
      <c r="D400" s="119" t="s">
        <v>2745</v>
      </c>
      <c r="E400" s="217" t="s">
        <v>2746</v>
      </c>
      <c r="F400" s="234" t="s">
        <v>540</v>
      </c>
      <c r="G400" s="235" t="s">
        <v>2747</v>
      </c>
      <c r="H400" s="26" t="s">
        <v>2197</v>
      </c>
      <c r="I400" s="27" t="s">
        <v>2748</v>
      </c>
      <c r="J400" s="98" t="s">
        <v>178</v>
      </c>
      <c r="K400" s="28">
        <v>37104</v>
      </c>
      <c r="L400" s="82" t="s">
        <v>179</v>
      </c>
      <c r="M400" s="25">
        <v>43800</v>
      </c>
      <c r="N400" s="25">
        <v>43626</v>
      </c>
      <c r="O400" s="25" t="s">
        <v>34</v>
      </c>
      <c r="P400" s="18" t="s">
        <v>318</v>
      </c>
      <c r="Q400" s="18" t="s">
        <v>249</v>
      </c>
      <c r="R400" s="13" t="s">
        <v>182</v>
      </c>
      <c r="S400" s="13" t="s">
        <v>2384</v>
      </c>
      <c r="T400" s="175"/>
      <c r="U400" s="175"/>
      <c r="V400" s="21"/>
      <c r="W400" s="21"/>
      <c r="X400" s="1" t="s">
        <v>184</v>
      </c>
      <c r="Y400" s="176"/>
      <c r="Z400" s="86" t="s">
        <v>186</v>
      </c>
      <c r="AA400" s="86"/>
      <c r="AB400" s="1"/>
      <c r="AC400" s="123"/>
      <c r="AD400" s="218"/>
      <c r="AE400" s="218"/>
      <c r="AF400" s="219"/>
      <c r="AG400" s="220"/>
      <c r="AH400" s="221"/>
      <c r="AI400" s="221"/>
      <c r="AJ400" s="97" t="s">
        <v>203</v>
      </c>
      <c r="AK400" s="97" t="s">
        <v>190</v>
      </c>
      <c r="AL400" s="97" t="s">
        <v>190</v>
      </c>
      <c r="AM400" s="123" t="s">
        <v>2354</v>
      </c>
      <c r="AN400" s="22">
        <v>182</v>
      </c>
      <c r="AO400" s="22">
        <v>0</v>
      </c>
      <c r="AP400" s="22">
        <v>20</v>
      </c>
      <c r="AQ400" s="22">
        <v>0</v>
      </c>
      <c r="AR400" s="22">
        <v>0</v>
      </c>
      <c r="AS400" s="22">
        <v>7</v>
      </c>
      <c r="AT400" s="22">
        <v>10</v>
      </c>
      <c r="AU400" s="316">
        <f t="shared" si="67"/>
        <v>219</v>
      </c>
      <c r="AV400" s="22">
        <v>190</v>
      </c>
      <c r="AW400" s="22">
        <v>0</v>
      </c>
      <c r="AX400" s="22">
        <v>20</v>
      </c>
      <c r="AY400" s="22">
        <v>0</v>
      </c>
      <c r="AZ400" s="22">
        <v>0</v>
      </c>
      <c r="BA400" s="22">
        <v>7</v>
      </c>
      <c r="BB400" s="22">
        <v>10</v>
      </c>
      <c r="BC400" s="316">
        <f t="shared" si="68"/>
        <v>227</v>
      </c>
      <c r="BD400" s="58">
        <f t="shared" si="69"/>
        <v>8</v>
      </c>
      <c r="BE400" s="58">
        <f t="shared" si="70"/>
        <v>0</v>
      </c>
      <c r="BF400" s="58">
        <f t="shared" si="71"/>
        <v>0</v>
      </c>
      <c r="BG400" s="58">
        <f t="shared" si="72"/>
        <v>0</v>
      </c>
      <c r="BH400" s="58">
        <f t="shared" si="73"/>
        <v>0</v>
      </c>
      <c r="BI400" s="58">
        <f t="shared" si="74"/>
        <v>0</v>
      </c>
      <c r="BJ400" s="58">
        <f t="shared" si="75"/>
        <v>0</v>
      </c>
      <c r="BK400" s="58">
        <f t="shared" si="76"/>
        <v>8</v>
      </c>
    </row>
    <row r="401" spans="1:63" ht="27" customHeight="1">
      <c r="A401" s="13">
        <f t="shared" si="77"/>
        <v>399</v>
      </c>
      <c r="B401" s="14"/>
      <c r="C401" s="10">
        <v>2946</v>
      </c>
      <c r="D401" s="119" t="s">
        <v>2749</v>
      </c>
      <c r="E401" s="217" t="s">
        <v>2750</v>
      </c>
      <c r="F401" s="234" t="s">
        <v>2751</v>
      </c>
      <c r="G401" s="235" t="s">
        <v>2752</v>
      </c>
      <c r="H401" s="26" t="s">
        <v>2753</v>
      </c>
      <c r="I401" s="27" t="s">
        <v>2754</v>
      </c>
      <c r="J401" s="98" t="s">
        <v>178</v>
      </c>
      <c r="K401" s="28">
        <v>26849</v>
      </c>
      <c r="L401" s="82" t="s">
        <v>179</v>
      </c>
      <c r="M401" s="25">
        <v>43800</v>
      </c>
      <c r="N401" s="25">
        <v>43627</v>
      </c>
      <c r="O401" s="25" t="s">
        <v>34</v>
      </c>
      <c r="P401" s="18" t="s">
        <v>2498</v>
      </c>
      <c r="Q401" s="18" t="s">
        <v>249</v>
      </c>
      <c r="R401" s="13" t="s">
        <v>182</v>
      </c>
      <c r="S401" s="13" t="s">
        <v>1551</v>
      </c>
      <c r="T401" s="175"/>
      <c r="U401" s="175"/>
      <c r="V401" s="21" t="s">
        <v>184</v>
      </c>
      <c r="W401" s="21" t="s">
        <v>200</v>
      </c>
      <c r="X401" s="1">
        <v>6</v>
      </c>
      <c r="Y401" s="176" t="s">
        <v>2755</v>
      </c>
      <c r="Z401" s="86"/>
      <c r="AA401" s="86"/>
      <c r="AB401" s="86" t="s">
        <v>186</v>
      </c>
      <c r="AC401" s="123"/>
      <c r="AD401" s="218"/>
      <c r="AE401" s="218"/>
      <c r="AF401" s="219"/>
      <c r="AG401" s="220"/>
      <c r="AH401" s="221"/>
      <c r="AI401" s="221"/>
      <c r="AJ401" s="97" t="s">
        <v>203</v>
      </c>
      <c r="AK401" s="97" t="s">
        <v>190</v>
      </c>
      <c r="AL401" s="97" t="s">
        <v>190</v>
      </c>
      <c r="AM401" s="123" t="s">
        <v>2354</v>
      </c>
      <c r="AN401" s="22">
        <v>182</v>
      </c>
      <c r="AO401" s="22">
        <v>0</v>
      </c>
      <c r="AP401" s="22">
        <v>20</v>
      </c>
      <c r="AQ401" s="22">
        <v>0</v>
      </c>
      <c r="AR401" s="22">
        <v>0</v>
      </c>
      <c r="AS401" s="22">
        <v>7</v>
      </c>
      <c r="AT401" s="22">
        <v>10</v>
      </c>
      <c r="AU401" s="316">
        <f t="shared" si="67"/>
        <v>219</v>
      </c>
      <c r="AV401" s="22">
        <v>190</v>
      </c>
      <c r="AW401" s="22">
        <v>0</v>
      </c>
      <c r="AX401" s="22">
        <v>20</v>
      </c>
      <c r="AY401" s="22">
        <v>0</v>
      </c>
      <c r="AZ401" s="22">
        <v>0</v>
      </c>
      <c r="BA401" s="22">
        <v>7</v>
      </c>
      <c r="BB401" s="22">
        <v>10</v>
      </c>
      <c r="BC401" s="316">
        <f t="shared" si="68"/>
        <v>227</v>
      </c>
      <c r="BD401" s="58">
        <f t="shared" si="69"/>
        <v>8</v>
      </c>
      <c r="BE401" s="58">
        <f t="shared" si="70"/>
        <v>0</v>
      </c>
      <c r="BF401" s="58">
        <f t="shared" si="71"/>
        <v>0</v>
      </c>
      <c r="BG401" s="58">
        <f t="shared" si="72"/>
        <v>0</v>
      </c>
      <c r="BH401" s="58">
        <f t="shared" si="73"/>
        <v>0</v>
      </c>
      <c r="BI401" s="58">
        <f t="shared" si="74"/>
        <v>0</v>
      </c>
      <c r="BJ401" s="58">
        <f t="shared" si="75"/>
        <v>0</v>
      </c>
      <c r="BK401" s="58">
        <f t="shared" si="76"/>
        <v>8</v>
      </c>
    </row>
    <row r="402" spans="1:63" ht="27" customHeight="1">
      <c r="A402" s="13">
        <f t="shared" si="77"/>
        <v>400</v>
      </c>
      <c r="B402" s="14"/>
      <c r="C402" s="10">
        <v>2933</v>
      </c>
      <c r="D402" s="119" t="s">
        <v>2756</v>
      </c>
      <c r="E402" s="217" t="s">
        <v>2757</v>
      </c>
      <c r="F402" s="234" t="s">
        <v>2758</v>
      </c>
      <c r="G402" s="235" t="s">
        <v>2759</v>
      </c>
      <c r="H402" s="26" t="s">
        <v>103</v>
      </c>
      <c r="I402" s="27" t="s">
        <v>104</v>
      </c>
      <c r="J402" s="98" t="s">
        <v>178</v>
      </c>
      <c r="K402" s="28">
        <v>35891</v>
      </c>
      <c r="L402" s="82" t="s">
        <v>179</v>
      </c>
      <c r="M402" s="25">
        <v>43800</v>
      </c>
      <c r="N402" s="25">
        <v>43622</v>
      </c>
      <c r="O402" s="25" t="s">
        <v>34</v>
      </c>
      <c r="P402" s="18" t="s">
        <v>81</v>
      </c>
      <c r="Q402" s="18" t="s">
        <v>181</v>
      </c>
      <c r="R402" s="13" t="s">
        <v>182</v>
      </c>
      <c r="S402" s="13" t="s">
        <v>2359</v>
      </c>
      <c r="T402" s="175"/>
      <c r="U402" s="175"/>
      <c r="V402" s="21" t="s">
        <v>200</v>
      </c>
      <c r="W402" s="21" t="s">
        <v>200</v>
      </c>
      <c r="X402" s="1">
        <v>6</v>
      </c>
      <c r="Y402" s="176" t="s">
        <v>2760</v>
      </c>
      <c r="Z402" s="86" t="s">
        <v>186</v>
      </c>
      <c r="AA402" s="86"/>
      <c r="AB402" s="1"/>
      <c r="AC402" s="123"/>
      <c r="AD402" s="218"/>
      <c r="AE402" s="218"/>
      <c r="AF402" s="219"/>
      <c r="AG402" s="220"/>
      <c r="AH402" s="221"/>
      <c r="AI402" s="221"/>
      <c r="AJ402" s="97" t="s">
        <v>203</v>
      </c>
      <c r="AK402" s="97" t="s">
        <v>190</v>
      </c>
      <c r="AL402" s="97" t="s">
        <v>190</v>
      </c>
      <c r="AM402" s="123" t="s">
        <v>2354</v>
      </c>
      <c r="AN402" s="22">
        <v>182</v>
      </c>
      <c r="AO402" s="22">
        <v>0</v>
      </c>
      <c r="AP402" s="22">
        <v>0</v>
      </c>
      <c r="AQ402" s="22">
        <v>0</v>
      </c>
      <c r="AR402" s="22">
        <v>0</v>
      </c>
      <c r="AS402" s="22">
        <v>7</v>
      </c>
      <c r="AT402" s="22">
        <v>10</v>
      </c>
      <c r="AU402" s="316">
        <f t="shared" si="67"/>
        <v>199</v>
      </c>
      <c r="AV402" s="22">
        <v>190</v>
      </c>
      <c r="AW402" s="22">
        <v>0</v>
      </c>
      <c r="AX402" s="22">
        <v>0</v>
      </c>
      <c r="AY402" s="22">
        <v>0</v>
      </c>
      <c r="AZ402" s="22">
        <v>0</v>
      </c>
      <c r="BA402" s="22">
        <v>7</v>
      </c>
      <c r="BB402" s="22">
        <v>10</v>
      </c>
      <c r="BC402" s="316">
        <f t="shared" si="68"/>
        <v>207</v>
      </c>
      <c r="BD402" s="58">
        <f t="shared" si="69"/>
        <v>8</v>
      </c>
      <c r="BE402" s="58">
        <f t="shared" si="70"/>
        <v>0</v>
      </c>
      <c r="BF402" s="58">
        <f t="shared" si="71"/>
        <v>0</v>
      </c>
      <c r="BG402" s="58">
        <f t="shared" si="72"/>
        <v>0</v>
      </c>
      <c r="BH402" s="58">
        <f t="shared" si="73"/>
        <v>0</v>
      </c>
      <c r="BI402" s="58">
        <f t="shared" si="74"/>
        <v>0</v>
      </c>
      <c r="BJ402" s="58">
        <f t="shared" si="75"/>
        <v>0</v>
      </c>
      <c r="BK402" s="58">
        <f t="shared" si="76"/>
        <v>8</v>
      </c>
    </row>
    <row r="403" spans="1:63" ht="27" customHeight="1">
      <c r="A403" s="13">
        <f t="shared" si="77"/>
        <v>401</v>
      </c>
      <c r="B403" s="14"/>
      <c r="C403" s="10">
        <v>2948</v>
      </c>
      <c r="D403" s="119" t="s">
        <v>2761</v>
      </c>
      <c r="E403" s="217" t="s">
        <v>2762</v>
      </c>
      <c r="F403" s="234" t="s">
        <v>2763</v>
      </c>
      <c r="G403" s="235" t="s">
        <v>2764</v>
      </c>
      <c r="H403" s="26" t="s">
        <v>47</v>
      </c>
      <c r="I403" s="27" t="s">
        <v>48</v>
      </c>
      <c r="J403" s="98" t="s">
        <v>209</v>
      </c>
      <c r="K403" s="28">
        <v>31960</v>
      </c>
      <c r="L403" s="82" t="s">
        <v>179</v>
      </c>
      <c r="M403" s="25">
        <v>43800</v>
      </c>
      <c r="N403" s="25">
        <v>43627</v>
      </c>
      <c r="O403" s="25" t="s">
        <v>34</v>
      </c>
      <c r="P403" s="18" t="s">
        <v>15</v>
      </c>
      <c r="Q403" s="18" t="s">
        <v>181</v>
      </c>
      <c r="R403" s="13" t="s">
        <v>182</v>
      </c>
      <c r="S403" s="13" t="s">
        <v>2359</v>
      </c>
      <c r="T403" s="175"/>
      <c r="U403" s="175"/>
      <c r="V403" s="21" t="s">
        <v>184</v>
      </c>
      <c r="W403" s="21" t="s">
        <v>184</v>
      </c>
      <c r="X403" s="1">
        <v>7</v>
      </c>
      <c r="Y403" s="176" t="s">
        <v>2765</v>
      </c>
      <c r="Z403" s="86" t="s">
        <v>186</v>
      </c>
      <c r="AA403" s="86"/>
      <c r="AB403" s="1"/>
      <c r="AC403" s="123"/>
      <c r="AD403" s="218"/>
      <c r="AE403" s="218"/>
      <c r="AF403" s="219"/>
      <c r="AG403" s="220"/>
      <c r="AH403" s="221"/>
      <c r="AI403" s="221"/>
      <c r="AJ403" s="97" t="s">
        <v>203</v>
      </c>
      <c r="AK403" s="97" t="s">
        <v>190</v>
      </c>
      <c r="AL403" s="97" t="s">
        <v>190</v>
      </c>
      <c r="AM403" s="123" t="s">
        <v>2354</v>
      </c>
      <c r="AN403" s="22">
        <v>182</v>
      </c>
      <c r="AO403" s="22">
        <v>0</v>
      </c>
      <c r="AP403" s="22">
        <v>0</v>
      </c>
      <c r="AQ403" s="22">
        <v>0</v>
      </c>
      <c r="AR403" s="22">
        <v>0</v>
      </c>
      <c r="AS403" s="22">
        <v>7</v>
      </c>
      <c r="AT403" s="22">
        <v>10</v>
      </c>
      <c r="AU403" s="316">
        <f t="shared" si="67"/>
        <v>199</v>
      </c>
      <c r="AV403" s="22">
        <v>190</v>
      </c>
      <c r="AW403" s="22">
        <v>0</v>
      </c>
      <c r="AX403" s="22">
        <v>0</v>
      </c>
      <c r="AY403" s="22">
        <v>0</v>
      </c>
      <c r="AZ403" s="22">
        <v>0</v>
      </c>
      <c r="BA403" s="22">
        <v>7</v>
      </c>
      <c r="BB403" s="22">
        <v>10</v>
      </c>
      <c r="BC403" s="316">
        <f t="shared" si="68"/>
        <v>207</v>
      </c>
      <c r="BD403" s="58">
        <f t="shared" si="69"/>
        <v>8</v>
      </c>
      <c r="BE403" s="58">
        <f t="shared" si="70"/>
        <v>0</v>
      </c>
      <c r="BF403" s="58">
        <f t="shared" si="71"/>
        <v>0</v>
      </c>
      <c r="BG403" s="58">
        <f t="shared" si="72"/>
        <v>0</v>
      </c>
      <c r="BH403" s="58">
        <f t="shared" si="73"/>
        <v>0</v>
      </c>
      <c r="BI403" s="58">
        <f t="shared" si="74"/>
        <v>0</v>
      </c>
      <c r="BJ403" s="58">
        <f t="shared" si="75"/>
        <v>0</v>
      </c>
      <c r="BK403" s="58">
        <f t="shared" si="76"/>
        <v>8</v>
      </c>
    </row>
    <row r="404" spans="1:63" ht="27" customHeight="1">
      <c r="A404" s="13">
        <f t="shared" si="77"/>
        <v>402</v>
      </c>
      <c r="B404" s="14"/>
      <c r="C404" s="10">
        <v>2974</v>
      </c>
      <c r="D404" s="119" t="s">
        <v>2766</v>
      </c>
      <c r="E404" s="217" t="s">
        <v>2767</v>
      </c>
      <c r="F404" s="234" t="s">
        <v>2449</v>
      </c>
      <c r="G404" s="235" t="s">
        <v>2768</v>
      </c>
      <c r="H404" s="26" t="s">
        <v>105</v>
      </c>
      <c r="I404" s="27" t="s">
        <v>106</v>
      </c>
      <c r="J404" s="98" t="s">
        <v>178</v>
      </c>
      <c r="K404" s="28">
        <v>28470</v>
      </c>
      <c r="L404" s="82" t="s">
        <v>179</v>
      </c>
      <c r="M404" s="25">
        <v>43636</v>
      </c>
      <c r="N404" s="25"/>
      <c r="O404" s="25" t="s">
        <v>34</v>
      </c>
      <c r="P404" s="18" t="s">
        <v>81</v>
      </c>
      <c r="Q404" s="18" t="s">
        <v>181</v>
      </c>
      <c r="R404" s="13" t="s">
        <v>182</v>
      </c>
      <c r="S404" s="13" t="s">
        <v>2430</v>
      </c>
      <c r="T404" s="175"/>
      <c r="U404" s="175"/>
      <c r="V404" s="21" t="s">
        <v>184</v>
      </c>
      <c r="W404" s="21" t="s">
        <v>184</v>
      </c>
      <c r="X404" s="1">
        <v>6</v>
      </c>
      <c r="Y404" s="176" t="s">
        <v>2769</v>
      </c>
      <c r="Z404" s="86"/>
      <c r="AA404" s="86" t="s">
        <v>186</v>
      </c>
      <c r="AB404" s="1"/>
      <c r="AC404" s="123"/>
      <c r="AD404" s="218"/>
      <c r="AE404" s="218"/>
      <c r="AF404" s="219"/>
      <c r="AG404" s="220"/>
      <c r="AH404" s="221"/>
      <c r="AI404" s="221"/>
      <c r="AJ404" s="97" t="s">
        <v>203</v>
      </c>
      <c r="AK404" s="97" t="s">
        <v>190</v>
      </c>
      <c r="AL404" s="97" t="s">
        <v>190</v>
      </c>
      <c r="AM404" s="123" t="s">
        <v>2354</v>
      </c>
      <c r="AN404" s="22">
        <v>182</v>
      </c>
      <c r="AO404" s="22">
        <v>0</v>
      </c>
      <c r="AP404" s="22">
        <v>0</v>
      </c>
      <c r="AQ404" s="22">
        <v>0</v>
      </c>
      <c r="AR404" s="22">
        <v>0</v>
      </c>
      <c r="AS404" s="22">
        <v>7</v>
      </c>
      <c r="AT404" s="22">
        <v>10</v>
      </c>
      <c r="AU404" s="316">
        <f t="shared" si="67"/>
        <v>199</v>
      </c>
      <c r="AV404" s="22">
        <v>190</v>
      </c>
      <c r="AW404" s="22">
        <v>0</v>
      </c>
      <c r="AX404" s="22">
        <v>0</v>
      </c>
      <c r="AY404" s="22">
        <v>0</v>
      </c>
      <c r="AZ404" s="22">
        <v>0</v>
      </c>
      <c r="BA404" s="22">
        <v>7</v>
      </c>
      <c r="BB404" s="22">
        <v>10</v>
      </c>
      <c r="BC404" s="316">
        <f t="shared" si="68"/>
        <v>207</v>
      </c>
      <c r="BD404" s="58">
        <f t="shared" si="69"/>
        <v>8</v>
      </c>
      <c r="BE404" s="58">
        <f t="shared" si="70"/>
        <v>0</v>
      </c>
      <c r="BF404" s="58">
        <f t="shared" si="71"/>
        <v>0</v>
      </c>
      <c r="BG404" s="58">
        <f t="shared" si="72"/>
        <v>0</v>
      </c>
      <c r="BH404" s="58">
        <f t="shared" si="73"/>
        <v>0</v>
      </c>
      <c r="BI404" s="58">
        <f t="shared" si="74"/>
        <v>0</v>
      </c>
      <c r="BJ404" s="58">
        <f t="shared" si="75"/>
        <v>0</v>
      </c>
      <c r="BK404" s="58">
        <f t="shared" si="76"/>
        <v>8</v>
      </c>
    </row>
    <row r="405" spans="1:63" ht="27" customHeight="1">
      <c r="A405" s="13">
        <f t="shared" si="77"/>
        <v>403</v>
      </c>
      <c r="B405" s="14"/>
      <c r="C405" s="10">
        <v>2929</v>
      </c>
      <c r="D405" s="119" t="s">
        <v>2770</v>
      </c>
      <c r="E405" s="217" t="s">
        <v>2771</v>
      </c>
      <c r="F405" s="234" t="s">
        <v>314</v>
      </c>
      <c r="G405" s="235" t="s">
        <v>2772</v>
      </c>
      <c r="H405" s="26" t="s">
        <v>2773</v>
      </c>
      <c r="I405" s="27" t="s">
        <v>2774</v>
      </c>
      <c r="J405" s="98" t="s">
        <v>178</v>
      </c>
      <c r="K405" s="28">
        <v>29869</v>
      </c>
      <c r="L405" s="82" t="s">
        <v>179</v>
      </c>
      <c r="M405" s="25">
        <v>43800</v>
      </c>
      <c r="N405" s="25">
        <v>43620</v>
      </c>
      <c r="O405" s="25" t="s">
        <v>34</v>
      </c>
      <c r="P405" s="18" t="s">
        <v>265</v>
      </c>
      <c r="Q405" s="18" t="s">
        <v>181</v>
      </c>
      <c r="R405" s="13" t="s">
        <v>182</v>
      </c>
      <c r="S405" s="13" t="s">
        <v>2775</v>
      </c>
      <c r="T405" s="175"/>
      <c r="U405" s="175"/>
      <c r="V405" s="21" t="s">
        <v>200</v>
      </c>
      <c r="W405" s="21" t="s">
        <v>184</v>
      </c>
      <c r="X405" s="1">
        <v>5</v>
      </c>
      <c r="Y405" s="176" t="s">
        <v>2776</v>
      </c>
      <c r="Z405" s="86"/>
      <c r="AA405" s="86" t="s">
        <v>186</v>
      </c>
      <c r="AB405" s="1"/>
      <c r="AC405" s="123"/>
      <c r="AD405" s="218" t="s">
        <v>188</v>
      </c>
      <c r="AE405" s="218" t="s">
        <v>189</v>
      </c>
      <c r="AF405" s="219"/>
      <c r="AG405" s="220"/>
      <c r="AH405" s="221"/>
      <c r="AI405" s="221"/>
      <c r="AJ405" s="97" t="s">
        <v>203</v>
      </c>
      <c r="AK405" s="97" t="s">
        <v>190</v>
      </c>
      <c r="AL405" s="97" t="s">
        <v>190</v>
      </c>
      <c r="AM405" s="123" t="s">
        <v>2354</v>
      </c>
      <c r="AN405" s="22">
        <v>182</v>
      </c>
      <c r="AO405" s="22">
        <v>0</v>
      </c>
      <c r="AP405" s="22">
        <v>0</v>
      </c>
      <c r="AQ405" s="22">
        <v>0</v>
      </c>
      <c r="AR405" s="22">
        <v>0</v>
      </c>
      <c r="AS405" s="22">
        <v>7</v>
      </c>
      <c r="AT405" s="22">
        <v>10</v>
      </c>
      <c r="AU405" s="316">
        <f t="shared" si="67"/>
        <v>199</v>
      </c>
      <c r="AV405" s="22">
        <v>190</v>
      </c>
      <c r="AW405" s="22">
        <v>0</v>
      </c>
      <c r="AX405" s="22">
        <v>0</v>
      </c>
      <c r="AY405" s="22">
        <v>0</v>
      </c>
      <c r="AZ405" s="22">
        <v>0</v>
      </c>
      <c r="BA405" s="22">
        <v>7</v>
      </c>
      <c r="BB405" s="22">
        <v>10</v>
      </c>
      <c r="BC405" s="316">
        <f t="shared" si="68"/>
        <v>207</v>
      </c>
      <c r="BD405" s="58">
        <f t="shared" si="69"/>
        <v>8</v>
      </c>
      <c r="BE405" s="58">
        <f t="shared" si="70"/>
        <v>0</v>
      </c>
      <c r="BF405" s="58">
        <f t="shared" si="71"/>
        <v>0</v>
      </c>
      <c r="BG405" s="58">
        <f t="shared" si="72"/>
        <v>0</v>
      </c>
      <c r="BH405" s="58">
        <f t="shared" si="73"/>
        <v>0</v>
      </c>
      <c r="BI405" s="58">
        <f t="shared" si="74"/>
        <v>0</v>
      </c>
      <c r="BJ405" s="58">
        <f t="shared" si="75"/>
        <v>0</v>
      </c>
      <c r="BK405" s="58">
        <f t="shared" si="76"/>
        <v>8</v>
      </c>
    </row>
    <row r="406" spans="1:63" ht="27" customHeight="1">
      <c r="A406" s="13">
        <f t="shared" si="77"/>
        <v>404</v>
      </c>
      <c r="B406" s="14"/>
      <c r="C406" s="10">
        <v>2931</v>
      </c>
      <c r="D406" s="119" t="s">
        <v>2777</v>
      </c>
      <c r="E406" s="217" t="s">
        <v>2778</v>
      </c>
      <c r="F406" s="234" t="s">
        <v>195</v>
      </c>
      <c r="G406" s="235" t="s">
        <v>2779</v>
      </c>
      <c r="H406" s="26" t="s">
        <v>96</v>
      </c>
      <c r="I406" s="27" t="s">
        <v>2780</v>
      </c>
      <c r="J406" s="98" t="s">
        <v>178</v>
      </c>
      <c r="K406" s="28">
        <v>29317</v>
      </c>
      <c r="L406" s="82" t="s">
        <v>179</v>
      </c>
      <c r="M406" s="25">
        <v>43800</v>
      </c>
      <c r="N406" s="25">
        <v>43621</v>
      </c>
      <c r="O406" s="25" t="s">
        <v>34</v>
      </c>
      <c r="P406" s="18" t="s">
        <v>265</v>
      </c>
      <c r="Q406" s="18" t="s">
        <v>181</v>
      </c>
      <c r="R406" s="13" t="s">
        <v>182</v>
      </c>
      <c r="S406" s="13" t="s">
        <v>2430</v>
      </c>
      <c r="T406" s="175"/>
      <c r="U406" s="175"/>
      <c r="V406" s="21" t="s">
        <v>200</v>
      </c>
      <c r="W406" s="21" t="s">
        <v>200</v>
      </c>
      <c r="X406" s="1">
        <v>7</v>
      </c>
      <c r="Y406" s="176" t="s">
        <v>2781</v>
      </c>
      <c r="Z406" s="86"/>
      <c r="AA406" s="86" t="s">
        <v>186</v>
      </c>
      <c r="AB406" s="1"/>
      <c r="AC406" s="123"/>
      <c r="AD406" s="218" t="s">
        <v>188</v>
      </c>
      <c r="AE406" s="218" t="s">
        <v>189</v>
      </c>
      <c r="AF406" s="219"/>
      <c r="AG406" s="220"/>
      <c r="AH406" s="221"/>
      <c r="AI406" s="221"/>
      <c r="AJ406" s="97" t="s">
        <v>203</v>
      </c>
      <c r="AK406" s="97" t="s">
        <v>190</v>
      </c>
      <c r="AL406" s="97" t="s">
        <v>190</v>
      </c>
      <c r="AM406" s="123" t="s">
        <v>2354</v>
      </c>
      <c r="AN406" s="22">
        <v>182</v>
      </c>
      <c r="AO406" s="22">
        <v>0</v>
      </c>
      <c r="AP406" s="22">
        <v>0</v>
      </c>
      <c r="AQ406" s="22">
        <v>0</v>
      </c>
      <c r="AR406" s="22">
        <v>0</v>
      </c>
      <c r="AS406" s="22">
        <v>7</v>
      </c>
      <c r="AT406" s="22">
        <v>10</v>
      </c>
      <c r="AU406" s="316">
        <f t="shared" si="67"/>
        <v>199</v>
      </c>
      <c r="AV406" s="22">
        <v>190</v>
      </c>
      <c r="AW406" s="22">
        <v>0</v>
      </c>
      <c r="AX406" s="22">
        <v>0</v>
      </c>
      <c r="AY406" s="22">
        <v>0</v>
      </c>
      <c r="AZ406" s="22">
        <v>0</v>
      </c>
      <c r="BA406" s="22">
        <v>7</v>
      </c>
      <c r="BB406" s="22">
        <v>10</v>
      </c>
      <c r="BC406" s="316">
        <f t="shared" si="68"/>
        <v>207</v>
      </c>
      <c r="BD406" s="58">
        <f t="shared" si="69"/>
        <v>8</v>
      </c>
      <c r="BE406" s="58">
        <f t="shared" si="70"/>
        <v>0</v>
      </c>
      <c r="BF406" s="58">
        <f t="shared" si="71"/>
        <v>0</v>
      </c>
      <c r="BG406" s="58">
        <f t="shared" si="72"/>
        <v>0</v>
      </c>
      <c r="BH406" s="58">
        <f t="shared" si="73"/>
        <v>0</v>
      </c>
      <c r="BI406" s="58">
        <f t="shared" si="74"/>
        <v>0</v>
      </c>
      <c r="BJ406" s="58">
        <f t="shared" si="75"/>
        <v>0</v>
      </c>
      <c r="BK406" s="58">
        <f t="shared" si="76"/>
        <v>8</v>
      </c>
    </row>
    <row r="407" spans="1:63" ht="27" customHeight="1">
      <c r="A407" s="13">
        <f t="shared" si="77"/>
        <v>405</v>
      </c>
      <c r="B407" s="14"/>
      <c r="C407" s="10">
        <v>2928</v>
      </c>
      <c r="D407" s="119" t="s">
        <v>2782</v>
      </c>
      <c r="E407" s="217" t="s">
        <v>2783</v>
      </c>
      <c r="F407" s="234" t="s">
        <v>1445</v>
      </c>
      <c r="G407" s="235" t="s">
        <v>1849</v>
      </c>
      <c r="H407" s="26" t="s">
        <v>2784</v>
      </c>
      <c r="I407" s="27" t="s">
        <v>2785</v>
      </c>
      <c r="J407" s="98" t="s">
        <v>178</v>
      </c>
      <c r="K407" s="28">
        <v>32664</v>
      </c>
      <c r="L407" s="82" t="s">
        <v>179</v>
      </c>
      <c r="M407" s="25">
        <v>43800</v>
      </c>
      <c r="N407" s="25">
        <v>43620</v>
      </c>
      <c r="O407" s="25" t="s">
        <v>34</v>
      </c>
      <c r="P407" s="18" t="s">
        <v>512</v>
      </c>
      <c r="Q407" s="18" t="s">
        <v>181</v>
      </c>
      <c r="R407" s="13" t="s">
        <v>182</v>
      </c>
      <c r="S407" s="13" t="s">
        <v>2430</v>
      </c>
      <c r="T407" s="175"/>
      <c r="U407" s="175"/>
      <c r="V407" s="21" t="s">
        <v>184</v>
      </c>
      <c r="W407" s="21" t="s">
        <v>200</v>
      </c>
      <c r="X407" s="1">
        <v>9</v>
      </c>
      <c r="Y407" s="176" t="s">
        <v>2786</v>
      </c>
      <c r="Z407" s="86"/>
      <c r="AA407" s="86" t="s">
        <v>186</v>
      </c>
      <c r="AB407" s="1"/>
      <c r="AC407" s="123"/>
      <c r="AD407" s="218" t="s">
        <v>188</v>
      </c>
      <c r="AE407" s="218" t="s">
        <v>189</v>
      </c>
      <c r="AF407" s="219"/>
      <c r="AG407" s="220"/>
      <c r="AH407" s="221"/>
      <c r="AI407" s="221"/>
      <c r="AJ407" s="97" t="s">
        <v>203</v>
      </c>
      <c r="AK407" s="97" t="s">
        <v>190</v>
      </c>
      <c r="AL407" s="97" t="s">
        <v>190</v>
      </c>
      <c r="AM407" s="123" t="s">
        <v>2354</v>
      </c>
      <c r="AN407" s="22">
        <v>182</v>
      </c>
      <c r="AO407" s="22">
        <v>0</v>
      </c>
      <c r="AP407" s="22">
        <v>0</v>
      </c>
      <c r="AQ407" s="22">
        <v>0</v>
      </c>
      <c r="AR407" s="22">
        <v>0</v>
      </c>
      <c r="AS407" s="22">
        <v>7</v>
      </c>
      <c r="AT407" s="22">
        <v>10</v>
      </c>
      <c r="AU407" s="316">
        <f t="shared" si="67"/>
        <v>199</v>
      </c>
      <c r="AV407" s="22">
        <v>190</v>
      </c>
      <c r="AW407" s="22">
        <v>0</v>
      </c>
      <c r="AX407" s="22">
        <v>0</v>
      </c>
      <c r="AY407" s="22">
        <v>0</v>
      </c>
      <c r="AZ407" s="22">
        <v>0</v>
      </c>
      <c r="BA407" s="22">
        <v>7</v>
      </c>
      <c r="BB407" s="22">
        <v>10</v>
      </c>
      <c r="BC407" s="316">
        <f t="shared" si="68"/>
        <v>207</v>
      </c>
      <c r="BD407" s="58">
        <f t="shared" si="69"/>
        <v>8</v>
      </c>
      <c r="BE407" s="58">
        <f t="shared" si="70"/>
        <v>0</v>
      </c>
      <c r="BF407" s="58">
        <f t="shared" si="71"/>
        <v>0</v>
      </c>
      <c r="BG407" s="58">
        <f t="shared" si="72"/>
        <v>0</v>
      </c>
      <c r="BH407" s="58">
        <f t="shared" si="73"/>
        <v>0</v>
      </c>
      <c r="BI407" s="58">
        <f t="shared" si="74"/>
        <v>0</v>
      </c>
      <c r="BJ407" s="58">
        <f t="shared" si="75"/>
        <v>0</v>
      </c>
      <c r="BK407" s="58">
        <f t="shared" si="76"/>
        <v>8</v>
      </c>
    </row>
    <row r="408" spans="1:63" ht="27" customHeight="1">
      <c r="A408" s="13">
        <f t="shared" si="77"/>
        <v>406</v>
      </c>
      <c r="B408" s="14"/>
      <c r="C408" s="10">
        <v>2927</v>
      </c>
      <c r="D408" s="119" t="s">
        <v>2787</v>
      </c>
      <c r="E408" s="217" t="s">
        <v>2788</v>
      </c>
      <c r="F408" s="234" t="s">
        <v>2789</v>
      </c>
      <c r="G408" s="235" t="s">
        <v>2790</v>
      </c>
      <c r="H408" s="26" t="s">
        <v>2182</v>
      </c>
      <c r="I408" s="27" t="s">
        <v>2656</v>
      </c>
      <c r="J408" s="98" t="s">
        <v>178</v>
      </c>
      <c r="K408" s="28">
        <v>35098</v>
      </c>
      <c r="L408" s="82" t="s">
        <v>179</v>
      </c>
      <c r="M408" s="25">
        <v>43800</v>
      </c>
      <c r="N408" s="25">
        <v>43620</v>
      </c>
      <c r="O408" s="25" t="s">
        <v>34</v>
      </c>
      <c r="P408" s="18" t="s">
        <v>348</v>
      </c>
      <c r="Q408" s="18" t="s">
        <v>181</v>
      </c>
      <c r="R408" s="13" t="s">
        <v>182</v>
      </c>
      <c r="S408" s="13" t="s">
        <v>2430</v>
      </c>
      <c r="T408" s="175"/>
      <c r="U408" s="175"/>
      <c r="V408" s="21" t="s">
        <v>184</v>
      </c>
      <c r="W408" s="21" t="s">
        <v>184</v>
      </c>
      <c r="X408" s="1">
        <v>11</v>
      </c>
      <c r="Y408" s="176" t="s">
        <v>2791</v>
      </c>
      <c r="Z408" s="86"/>
      <c r="AA408" s="86" t="s">
        <v>186</v>
      </c>
      <c r="AB408" s="1"/>
      <c r="AC408" s="123"/>
      <c r="AD408" s="218"/>
      <c r="AE408" s="218"/>
      <c r="AF408" s="219"/>
      <c r="AG408" s="220"/>
      <c r="AH408" s="221"/>
      <c r="AI408" s="221"/>
      <c r="AJ408" s="97" t="s">
        <v>203</v>
      </c>
      <c r="AK408" s="97" t="s">
        <v>190</v>
      </c>
      <c r="AL408" s="123"/>
      <c r="AM408" s="123" t="s">
        <v>2354</v>
      </c>
      <c r="AN408" s="22">
        <v>182</v>
      </c>
      <c r="AO408" s="22">
        <v>0</v>
      </c>
      <c r="AP408" s="22">
        <v>0</v>
      </c>
      <c r="AQ408" s="22">
        <v>0</v>
      </c>
      <c r="AR408" s="22">
        <v>0</v>
      </c>
      <c r="AS408" s="22">
        <v>7</v>
      </c>
      <c r="AT408" s="22">
        <v>10</v>
      </c>
      <c r="AU408" s="316">
        <f t="shared" si="67"/>
        <v>199</v>
      </c>
      <c r="AV408" s="22">
        <v>190</v>
      </c>
      <c r="AW408" s="22">
        <v>0</v>
      </c>
      <c r="AX408" s="22">
        <v>0</v>
      </c>
      <c r="AY408" s="22">
        <v>0</v>
      </c>
      <c r="AZ408" s="22">
        <v>0</v>
      </c>
      <c r="BA408" s="22">
        <v>7</v>
      </c>
      <c r="BB408" s="22">
        <v>10</v>
      </c>
      <c r="BC408" s="316">
        <f t="shared" si="68"/>
        <v>207</v>
      </c>
      <c r="BD408" s="58">
        <f t="shared" si="69"/>
        <v>8</v>
      </c>
      <c r="BE408" s="58">
        <f t="shared" si="70"/>
        <v>0</v>
      </c>
      <c r="BF408" s="58">
        <f t="shared" si="71"/>
        <v>0</v>
      </c>
      <c r="BG408" s="58">
        <f t="shared" si="72"/>
        <v>0</v>
      </c>
      <c r="BH408" s="58">
        <f t="shared" si="73"/>
        <v>0</v>
      </c>
      <c r="BI408" s="58">
        <f t="shared" si="74"/>
        <v>0</v>
      </c>
      <c r="BJ408" s="58">
        <f t="shared" si="75"/>
        <v>0</v>
      </c>
      <c r="BK408" s="58">
        <f t="shared" si="76"/>
        <v>8</v>
      </c>
    </row>
    <row r="409" spans="1:63" ht="27" customHeight="1">
      <c r="A409" s="13">
        <f t="shared" si="77"/>
        <v>407</v>
      </c>
      <c r="B409" s="14"/>
      <c r="C409" s="10">
        <v>2934</v>
      </c>
      <c r="D409" s="119" t="s">
        <v>2792</v>
      </c>
      <c r="E409" s="217" t="s">
        <v>296</v>
      </c>
      <c r="F409" s="234" t="s">
        <v>689</v>
      </c>
      <c r="G409" s="235" t="s">
        <v>2793</v>
      </c>
      <c r="H409" s="26" t="s">
        <v>2794</v>
      </c>
      <c r="I409" s="27" t="s">
        <v>2795</v>
      </c>
      <c r="J409" s="98" t="s">
        <v>178</v>
      </c>
      <c r="K409" s="28">
        <v>32174</v>
      </c>
      <c r="L409" s="82" t="s">
        <v>179</v>
      </c>
      <c r="M409" s="25">
        <v>43800</v>
      </c>
      <c r="N409" s="25">
        <v>43623</v>
      </c>
      <c r="O409" s="25" t="s">
        <v>34</v>
      </c>
      <c r="P409" s="18" t="s">
        <v>2498</v>
      </c>
      <c r="Q409" s="18" t="s">
        <v>249</v>
      </c>
      <c r="R409" s="13" t="s">
        <v>182</v>
      </c>
      <c r="S409" s="13" t="s">
        <v>2359</v>
      </c>
      <c r="T409" s="175"/>
      <c r="U409" s="175"/>
      <c r="V409" s="21" t="s">
        <v>200</v>
      </c>
      <c r="W409" s="21" t="s">
        <v>200</v>
      </c>
      <c r="X409" s="1">
        <v>9</v>
      </c>
      <c r="Y409" s="176" t="s">
        <v>2796</v>
      </c>
      <c r="Z409" s="86"/>
      <c r="AA409" s="86" t="s">
        <v>186</v>
      </c>
      <c r="AB409" s="1"/>
      <c r="AC409" s="123"/>
      <c r="AD409" s="218" t="s">
        <v>188</v>
      </c>
      <c r="AE409" s="218" t="s">
        <v>189</v>
      </c>
      <c r="AF409" s="219"/>
      <c r="AG409" s="220"/>
      <c r="AH409" s="221"/>
      <c r="AI409" s="221"/>
      <c r="AJ409" s="97" t="s">
        <v>203</v>
      </c>
      <c r="AK409" s="97" t="s">
        <v>190</v>
      </c>
      <c r="AL409" s="97" t="s">
        <v>190</v>
      </c>
      <c r="AM409" s="123" t="s">
        <v>2354</v>
      </c>
      <c r="AN409" s="22">
        <v>182</v>
      </c>
      <c r="AO409" s="22">
        <v>0</v>
      </c>
      <c r="AP409" s="22">
        <v>20</v>
      </c>
      <c r="AQ409" s="22">
        <v>0</v>
      </c>
      <c r="AR409" s="22">
        <v>0</v>
      </c>
      <c r="AS409" s="22">
        <v>7</v>
      </c>
      <c r="AT409" s="22">
        <v>10</v>
      </c>
      <c r="AU409" s="316">
        <f t="shared" si="67"/>
        <v>219</v>
      </c>
      <c r="AV409" s="22">
        <v>190</v>
      </c>
      <c r="AW409" s="22">
        <v>0</v>
      </c>
      <c r="AX409" s="22">
        <v>20</v>
      </c>
      <c r="AY409" s="22">
        <v>0</v>
      </c>
      <c r="AZ409" s="22">
        <v>0</v>
      </c>
      <c r="BA409" s="22">
        <v>7</v>
      </c>
      <c r="BB409" s="22">
        <v>10</v>
      </c>
      <c r="BC409" s="316">
        <f t="shared" si="68"/>
        <v>227</v>
      </c>
      <c r="BD409" s="58">
        <f t="shared" si="69"/>
        <v>8</v>
      </c>
      <c r="BE409" s="58">
        <f t="shared" si="70"/>
        <v>0</v>
      </c>
      <c r="BF409" s="58">
        <f t="shared" si="71"/>
        <v>0</v>
      </c>
      <c r="BG409" s="58">
        <f t="shared" si="72"/>
        <v>0</v>
      </c>
      <c r="BH409" s="58">
        <f t="shared" si="73"/>
        <v>0</v>
      </c>
      <c r="BI409" s="58">
        <f t="shared" si="74"/>
        <v>0</v>
      </c>
      <c r="BJ409" s="58">
        <f t="shared" si="75"/>
        <v>0</v>
      </c>
      <c r="BK409" s="58">
        <f t="shared" si="76"/>
        <v>8</v>
      </c>
    </row>
    <row r="410" spans="1:63" ht="27" customHeight="1">
      <c r="A410" s="13">
        <f t="shared" si="77"/>
        <v>408</v>
      </c>
      <c r="B410" s="14"/>
      <c r="C410" s="10">
        <v>2938</v>
      </c>
      <c r="D410" s="119" t="s">
        <v>2797</v>
      </c>
      <c r="E410" s="217" t="s">
        <v>2798</v>
      </c>
      <c r="F410" s="234" t="s">
        <v>1451</v>
      </c>
      <c r="G410" s="235" t="s">
        <v>1366</v>
      </c>
      <c r="H410" s="26" t="s">
        <v>107</v>
      </c>
      <c r="I410" s="27" t="s">
        <v>108</v>
      </c>
      <c r="J410" s="98" t="s">
        <v>178</v>
      </c>
      <c r="K410" s="28">
        <v>33975</v>
      </c>
      <c r="L410" s="82" t="s">
        <v>179</v>
      </c>
      <c r="M410" s="25">
        <v>43800</v>
      </c>
      <c r="N410" s="25">
        <v>43623</v>
      </c>
      <c r="O410" s="25" t="s">
        <v>34</v>
      </c>
      <c r="P410" s="18" t="s">
        <v>81</v>
      </c>
      <c r="Q410" s="18" t="s">
        <v>181</v>
      </c>
      <c r="R410" s="13" t="s">
        <v>182</v>
      </c>
      <c r="S410" s="13" t="s">
        <v>2359</v>
      </c>
      <c r="T410" s="175"/>
      <c r="U410" s="175"/>
      <c r="V410" s="21" t="s">
        <v>184</v>
      </c>
      <c r="W410" s="21" t="s">
        <v>184</v>
      </c>
      <c r="X410" s="1">
        <v>7</v>
      </c>
      <c r="Y410" s="176" t="s">
        <v>2799</v>
      </c>
      <c r="Z410" s="86"/>
      <c r="AA410" s="86" t="s">
        <v>186</v>
      </c>
      <c r="AB410" s="1"/>
      <c r="AC410" s="123"/>
      <c r="AD410" s="218"/>
      <c r="AE410" s="218"/>
      <c r="AF410" s="219"/>
      <c r="AG410" s="220"/>
      <c r="AH410" s="221"/>
      <c r="AI410" s="221"/>
      <c r="AJ410" s="97" t="s">
        <v>203</v>
      </c>
      <c r="AK410" s="97" t="s">
        <v>190</v>
      </c>
      <c r="AL410" s="97" t="s">
        <v>190</v>
      </c>
      <c r="AM410" s="123" t="s">
        <v>2354</v>
      </c>
      <c r="AN410" s="22">
        <v>182</v>
      </c>
      <c r="AO410" s="22">
        <v>0</v>
      </c>
      <c r="AP410" s="22">
        <v>0</v>
      </c>
      <c r="AQ410" s="22">
        <v>0</v>
      </c>
      <c r="AR410" s="22">
        <v>0</v>
      </c>
      <c r="AS410" s="22">
        <v>7</v>
      </c>
      <c r="AT410" s="22">
        <v>10</v>
      </c>
      <c r="AU410" s="316">
        <f t="shared" si="67"/>
        <v>199</v>
      </c>
      <c r="AV410" s="22">
        <v>190</v>
      </c>
      <c r="AW410" s="22">
        <v>0</v>
      </c>
      <c r="AX410" s="22">
        <v>0</v>
      </c>
      <c r="AY410" s="22">
        <v>0</v>
      </c>
      <c r="AZ410" s="22">
        <v>0</v>
      </c>
      <c r="BA410" s="22">
        <v>7</v>
      </c>
      <c r="BB410" s="22">
        <v>10</v>
      </c>
      <c r="BC410" s="316">
        <f t="shared" si="68"/>
        <v>207</v>
      </c>
      <c r="BD410" s="58">
        <f t="shared" si="69"/>
        <v>8</v>
      </c>
      <c r="BE410" s="58">
        <f t="shared" si="70"/>
        <v>0</v>
      </c>
      <c r="BF410" s="58">
        <f t="shared" si="71"/>
        <v>0</v>
      </c>
      <c r="BG410" s="58">
        <f t="shared" si="72"/>
        <v>0</v>
      </c>
      <c r="BH410" s="58">
        <f t="shared" si="73"/>
        <v>0</v>
      </c>
      <c r="BI410" s="58">
        <f t="shared" si="74"/>
        <v>0</v>
      </c>
      <c r="BJ410" s="58">
        <f t="shared" si="75"/>
        <v>0</v>
      </c>
      <c r="BK410" s="58">
        <f t="shared" si="76"/>
        <v>8</v>
      </c>
    </row>
    <row r="411" spans="1:63" ht="27" customHeight="1">
      <c r="A411" s="13">
        <f t="shared" si="77"/>
        <v>409</v>
      </c>
      <c r="B411" s="14"/>
      <c r="C411" s="10">
        <v>2981</v>
      </c>
      <c r="D411" s="119" t="s">
        <v>2800</v>
      </c>
      <c r="E411" s="217" t="s">
        <v>2801</v>
      </c>
      <c r="F411" s="234" t="s">
        <v>1178</v>
      </c>
      <c r="G411" s="235" t="s">
        <v>2802</v>
      </c>
      <c r="H411" s="26" t="s">
        <v>2803</v>
      </c>
      <c r="I411" s="27" t="s">
        <v>2804</v>
      </c>
      <c r="J411" s="98" t="s">
        <v>178</v>
      </c>
      <c r="K411" s="28">
        <v>35500</v>
      </c>
      <c r="L411" s="82" t="s">
        <v>179</v>
      </c>
      <c r="M411" s="25">
        <v>43644</v>
      </c>
      <c r="N411" s="25"/>
      <c r="O411" s="25" t="s">
        <v>34</v>
      </c>
      <c r="P411" s="18" t="s">
        <v>561</v>
      </c>
      <c r="Q411" s="18" t="s">
        <v>181</v>
      </c>
      <c r="R411" s="13" t="s">
        <v>182</v>
      </c>
      <c r="S411" s="13" t="s">
        <v>2384</v>
      </c>
      <c r="T411" s="175"/>
      <c r="U411" s="175"/>
      <c r="V411" s="21" t="s">
        <v>184</v>
      </c>
      <c r="W411" s="21" t="s">
        <v>184</v>
      </c>
      <c r="X411" s="1">
        <v>7</v>
      </c>
      <c r="Y411" s="176" t="s">
        <v>2805</v>
      </c>
      <c r="Z411" s="86" t="s">
        <v>186</v>
      </c>
      <c r="AA411" s="86"/>
      <c r="AB411" s="1"/>
      <c r="AC411" s="123"/>
      <c r="AD411" s="218"/>
      <c r="AE411" s="218"/>
      <c r="AF411" s="219"/>
      <c r="AG411" s="220"/>
      <c r="AH411" s="221"/>
      <c r="AI411" s="221"/>
      <c r="AJ411" s="97" t="s">
        <v>203</v>
      </c>
      <c r="AK411" s="97" t="s">
        <v>190</v>
      </c>
      <c r="AL411" s="97" t="s">
        <v>190</v>
      </c>
      <c r="AM411" s="123" t="s">
        <v>2806</v>
      </c>
      <c r="AN411" s="22">
        <v>182</v>
      </c>
      <c r="AO411" s="22">
        <v>0</v>
      </c>
      <c r="AP411" s="22">
        <v>0</v>
      </c>
      <c r="AQ411" s="22">
        <v>0</v>
      </c>
      <c r="AR411" s="22">
        <v>0</v>
      </c>
      <c r="AS411" s="22">
        <v>7</v>
      </c>
      <c r="AT411" s="22">
        <v>10</v>
      </c>
      <c r="AU411" s="316">
        <f t="shared" si="67"/>
        <v>199</v>
      </c>
      <c r="AV411" s="22">
        <v>190</v>
      </c>
      <c r="AW411" s="22">
        <v>0</v>
      </c>
      <c r="AX411" s="22">
        <v>0</v>
      </c>
      <c r="AY411" s="22">
        <v>0</v>
      </c>
      <c r="AZ411" s="22">
        <v>0</v>
      </c>
      <c r="BA411" s="22">
        <v>7</v>
      </c>
      <c r="BB411" s="22">
        <v>10</v>
      </c>
      <c r="BC411" s="316">
        <f t="shared" si="68"/>
        <v>207</v>
      </c>
      <c r="BD411" s="58">
        <f t="shared" si="69"/>
        <v>8</v>
      </c>
      <c r="BE411" s="58">
        <f t="shared" si="70"/>
        <v>0</v>
      </c>
      <c r="BF411" s="58">
        <f t="shared" si="71"/>
        <v>0</v>
      </c>
      <c r="BG411" s="58">
        <f t="shared" si="72"/>
        <v>0</v>
      </c>
      <c r="BH411" s="58">
        <f t="shared" si="73"/>
        <v>0</v>
      </c>
      <c r="BI411" s="58">
        <f t="shared" si="74"/>
        <v>0</v>
      </c>
      <c r="BJ411" s="58">
        <f t="shared" si="75"/>
        <v>0</v>
      </c>
      <c r="BK411" s="58">
        <f t="shared" si="76"/>
        <v>8</v>
      </c>
    </row>
    <row r="412" spans="1:63" ht="27" customHeight="1">
      <c r="A412" s="13">
        <f t="shared" si="77"/>
        <v>410</v>
      </c>
      <c r="B412" s="14"/>
      <c r="C412" s="10">
        <v>2963</v>
      </c>
      <c r="D412" s="119" t="s">
        <v>2807</v>
      </c>
      <c r="E412" s="217" t="s">
        <v>2808</v>
      </c>
      <c r="F412" s="234" t="s">
        <v>2809</v>
      </c>
      <c r="G412" s="235" t="s">
        <v>2810</v>
      </c>
      <c r="H412" s="26" t="s">
        <v>2811</v>
      </c>
      <c r="I412" s="27" t="s">
        <v>2812</v>
      </c>
      <c r="J412" s="98" t="s">
        <v>178</v>
      </c>
      <c r="K412" s="28">
        <v>35534</v>
      </c>
      <c r="L412" s="82" t="s">
        <v>179</v>
      </c>
      <c r="M412" s="25">
        <v>43635</v>
      </c>
      <c r="N412" s="25"/>
      <c r="O412" s="25" t="s">
        <v>34</v>
      </c>
      <c r="P412" s="18" t="s">
        <v>301</v>
      </c>
      <c r="Q412" s="18" t="s">
        <v>181</v>
      </c>
      <c r="R412" s="13" t="s">
        <v>182</v>
      </c>
      <c r="S412" s="13" t="s">
        <v>2505</v>
      </c>
      <c r="T412" s="175"/>
      <c r="U412" s="175"/>
      <c r="V412" s="21" t="s">
        <v>184</v>
      </c>
      <c r="W412" s="21" t="s">
        <v>200</v>
      </c>
      <c r="X412" s="1">
        <v>7</v>
      </c>
      <c r="Y412" s="176" t="s">
        <v>2813</v>
      </c>
      <c r="Z412" s="86" t="s">
        <v>186</v>
      </c>
      <c r="AA412" s="86"/>
      <c r="AB412" s="1"/>
      <c r="AC412" s="123"/>
      <c r="AD412" s="218"/>
      <c r="AE412" s="218"/>
      <c r="AF412" s="219"/>
      <c r="AG412" s="220"/>
      <c r="AH412" s="221"/>
      <c r="AI412" s="221"/>
      <c r="AJ412" s="97" t="s">
        <v>203</v>
      </c>
      <c r="AK412" s="97" t="s">
        <v>190</v>
      </c>
      <c r="AL412" s="97" t="s">
        <v>190</v>
      </c>
      <c r="AM412" s="123" t="s">
        <v>2354</v>
      </c>
      <c r="AN412" s="22">
        <v>182</v>
      </c>
      <c r="AO412" s="22">
        <v>0</v>
      </c>
      <c r="AP412" s="22">
        <v>0</v>
      </c>
      <c r="AQ412" s="22">
        <v>0</v>
      </c>
      <c r="AR412" s="22">
        <v>0</v>
      </c>
      <c r="AS412" s="22">
        <v>7</v>
      </c>
      <c r="AT412" s="22">
        <v>10</v>
      </c>
      <c r="AU412" s="316">
        <f t="shared" si="67"/>
        <v>199</v>
      </c>
      <c r="AV412" s="22">
        <v>190</v>
      </c>
      <c r="AW412" s="22">
        <v>0</v>
      </c>
      <c r="AX412" s="22">
        <v>0</v>
      </c>
      <c r="AY412" s="22">
        <v>0</v>
      </c>
      <c r="AZ412" s="22">
        <v>0</v>
      </c>
      <c r="BA412" s="22">
        <v>7</v>
      </c>
      <c r="BB412" s="22">
        <v>10</v>
      </c>
      <c r="BC412" s="316">
        <f t="shared" si="68"/>
        <v>207</v>
      </c>
      <c r="BD412" s="58">
        <f t="shared" si="69"/>
        <v>8</v>
      </c>
      <c r="BE412" s="58">
        <f t="shared" si="70"/>
        <v>0</v>
      </c>
      <c r="BF412" s="58">
        <f t="shared" si="71"/>
        <v>0</v>
      </c>
      <c r="BG412" s="58">
        <f t="shared" si="72"/>
        <v>0</v>
      </c>
      <c r="BH412" s="58">
        <f t="shared" si="73"/>
        <v>0</v>
      </c>
      <c r="BI412" s="58">
        <f t="shared" si="74"/>
        <v>0</v>
      </c>
      <c r="BJ412" s="58">
        <f t="shared" si="75"/>
        <v>0</v>
      </c>
      <c r="BK412" s="58">
        <f t="shared" si="76"/>
        <v>8</v>
      </c>
    </row>
    <row r="413" spans="1:63" ht="27" customHeight="1">
      <c r="A413" s="13">
        <f t="shared" si="77"/>
        <v>411</v>
      </c>
      <c r="B413" s="14"/>
      <c r="C413" s="10">
        <v>2960</v>
      </c>
      <c r="D413" s="119">
        <v>0</v>
      </c>
      <c r="E413" s="217" t="s">
        <v>2814</v>
      </c>
      <c r="F413" s="234" t="s">
        <v>527</v>
      </c>
      <c r="G413" s="235" t="s">
        <v>2815</v>
      </c>
      <c r="H413" s="26" t="s">
        <v>90</v>
      </c>
      <c r="I413" s="27" t="s">
        <v>109</v>
      </c>
      <c r="J413" s="98" t="s">
        <v>209</v>
      </c>
      <c r="K413" s="28">
        <v>30319</v>
      </c>
      <c r="L413" s="82" t="s">
        <v>179</v>
      </c>
      <c r="M413" s="25">
        <v>43635</v>
      </c>
      <c r="N413" s="25"/>
      <c r="O413" s="25" t="s">
        <v>34</v>
      </c>
      <c r="P413" s="18" t="s">
        <v>81</v>
      </c>
      <c r="Q413" s="18" t="s">
        <v>181</v>
      </c>
      <c r="R413" s="13" t="s">
        <v>182</v>
      </c>
      <c r="S413" s="13" t="s">
        <v>331</v>
      </c>
      <c r="T413" s="175"/>
      <c r="U413" s="175"/>
      <c r="V413" s="21" t="s">
        <v>184</v>
      </c>
      <c r="W413" s="21" t="s">
        <v>200</v>
      </c>
      <c r="X413" s="1">
        <v>6</v>
      </c>
      <c r="Y413" s="176" t="s">
        <v>2816</v>
      </c>
      <c r="Z413" s="86"/>
      <c r="AA413" s="86" t="s">
        <v>186</v>
      </c>
      <c r="AB413" s="1"/>
      <c r="AC413" s="123"/>
      <c r="AD413" s="218"/>
      <c r="AE413" s="218"/>
      <c r="AF413" s="219"/>
      <c r="AG413" s="220"/>
      <c r="AH413" s="221"/>
      <c r="AI413" s="221"/>
      <c r="AJ413" s="97" t="s">
        <v>203</v>
      </c>
      <c r="AK413" s="97" t="s">
        <v>190</v>
      </c>
      <c r="AL413" s="97" t="s">
        <v>190</v>
      </c>
      <c r="AM413" s="123" t="s">
        <v>2349</v>
      </c>
      <c r="AN413" s="22">
        <v>182</v>
      </c>
      <c r="AO413" s="22">
        <v>0</v>
      </c>
      <c r="AP413" s="22">
        <v>0</v>
      </c>
      <c r="AQ413" s="22">
        <v>50</v>
      </c>
      <c r="AR413" s="22">
        <v>0</v>
      </c>
      <c r="AS413" s="22">
        <v>7</v>
      </c>
      <c r="AT413" s="22">
        <v>10</v>
      </c>
      <c r="AU413" s="316">
        <f t="shared" si="67"/>
        <v>249</v>
      </c>
      <c r="AV413" s="22">
        <v>190</v>
      </c>
      <c r="AW413" s="22">
        <v>0</v>
      </c>
      <c r="AX413" s="22">
        <v>0</v>
      </c>
      <c r="AY413" s="22">
        <v>50</v>
      </c>
      <c r="AZ413" s="22">
        <v>0</v>
      </c>
      <c r="BA413" s="22">
        <v>7</v>
      </c>
      <c r="BB413" s="22">
        <v>10</v>
      </c>
      <c r="BC413" s="316">
        <f t="shared" si="68"/>
        <v>257</v>
      </c>
      <c r="BD413" s="58">
        <f t="shared" si="69"/>
        <v>8</v>
      </c>
      <c r="BE413" s="58">
        <f t="shared" si="70"/>
        <v>0</v>
      </c>
      <c r="BF413" s="58">
        <f t="shared" si="71"/>
        <v>0</v>
      </c>
      <c r="BG413" s="58">
        <f t="shared" si="72"/>
        <v>0</v>
      </c>
      <c r="BH413" s="58">
        <f t="shared" si="73"/>
        <v>0</v>
      </c>
      <c r="BI413" s="58">
        <f t="shared" si="74"/>
        <v>0</v>
      </c>
      <c r="BJ413" s="58">
        <f t="shared" si="75"/>
        <v>0</v>
      </c>
      <c r="BK413" s="58">
        <f t="shared" si="76"/>
        <v>8</v>
      </c>
    </row>
    <row r="414" spans="1:63" ht="27" customHeight="1">
      <c r="A414" s="13">
        <f t="shared" si="77"/>
        <v>412</v>
      </c>
      <c r="B414" s="14"/>
      <c r="C414" s="10">
        <v>2973</v>
      </c>
      <c r="D414" s="119" t="s">
        <v>2817</v>
      </c>
      <c r="E414" s="217" t="s">
        <v>2818</v>
      </c>
      <c r="F414" s="234" t="s">
        <v>963</v>
      </c>
      <c r="G414" s="235" t="s">
        <v>2819</v>
      </c>
      <c r="H414" s="26" t="s">
        <v>964</v>
      </c>
      <c r="I414" s="27" t="s">
        <v>2820</v>
      </c>
      <c r="J414" s="98" t="s">
        <v>209</v>
      </c>
      <c r="K414" s="28">
        <v>28342</v>
      </c>
      <c r="L414" s="82" t="s">
        <v>179</v>
      </c>
      <c r="M414" s="25">
        <v>43637</v>
      </c>
      <c r="N414" s="25"/>
      <c r="O414" s="25" t="s">
        <v>34</v>
      </c>
      <c r="P414" s="18" t="s">
        <v>2821</v>
      </c>
      <c r="Q414" s="18" t="s">
        <v>249</v>
      </c>
      <c r="R414" s="13" t="s">
        <v>182</v>
      </c>
      <c r="S414" s="13" t="s">
        <v>2397</v>
      </c>
      <c r="T414" s="175"/>
      <c r="U414" s="175"/>
      <c r="V414" s="21" t="s">
        <v>184</v>
      </c>
      <c r="W414" s="21" t="s">
        <v>200</v>
      </c>
      <c r="X414" s="1">
        <v>5</v>
      </c>
      <c r="Y414" s="176"/>
      <c r="Z414" s="86"/>
      <c r="AA414" s="86" t="s">
        <v>186</v>
      </c>
      <c r="AB414" s="1"/>
      <c r="AC414" s="123"/>
      <c r="AD414" s="218"/>
      <c r="AE414" s="218"/>
      <c r="AF414" s="219"/>
      <c r="AG414" s="220"/>
      <c r="AH414" s="221"/>
      <c r="AI414" s="221"/>
      <c r="AJ414" s="97" t="s">
        <v>203</v>
      </c>
      <c r="AK414" s="97" t="s">
        <v>190</v>
      </c>
      <c r="AL414" s="97" t="s">
        <v>190</v>
      </c>
      <c r="AM414" s="123" t="s">
        <v>2806</v>
      </c>
      <c r="AN414" s="22">
        <v>182</v>
      </c>
      <c r="AO414" s="22">
        <v>0</v>
      </c>
      <c r="AP414" s="22">
        <v>20</v>
      </c>
      <c r="AQ414" s="22">
        <v>20</v>
      </c>
      <c r="AR414" s="22">
        <v>0</v>
      </c>
      <c r="AS414" s="22">
        <v>7</v>
      </c>
      <c r="AT414" s="22">
        <v>10</v>
      </c>
      <c r="AU414" s="316">
        <f t="shared" si="67"/>
        <v>239</v>
      </c>
      <c r="AV414" s="22">
        <v>190</v>
      </c>
      <c r="AW414" s="22">
        <v>0</v>
      </c>
      <c r="AX414" s="22">
        <v>20</v>
      </c>
      <c r="AY414" s="22">
        <v>20</v>
      </c>
      <c r="AZ414" s="22">
        <v>0</v>
      </c>
      <c r="BA414" s="22">
        <v>7</v>
      </c>
      <c r="BB414" s="22">
        <v>10</v>
      </c>
      <c r="BC414" s="316">
        <f t="shared" si="68"/>
        <v>247</v>
      </c>
      <c r="BD414" s="58">
        <f t="shared" si="69"/>
        <v>8</v>
      </c>
      <c r="BE414" s="58">
        <f t="shared" si="70"/>
        <v>0</v>
      </c>
      <c r="BF414" s="58">
        <f t="shared" si="71"/>
        <v>0</v>
      </c>
      <c r="BG414" s="58">
        <f t="shared" si="72"/>
        <v>0</v>
      </c>
      <c r="BH414" s="58">
        <f t="shared" si="73"/>
        <v>0</v>
      </c>
      <c r="BI414" s="58">
        <f t="shared" si="74"/>
        <v>0</v>
      </c>
      <c r="BJ414" s="58">
        <f t="shared" si="75"/>
        <v>0</v>
      </c>
      <c r="BK414" s="58">
        <f t="shared" si="76"/>
        <v>8</v>
      </c>
    </row>
    <row r="415" spans="1:63" ht="27" customHeight="1">
      <c r="A415" s="13">
        <f t="shared" si="77"/>
        <v>413</v>
      </c>
      <c r="B415" s="14"/>
      <c r="C415" s="10">
        <v>2972</v>
      </c>
      <c r="D415" s="119" t="s">
        <v>2822</v>
      </c>
      <c r="E415" s="217" t="s">
        <v>296</v>
      </c>
      <c r="F415" s="234" t="s">
        <v>896</v>
      </c>
      <c r="G415" s="235" t="s">
        <v>2823</v>
      </c>
      <c r="H415" s="26" t="s">
        <v>2824</v>
      </c>
      <c r="I415" s="27" t="s">
        <v>2825</v>
      </c>
      <c r="J415" s="98" t="s">
        <v>178</v>
      </c>
      <c r="K415" s="28">
        <v>28930</v>
      </c>
      <c r="L415" s="82" t="s">
        <v>179</v>
      </c>
      <c r="M415" s="25">
        <v>43637</v>
      </c>
      <c r="N415" s="25"/>
      <c r="O415" s="25" t="s">
        <v>34</v>
      </c>
      <c r="P415" s="18" t="s">
        <v>199</v>
      </c>
      <c r="Q415" s="18" t="s">
        <v>249</v>
      </c>
      <c r="R415" s="13" t="s">
        <v>182</v>
      </c>
      <c r="S415" s="13" t="s">
        <v>2359</v>
      </c>
      <c r="T415" s="175"/>
      <c r="U415" s="175"/>
      <c r="V415" s="21" t="s">
        <v>200</v>
      </c>
      <c r="W415" s="21" t="s">
        <v>200</v>
      </c>
      <c r="X415" s="1">
        <v>0</v>
      </c>
      <c r="Y415" s="176" t="s">
        <v>2826</v>
      </c>
      <c r="Z415" s="86"/>
      <c r="AA415" s="86" t="s">
        <v>186</v>
      </c>
      <c r="AB415" s="1"/>
      <c r="AC415" s="123"/>
      <c r="AD415" s="218"/>
      <c r="AE415" s="218"/>
      <c r="AF415" s="219"/>
      <c r="AG415" s="220"/>
      <c r="AH415" s="221"/>
      <c r="AI415" s="221"/>
      <c r="AJ415" s="97" t="s">
        <v>203</v>
      </c>
      <c r="AK415" s="97" t="s">
        <v>190</v>
      </c>
      <c r="AL415" s="97" t="s">
        <v>190</v>
      </c>
      <c r="AM415" s="123" t="s">
        <v>2806</v>
      </c>
      <c r="AN415" s="22">
        <v>182</v>
      </c>
      <c r="AO415" s="22">
        <v>0</v>
      </c>
      <c r="AP415" s="22">
        <v>20</v>
      </c>
      <c r="AQ415" s="22">
        <v>0</v>
      </c>
      <c r="AR415" s="22">
        <v>0</v>
      </c>
      <c r="AS415" s="22">
        <v>7</v>
      </c>
      <c r="AT415" s="22">
        <v>10</v>
      </c>
      <c r="AU415" s="316">
        <f t="shared" si="67"/>
        <v>219</v>
      </c>
      <c r="AV415" s="22">
        <v>190</v>
      </c>
      <c r="AW415" s="22">
        <v>0</v>
      </c>
      <c r="AX415" s="22">
        <v>20</v>
      </c>
      <c r="AY415" s="22">
        <v>0</v>
      </c>
      <c r="AZ415" s="22">
        <v>0</v>
      </c>
      <c r="BA415" s="22">
        <v>7</v>
      </c>
      <c r="BB415" s="22">
        <v>10</v>
      </c>
      <c r="BC415" s="316">
        <f t="shared" si="68"/>
        <v>227</v>
      </c>
      <c r="BD415" s="58">
        <f t="shared" si="69"/>
        <v>8</v>
      </c>
      <c r="BE415" s="58">
        <f t="shared" si="70"/>
        <v>0</v>
      </c>
      <c r="BF415" s="58">
        <f t="shared" si="71"/>
        <v>0</v>
      </c>
      <c r="BG415" s="58">
        <f t="shared" si="72"/>
        <v>0</v>
      </c>
      <c r="BH415" s="58">
        <f t="shared" si="73"/>
        <v>0</v>
      </c>
      <c r="BI415" s="58">
        <f t="shared" si="74"/>
        <v>0</v>
      </c>
      <c r="BJ415" s="58">
        <f t="shared" si="75"/>
        <v>0</v>
      </c>
      <c r="BK415" s="58">
        <f t="shared" si="76"/>
        <v>8</v>
      </c>
    </row>
    <row r="416" spans="1:63" ht="27" customHeight="1">
      <c r="A416" s="13">
        <f t="shared" si="77"/>
        <v>414</v>
      </c>
      <c r="B416" s="14"/>
      <c r="C416" s="10">
        <v>2952</v>
      </c>
      <c r="D416" s="119" t="s">
        <v>2827</v>
      </c>
      <c r="E416" s="217" t="s">
        <v>2828</v>
      </c>
      <c r="F416" s="234" t="s">
        <v>443</v>
      </c>
      <c r="G416" s="235" t="s">
        <v>1424</v>
      </c>
      <c r="H416" s="26" t="s">
        <v>2829</v>
      </c>
      <c r="I416" s="27" t="s">
        <v>2830</v>
      </c>
      <c r="J416" s="98" t="s">
        <v>178</v>
      </c>
      <c r="K416" s="28">
        <v>36134</v>
      </c>
      <c r="L416" s="82" t="s">
        <v>179</v>
      </c>
      <c r="M416" s="25">
        <v>43800</v>
      </c>
      <c r="N416" s="25">
        <v>43630</v>
      </c>
      <c r="O416" s="25" t="s">
        <v>34</v>
      </c>
      <c r="P416" s="18" t="s">
        <v>292</v>
      </c>
      <c r="Q416" s="18" t="s">
        <v>181</v>
      </c>
      <c r="R416" s="13" t="s">
        <v>182</v>
      </c>
      <c r="S416" s="13" t="s">
        <v>2384</v>
      </c>
      <c r="T416" s="175"/>
      <c r="U416" s="175"/>
      <c r="V416" s="21" t="s">
        <v>184</v>
      </c>
      <c r="W416" s="21" t="s">
        <v>200</v>
      </c>
      <c r="X416" s="1">
        <v>5</v>
      </c>
      <c r="Y416" s="176" t="s">
        <v>2831</v>
      </c>
      <c r="Z416" s="86"/>
      <c r="AA416" s="86" t="s">
        <v>186</v>
      </c>
      <c r="AB416" s="1"/>
      <c r="AC416" s="123"/>
      <c r="AD416" s="218" t="s">
        <v>189</v>
      </c>
      <c r="AE416" s="218"/>
      <c r="AF416" s="219"/>
      <c r="AG416" s="220"/>
      <c r="AH416" s="221"/>
      <c r="AI416" s="221"/>
      <c r="AJ416" s="97" t="s">
        <v>203</v>
      </c>
      <c r="AK416" s="97" t="s">
        <v>190</v>
      </c>
      <c r="AL416" s="97" t="s">
        <v>190</v>
      </c>
      <c r="AM416" s="123" t="s">
        <v>2349</v>
      </c>
      <c r="AN416" s="22">
        <v>182</v>
      </c>
      <c r="AO416" s="22">
        <v>0</v>
      </c>
      <c r="AP416" s="22">
        <v>20</v>
      </c>
      <c r="AQ416" s="22">
        <v>0</v>
      </c>
      <c r="AR416" s="22">
        <v>0</v>
      </c>
      <c r="AS416" s="22">
        <v>7</v>
      </c>
      <c r="AT416" s="22">
        <v>10</v>
      </c>
      <c r="AU416" s="316">
        <f t="shared" si="67"/>
        <v>219</v>
      </c>
      <c r="AV416" s="22">
        <v>190</v>
      </c>
      <c r="AW416" s="22">
        <v>0</v>
      </c>
      <c r="AX416" s="22">
        <v>20</v>
      </c>
      <c r="AY416" s="22">
        <v>0</v>
      </c>
      <c r="AZ416" s="22">
        <v>0</v>
      </c>
      <c r="BA416" s="22">
        <v>7</v>
      </c>
      <c r="BB416" s="22">
        <v>10</v>
      </c>
      <c r="BC416" s="316">
        <f t="shared" si="68"/>
        <v>227</v>
      </c>
      <c r="BD416" s="58">
        <f t="shared" si="69"/>
        <v>8</v>
      </c>
      <c r="BE416" s="58">
        <f t="shared" si="70"/>
        <v>0</v>
      </c>
      <c r="BF416" s="58">
        <f t="shared" si="71"/>
        <v>0</v>
      </c>
      <c r="BG416" s="58">
        <f t="shared" si="72"/>
        <v>0</v>
      </c>
      <c r="BH416" s="58">
        <f t="shared" si="73"/>
        <v>0</v>
      </c>
      <c r="BI416" s="58">
        <f t="shared" si="74"/>
        <v>0</v>
      </c>
      <c r="BJ416" s="58">
        <f t="shared" si="75"/>
        <v>0</v>
      </c>
      <c r="BK416" s="58">
        <f t="shared" si="76"/>
        <v>8</v>
      </c>
    </row>
    <row r="417" spans="1:63" ht="27" customHeight="1">
      <c r="A417" s="13">
        <f t="shared" si="77"/>
        <v>415</v>
      </c>
      <c r="B417" s="14"/>
      <c r="C417" s="10">
        <v>2971</v>
      </c>
      <c r="D417" s="119" t="s">
        <v>2832</v>
      </c>
      <c r="E417" s="217" t="s">
        <v>2833</v>
      </c>
      <c r="F417" s="234" t="s">
        <v>2834</v>
      </c>
      <c r="G417" s="235" t="s">
        <v>2835</v>
      </c>
      <c r="H417" s="26" t="s">
        <v>92</v>
      </c>
      <c r="I417" s="27" t="s">
        <v>93</v>
      </c>
      <c r="J417" s="98" t="s">
        <v>209</v>
      </c>
      <c r="K417" s="28">
        <v>30547</v>
      </c>
      <c r="L417" s="82" t="s">
        <v>179</v>
      </c>
      <c r="M417" s="25">
        <v>43637</v>
      </c>
      <c r="N417" s="25"/>
      <c r="O417" s="25" t="s">
        <v>34</v>
      </c>
      <c r="P417" s="18" t="s">
        <v>84</v>
      </c>
      <c r="Q417" s="18" t="s">
        <v>181</v>
      </c>
      <c r="R417" s="13" t="s">
        <v>182</v>
      </c>
      <c r="S417" s="13" t="s">
        <v>2492</v>
      </c>
      <c r="T417" s="175"/>
      <c r="U417" s="175"/>
      <c r="V417" s="21" t="s">
        <v>200</v>
      </c>
      <c r="W417" s="21" t="s">
        <v>200</v>
      </c>
      <c r="X417" s="1">
        <v>12</v>
      </c>
      <c r="Y417" s="176" t="s">
        <v>2836</v>
      </c>
      <c r="Z417" s="86"/>
      <c r="AA417" s="86" t="s">
        <v>186</v>
      </c>
      <c r="AB417" s="1"/>
      <c r="AC417" s="123"/>
      <c r="AD417" s="218"/>
      <c r="AE417" s="218"/>
      <c r="AF417" s="219"/>
      <c r="AG417" s="220"/>
      <c r="AH417" s="221"/>
      <c r="AI417" s="221"/>
      <c r="AJ417" s="97" t="s">
        <v>203</v>
      </c>
      <c r="AK417" s="97" t="s">
        <v>190</v>
      </c>
      <c r="AL417" s="97" t="s">
        <v>190</v>
      </c>
      <c r="AM417" s="123" t="s">
        <v>2806</v>
      </c>
      <c r="AN417" s="22">
        <v>182</v>
      </c>
      <c r="AO417" s="22">
        <v>0</v>
      </c>
      <c r="AP417" s="22">
        <v>0</v>
      </c>
      <c r="AQ417" s="22">
        <v>30</v>
      </c>
      <c r="AR417" s="22">
        <v>0</v>
      </c>
      <c r="AS417" s="22">
        <v>7</v>
      </c>
      <c r="AT417" s="22">
        <v>10</v>
      </c>
      <c r="AU417" s="316">
        <f t="shared" si="67"/>
        <v>229</v>
      </c>
      <c r="AV417" s="22">
        <v>190</v>
      </c>
      <c r="AW417" s="22">
        <v>0</v>
      </c>
      <c r="AX417" s="22">
        <v>0</v>
      </c>
      <c r="AY417" s="22">
        <v>30</v>
      </c>
      <c r="AZ417" s="22">
        <v>0</v>
      </c>
      <c r="BA417" s="22">
        <v>7</v>
      </c>
      <c r="BB417" s="22">
        <v>10</v>
      </c>
      <c r="BC417" s="316">
        <f t="shared" si="68"/>
        <v>237</v>
      </c>
      <c r="BD417" s="58">
        <f t="shared" si="69"/>
        <v>8</v>
      </c>
      <c r="BE417" s="58">
        <f t="shared" si="70"/>
        <v>0</v>
      </c>
      <c r="BF417" s="58">
        <f t="shared" si="71"/>
        <v>0</v>
      </c>
      <c r="BG417" s="58">
        <f t="shared" si="72"/>
        <v>0</v>
      </c>
      <c r="BH417" s="58">
        <f t="shared" si="73"/>
        <v>0</v>
      </c>
      <c r="BI417" s="58">
        <f t="shared" si="74"/>
        <v>0</v>
      </c>
      <c r="BJ417" s="58">
        <f t="shared" si="75"/>
        <v>0</v>
      </c>
      <c r="BK417" s="58">
        <f t="shared" si="76"/>
        <v>8</v>
      </c>
    </row>
    <row r="418" spans="1:63" ht="27" customHeight="1">
      <c r="A418" s="13">
        <f t="shared" si="77"/>
        <v>416</v>
      </c>
      <c r="B418" s="14"/>
      <c r="C418" s="10">
        <v>2978</v>
      </c>
      <c r="D418" s="119" t="s">
        <v>2837</v>
      </c>
      <c r="E418" s="217" t="s">
        <v>2838</v>
      </c>
      <c r="F418" s="234" t="s">
        <v>2580</v>
      </c>
      <c r="G418" s="235" t="s">
        <v>2839</v>
      </c>
      <c r="H418" s="26" t="s">
        <v>2840</v>
      </c>
      <c r="I418" s="27" t="s">
        <v>2841</v>
      </c>
      <c r="J418" s="98" t="s">
        <v>178</v>
      </c>
      <c r="K418" s="28">
        <v>31425</v>
      </c>
      <c r="L418" s="82" t="s">
        <v>179</v>
      </c>
      <c r="M418" s="25">
        <v>43642</v>
      </c>
      <c r="N418" s="25"/>
      <c r="O418" s="25" t="s">
        <v>34</v>
      </c>
      <c r="P418" s="18" t="s">
        <v>2498</v>
      </c>
      <c r="Q418" s="18" t="s">
        <v>249</v>
      </c>
      <c r="R418" s="13" t="s">
        <v>182</v>
      </c>
      <c r="S418" s="13" t="s">
        <v>2397</v>
      </c>
      <c r="T418" s="175"/>
      <c r="U418" s="175"/>
      <c r="V418" s="21" t="s">
        <v>184</v>
      </c>
      <c r="W418" s="21" t="s">
        <v>200</v>
      </c>
      <c r="X418" s="1">
        <v>5</v>
      </c>
      <c r="Y418" s="176" t="s">
        <v>2842</v>
      </c>
      <c r="Z418" s="86"/>
      <c r="AA418" s="86" t="s">
        <v>186</v>
      </c>
      <c r="AB418" s="1"/>
      <c r="AC418" s="123"/>
      <c r="AD418" s="218"/>
      <c r="AE418" s="218"/>
      <c r="AF418" s="219"/>
      <c r="AG418" s="220"/>
      <c r="AH418" s="221"/>
      <c r="AI418" s="221"/>
      <c r="AJ418" s="97" t="s">
        <v>203</v>
      </c>
      <c r="AK418" s="97" t="s">
        <v>190</v>
      </c>
      <c r="AL418" s="97" t="s">
        <v>190</v>
      </c>
      <c r="AM418" s="123" t="s">
        <v>2806</v>
      </c>
      <c r="AN418" s="22">
        <v>182</v>
      </c>
      <c r="AO418" s="22">
        <v>0</v>
      </c>
      <c r="AP418" s="22">
        <v>20</v>
      </c>
      <c r="AQ418" s="22">
        <v>0</v>
      </c>
      <c r="AR418" s="22">
        <v>0</v>
      </c>
      <c r="AS418" s="22">
        <v>7</v>
      </c>
      <c r="AT418" s="22">
        <v>10</v>
      </c>
      <c r="AU418" s="316">
        <f t="shared" si="67"/>
        <v>219</v>
      </c>
      <c r="AV418" s="22">
        <v>190</v>
      </c>
      <c r="AW418" s="22">
        <v>0</v>
      </c>
      <c r="AX418" s="22">
        <v>20</v>
      </c>
      <c r="AY418" s="22">
        <v>0</v>
      </c>
      <c r="AZ418" s="22">
        <v>0</v>
      </c>
      <c r="BA418" s="22">
        <v>7</v>
      </c>
      <c r="BB418" s="22">
        <v>10</v>
      </c>
      <c r="BC418" s="316">
        <f t="shared" si="68"/>
        <v>227</v>
      </c>
      <c r="BD418" s="58">
        <f t="shared" si="69"/>
        <v>8</v>
      </c>
      <c r="BE418" s="58">
        <f t="shared" si="70"/>
        <v>0</v>
      </c>
      <c r="BF418" s="58">
        <f t="shared" si="71"/>
        <v>0</v>
      </c>
      <c r="BG418" s="58">
        <f t="shared" si="72"/>
        <v>0</v>
      </c>
      <c r="BH418" s="58">
        <f t="shared" si="73"/>
        <v>0</v>
      </c>
      <c r="BI418" s="58">
        <f t="shared" si="74"/>
        <v>0</v>
      </c>
      <c r="BJ418" s="58">
        <f t="shared" si="75"/>
        <v>0</v>
      </c>
      <c r="BK418" s="58">
        <f t="shared" si="76"/>
        <v>8</v>
      </c>
    </row>
    <row r="419" spans="1:63" ht="27" customHeight="1">
      <c r="A419" s="13">
        <f t="shared" si="77"/>
        <v>417</v>
      </c>
      <c r="B419" s="14"/>
      <c r="C419" s="10">
        <v>2966</v>
      </c>
      <c r="D419" s="119" t="s">
        <v>2843</v>
      </c>
      <c r="E419" s="217" t="s">
        <v>2844</v>
      </c>
      <c r="F419" s="234" t="s">
        <v>178</v>
      </c>
      <c r="G419" s="235" t="s">
        <v>2845</v>
      </c>
      <c r="H419" s="26" t="s">
        <v>94</v>
      </c>
      <c r="I419" s="27" t="s">
        <v>95</v>
      </c>
      <c r="J419" s="98" t="s">
        <v>209</v>
      </c>
      <c r="K419" s="28">
        <v>28194</v>
      </c>
      <c r="L419" s="82" t="s">
        <v>179</v>
      </c>
      <c r="M419" s="25">
        <v>43636</v>
      </c>
      <c r="N419" s="25"/>
      <c r="O419" s="25" t="s">
        <v>34</v>
      </c>
      <c r="P419" s="18" t="s">
        <v>84</v>
      </c>
      <c r="Q419" s="18" t="s">
        <v>181</v>
      </c>
      <c r="R419" s="13" t="s">
        <v>182</v>
      </c>
      <c r="S419" s="13" t="s">
        <v>2505</v>
      </c>
      <c r="T419" s="175"/>
      <c r="U419" s="175"/>
      <c r="V419" s="21" t="s">
        <v>184</v>
      </c>
      <c r="W419" s="21" t="s">
        <v>184</v>
      </c>
      <c r="X419" s="1">
        <v>0</v>
      </c>
      <c r="Y419" s="176"/>
      <c r="Z419" s="86"/>
      <c r="AA419" s="86" t="s">
        <v>186</v>
      </c>
      <c r="AB419" s="1"/>
      <c r="AC419" s="123"/>
      <c r="AD419" s="218" t="s">
        <v>188</v>
      </c>
      <c r="AE419" s="218" t="s">
        <v>188</v>
      </c>
      <c r="AF419" s="219"/>
      <c r="AG419" s="220"/>
      <c r="AH419" s="221"/>
      <c r="AI419" s="221"/>
      <c r="AJ419" s="97" t="s">
        <v>203</v>
      </c>
      <c r="AK419" s="97" t="s">
        <v>190</v>
      </c>
      <c r="AL419" s="97" t="s">
        <v>190</v>
      </c>
      <c r="AM419" s="123" t="s">
        <v>2806</v>
      </c>
      <c r="AN419" s="22">
        <v>182</v>
      </c>
      <c r="AO419" s="22">
        <v>0</v>
      </c>
      <c r="AP419" s="22">
        <v>0</v>
      </c>
      <c r="AQ419" s="22">
        <v>0</v>
      </c>
      <c r="AR419" s="22">
        <v>0</v>
      </c>
      <c r="AS419" s="22">
        <v>7</v>
      </c>
      <c r="AT419" s="22">
        <v>10</v>
      </c>
      <c r="AU419" s="316">
        <f t="shared" si="67"/>
        <v>199</v>
      </c>
      <c r="AV419" s="22">
        <v>190</v>
      </c>
      <c r="AW419" s="22">
        <v>0</v>
      </c>
      <c r="AX419" s="22">
        <v>0</v>
      </c>
      <c r="AY419" s="22">
        <v>0</v>
      </c>
      <c r="AZ419" s="22">
        <v>0</v>
      </c>
      <c r="BA419" s="22">
        <v>7</v>
      </c>
      <c r="BB419" s="22">
        <v>10</v>
      </c>
      <c r="BC419" s="316">
        <f t="shared" si="68"/>
        <v>207</v>
      </c>
      <c r="BD419" s="58">
        <f t="shared" si="69"/>
        <v>8</v>
      </c>
      <c r="BE419" s="58">
        <f t="shared" si="70"/>
        <v>0</v>
      </c>
      <c r="BF419" s="58">
        <f t="shared" si="71"/>
        <v>0</v>
      </c>
      <c r="BG419" s="58">
        <f t="shared" si="72"/>
        <v>0</v>
      </c>
      <c r="BH419" s="58">
        <f t="shared" si="73"/>
        <v>0</v>
      </c>
      <c r="BI419" s="58">
        <f t="shared" si="74"/>
        <v>0</v>
      </c>
      <c r="BJ419" s="58">
        <f t="shared" si="75"/>
        <v>0</v>
      </c>
      <c r="BK419" s="58">
        <f t="shared" si="76"/>
        <v>8</v>
      </c>
    </row>
    <row r="420" spans="1:63" ht="27" customHeight="1">
      <c r="A420" s="13">
        <f t="shared" si="77"/>
        <v>418</v>
      </c>
      <c r="B420" s="14"/>
      <c r="C420" s="10">
        <v>2975</v>
      </c>
      <c r="D420" s="119" t="s">
        <v>2846</v>
      </c>
      <c r="E420" s="217" t="s">
        <v>2847</v>
      </c>
      <c r="F420" s="234" t="s">
        <v>2848</v>
      </c>
      <c r="G420" s="235" t="s">
        <v>2849</v>
      </c>
      <c r="H420" s="26" t="s">
        <v>2850</v>
      </c>
      <c r="I420" s="27" t="s">
        <v>2851</v>
      </c>
      <c r="J420" s="98" t="s">
        <v>178</v>
      </c>
      <c r="K420" s="28">
        <v>30148</v>
      </c>
      <c r="L420" s="82" t="s">
        <v>179</v>
      </c>
      <c r="M420" s="25">
        <v>43638</v>
      </c>
      <c r="N420" s="25"/>
      <c r="O420" s="25" t="s">
        <v>34</v>
      </c>
      <c r="P420" s="18" t="s">
        <v>2498</v>
      </c>
      <c r="Q420" s="18" t="s">
        <v>249</v>
      </c>
      <c r="R420" s="13" t="s">
        <v>182</v>
      </c>
      <c r="S420" s="13" t="s">
        <v>2359</v>
      </c>
      <c r="T420" s="175"/>
      <c r="U420" s="175"/>
      <c r="V420" s="21" t="s">
        <v>200</v>
      </c>
      <c r="W420" s="21" t="s">
        <v>200</v>
      </c>
      <c r="X420" s="1">
        <v>4</v>
      </c>
      <c r="Y420" s="176" t="s">
        <v>2852</v>
      </c>
      <c r="Z420" s="86"/>
      <c r="AA420" s="86" t="s">
        <v>186</v>
      </c>
      <c r="AB420" s="1"/>
      <c r="AC420" s="123"/>
      <c r="AD420" s="218"/>
      <c r="AE420" s="218"/>
      <c r="AF420" s="219"/>
      <c r="AG420" s="220"/>
      <c r="AH420" s="221"/>
      <c r="AI420" s="221"/>
      <c r="AJ420" s="97" t="s">
        <v>203</v>
      </c>
      <c r="AK420" s="97" t="s">
        <v>190</v>
      </c>
      <c r="AL420" s="97" t="s">
        <v>190</v>
      </c>
      <c r="AM420" s="123" t="s">
        <v>2806</v>
      </c>
      <c r="AN420" s="22">
        <v>182</v>
      </c>
      <c r="AO420" s="22">
        <v>0</v>
      </c>
      <c r="AP420" s="22">
        <v>20</v>
      </c>
      <c r="AQ420" s="22">
        <v>0</v>
      </c>
      <c r="AR420" s="22">
        <v>0</v>
      </c>
      <c r="AS420" s="22">
        <v>7</v>
      </c>
      <c r="AT420" s="22">
        <v>10</v>
      </c>
      <c r="AU420" s="316">
        <f t="shared" si="67"/>
        <v>219</v>
      </c>
      <c r="AV420" s="22">
        <v>190</v>
      </c>
      <c r="AW420" s="22">
        <v>0</v>
      </c>
      <c r="AX420" s="22">
        <v>20</v>
      </c>
      <c r="AY420" s="22">
        <v>0</v>
      </c>
      <c r="AZ420" s="22">
        <v>0</v>
      </c>
      <c r="BA420" s="22">
        <v>7</v>
      </c>
      <c r="BB420" s="22">
        <v>10</v>
      </c>
      <c r="BC420" s="316">
        <f t="shared" si="68"/>
        <v>227</v>
      </c>
      <c r="BD420" s="58">
        <f t="shared" si="69"/>
        <v>8</v>
      </c>
      <c r="BE420" s="58">
        <f t="shared" si="70"/>
        <v>0</v>
      </c>
      <c r="BF420" s="58">
        <f t="shared" si="71"/>
        <v>0</v>
      </c>
      <c r="BG420" s="58">
        <f t="shared" si="72"/>
        <v>0</v>
      </c>
      <c r="BH420" s="58">
        <f t="shared" si="73"/>
        <v>0</v>
      </c>
      <c r="BI420" s="58">
        <f t="shared" si="74"/>
        <v>0</v>
      </c>
      <c r="BJ420" s="58">
        <f t="shared" si="75"/>
        <v>0</v>
      </c>
      <c r="BK420" s="58">
        <f t="shared" si="76"/>
        <v>8</v>
      </c>
    </row>
    <row r="421" spans="1:63" ht="27" customHeight="1">
      <c r="A421" s="13">
        <f t="shared" si="77"/>
        <v>419</v>
      </c>
      <c r="B421" s="14"/>
      <c r="C421" s="10">
        <v>2940</v>
      </c>
      <c r="D421" s="119" t="s">
        <v>2853</v>
      </c>
      <c r="E421" s="217" t="s">
        <v>2854</v>
      </c>
      <c r="F421" s="234" t="s">
        <v>2855</v>
      </c>
      <c r="G421" s="235" t="s">
        <v>2856</v>
      </c>
      <c r="H421" s="26" t="s">
        <v>2857</v>
      </c>
      <c r="I421" s="27" t="s">
        <v>2858</v>
      </c>
      <c r="J421" s="98" t="s">
        <v>178</v>
      </c>
      <c r="K421" s="28">
        <v>35251</v>
      </c>
      <c r="L421" s="82" t="s">
        <v>179</v>
      </c>
      <c r="M421" s="25">
        <v>43800</v>
      </c>
      <c r="N421" s="25">
        <v>43627</v>
      </c>
      <c r="O421" s="25" t="s">
        <v>34</v>
      </c>
      <c r="P421" s="18" t="s">
        <v>1281</v>
      </c>
      <c r="Q421" s="18" t="s">
        <v>249</v>
      </c>
      <c r="R421" s="13" t="s">
        <v>182</v>
      </c>
      <c r="S421" s="13" t="s">
        <v>2397</v>
      </c>
      <c r="T421" s="175"/>
      <c r="U421" s="175"/>
      <c r="V421" s="21" t="s">
        <v>184</v>
      </c>
      <c r="W421" s="21" t="s">
        <v>184</v>
      </c>
      <c r="X421" s="1">
        <v>9</v>
      </c>
      <c r="Y421" s="176" t="s">
        <v>2859</v>
      </c>
      <c r="Z421" s="86"/>
      <c r="AA421" s="86" t="s">
        <v>186</v>
      </c>
      <c r="AB421" s="1"/>
      <c r="AC421" s="123"/>
      <c r="AD421" s="218" t="s">
        <v>189</v>
      </c>
      <c r="AE421" s="218"/>
      <c r="AF421" s="219"/>
      <c r="AG421" s="220"/>
      <c r="AH421" s="221"/>
      <c r="AI421" s="221"/>
      <c r="AJ421" s="97" t="s">
        <v>203</v>
      </c>
      <c r="AK421" s="97" t="s">
        <v>190</v>
      </c>
      <c r="AL421" s="97" t="s">
        <v>190</v>
      </c>
      <c r="AM421" s="123" t="s">
        <v>2354</v>
      </c>
      <c r="AN421" s="22">
        <v>182</v>
      </c>
      <c r="AO421" s="22">
        <v>0</v>
      </c>
      <c r="AP421" s="22">
        <v>20</v>
      </c>
      <c r="AQ421" s="22">
        <v>50</v>
      </c>
      <c r="AR421" s="22">
        <v>0</v>
      </c>
      <c r="AS421" s="22">
        <v>7</v>
      </c>
      <c r="AT421" s="22">
        <v>10</v>
      </c>
      <c r="AU421" s="316">
        <f t="shared" si="67"/>
        <v>269</v>
      </c>
      <c r="AV421" s="22">
        <v>190</v>
      </c>
      <c r="AW421" s="22">
        <v>0</v>
      </c>
      <c r="AX421" s="22">
        <v>20</v>
      </c>
      <c r="AY421" s="22">
        <v>50</v>
      </c>
      <c r="AZ421" s="22">
        <v>0</v>
      </c>
      <c r="BA421" s="22">
        <v>7</v>
      </c>
      <c r="BB421" s="22">
        <v>10</v>
      </c>
      <c r="BC421" s="316">
        <f t="shared" si="68"/>
        <v>277</v>
      </c>
      <c r="BD421" s="58">
        <f t="shared" si="69"/>
        <v>8</v>
      </c>
      <c r="BE421" s="58">
        <f t="shared" si="70"/>
        <v>0</v>
      </c>
      <c r="BF421" s="58">
        <f t="shared" si="71"/>
        <v>0</v>
      </c>
      <c r="BG421" s="58">
        <f t="shared" si="72"/>
        <v>0</v>
      </c>
      <c r="BH421" s="58">
        <f t="shared" si="73"/>
        <v>0</v>
      </c>
      <c r="BI421" s="58">
        <f t="shared" si="74"/>
        <v>0</v>
      </c>
      <c r="BJ421" s="58">
        <f t="shared" si="75"/>
        <v>0</v>
      </c>
      <c r="BK421" s="58">
        <f t="shared" si="76"/>
        <v>8</v>
      </c>
    </row>
    <row r="422" spans="1:63" ht="27" customHeight="1">
      <c r="A422" s="13">
        <f t="shared" si="77"/>
        <v>420</v>
      </c>
      <c r="B422" s="14"/>
      <c r="C422" s="10">
        <v>3004</v>
      </c>
      <c r="D422" s="119" t="s">
        <v>2860</v>
      </c>
      <c r="E422" s="217" t="s">
        <v>2861</v>
      </c>
      <c r="F422" s="234" t="s">
        <v>287</v>
      </c>
      <c r="G422" s="235" t="s">
        <v>2862</v>
      </c>
      <c r="H422" s="26" t="s">
        <v>2863</v>
      </c>
      <c r="I422" s="27" t="s">
        <v>2864</v>
      </c>
      <c r="J422" s="98" t="s">
        <v>178</v>
      </c>
      <c r="K422" s="28">
        <v>24537</v>
      </c>
      <c r="L422" s="82" t="s">
        <v>179</v>
      </c>
      <c r="M422" s="25">
        <v>43655</v>
      </c>
      <c r="N422" s="25"/>
      <c r="O422" s="25" t="s">
        <v>34</v>
      </c>
      <c r="P422" s="18" t="s">
        <v>199</v>
      </c>
      <c r="Q422" s="18" t="s">
        <v>181</v>
      </c>
      <c r="R422" s="13" t="s">
        <v>182</v>
      </c>
      <c r="S422" s="13" t="s">
        <v>2865</v>
      </c>
      <c r="T422" s="175"/>
      <c r="U422" s="175"/>
      <c r="V422" s="21" t="s">
        <v>184</v>
      </c>
      <c r="W422" s="21" t="s">
        <v>184</v>
      </c>
      <c r="X422" s="21" t="s">
        <v>184</v>
      </c>
      <c r="Y422" s="176" t="s">
        <v>2866</v>
      </c>
      <c r="Z422" s="86"/>
      <c r="AA422" s="86" t="s">
        <v>186</v>
      </c>
      <c r="AB422" s="1"/>
      <c r="AC422" s="123"/>
      <c r="AD422" s="218"/>
      <c r="AE422" s="218"/>
      <c r="AF422" s="219"/>
      <c r="AG422" s="220"/>
      <c r="AH422" s="221"/>
      <c r="AI422" s="221"/>
      <c r="AJ422" s="97" t="s">
        <v>203</v>
      </c>
      <c r="AK422" s="97" t="s">
        <v>190</v>
      </c>
      <c r="AL422" s="97" t="s">
        <v>190</v>
      </c>
      <c r="AM422" s="123" t="s">
        <v>2354</v>
      </c>
      <c r="AN422" s="22">
        <v>182</v>
      </c>
      <c r="AO422" s="22">
        <v>0</v>
      </c>
      <c r="AP422" s="22">
        <v>0</v>
      </c>
      <c r="AQ422" s="22">
        <v>0</v>
      </c>
      <c r="AR422" s="22">
        <v>0</v>
      </c>
      <c r="AS422" s="22">
        <v>7</v>
      </c>
      <c r="AT422" s="22">
        <v>10</v>
      </c>
      <c r="AU422" s="316">
        <f t="shared" si="67"/>
        <v>199</v>
      </c>
      <c r="AV422" s="22">
        <v>190</v>
      </c>
      <c r="AW422" s="22">
        <v>0</v>
      </c>
      <c r="AX422" s="22">
        <v>0</v>
      </c>
      <c r="AY422" s="22">
        <v>0</v>
      </c>
      <c r="AZ422" s="22">
        <v>0</v>
      </c>
      <c r="BA422" s="22">
        <v>7</v>
      </c>
      <c r="BB422" s="22">
        <v>10</v>
      </c>
      <c r="BC422" s="316">
        <f t="shared" si="68"/>
        <v>207</v>
      </c>
      <c r="BD422" s="58">
        <f t="shared" si="69"/>
        <v>8</v>
      </c>
      <c r="BE422" s="58">
        <f t="shared" si="70"/>
        <v>0</v>
      </c>
      <c r="BF422" s="58">
        <f t="shared" si="71"/>
        <v>0</v>
      </c>
      <c r="BG422" s="58">
        <f t="shared" si="72"/>
        <v>0</v>
      </c>
      <c r="BH422" s="58">
        <f t="shared" si="73"/>
        <v>0</v>
      </c>
      <c r="BI422" s="58">
        <f t="shared" si="74"/>
        <v>0</v>
      </c>
      <c r="BJ422" s="58">
        <f t="shared" si="75"/>
        <v>0</v>
      </c>
      <c r="BK422" s="58">
        <f t="shared" si="76"/>
        <v>8</v>
      </c>
    </row>
    <row r="423" spans="1:63" ht="27" customHeight="1">
      <c r="A423" s="13">
        <f t="shared" si="77"/>
        <v>421</v>
      </c>
      <c r="B423" s="14"/>
      <c r="C423" s="10">
        <v>2985</v>
      </c>
      <c r="D423" s="119" t="s">
        <v>2867</v>
      </c>
      <c r="E423" s="217" t="s">
        <v>2868</v>
      </c>
      <c r="F423" s="234" t="s">
        <v>2339</v>
      </c>
      <c r="G423" s="235" t="s">
        <v>1091</v>
      </c>
      <c r="H423" s="26" t="s">
        <v>49</v>
      </c>
      <c r="I423" s="27" t="s">
        <v>50</v>
      </c>
      <c r="J423" s="98" t="s">
        <v>209</v>
      </c>
      <c r="K423" s="28">
        <v>35857</v>
      </c>
      <c r="L423" s="82" t="s">
        <v>179</v>
      </c>
      <c r="M423" s="25">
        <v>43647</v>
      </c>
      <c r="N423" s="25"/>
      <c r="O423" s="25" t="s">
        <v>34</v>
      </c>
      <c r="P423" s="18" t="s">
        <v>15</v>
      </c>
      <c r="Q423" s="18" t="s">
        <v>181</v>
      </c>
      <c r="R423" s="13" t="s">
        <v>182</v>
      </c>
      <c r="S423" s="13" t="s">
        <v>2869</v>
      </c>
      <c r="T423" s="175"/>
      <c r="U423" s="175"/>
      <c r="V423" s="21" t="s">
        <v>184</v>
      </c>
      <c r="W423" s="21" t="s">
        <v>184</v>
      </c>
      <c r="X423" s="1">
        <v>5</v>
      </c>
      <c r="Y423" s="176" t="s">
        <v>2870</v>
      </c>
      <c r="Z423" s="86"/>
      <c r="AA423" s="86" t="s">
        <v>186</v>
      </c>
      <c r="AB423" s="1"/>
      <c r="AC423" s="123"/>
      <c r="AD423" s="218"/>
      <c r="AE423" s="218"/>
      <c r="AF423" s="219"/>
      <c r="AG423" s="220"/>
      <c r="AH423" s="221"/>
      <c r="AI423" s="221"/>
      <c r="AJ423" s="97" t="s">
        <v>203</v>
      </c>
      <c r="AK423" s="97" t="s">
        <v>190</v>
      </c>
      <c r="AL423" s="97" t="s">
        <v>190</v>
      </c>
      <c r="AM423" s="123" t="s">
        <v>2354</v>
      </c>
      <c r="AN423" s="22">
        <v>182</v>
      </c>
      <c r="AO423" s="22">
        <v>0</v>
      </c>
      <c r="AP423" s="22">
        <v>0</v>
      </c>
      <c r="AQ423" s="22">
        <v>0</v>
      </c>
      <c r="AR423" s="22">
        <v>0</v>
      </c>
      <c r="AS423" s="22">
        <v>7</v>
      </c>
      <c r="AT423" s="22">
        <v>10</v>
      </c>
      <c r="AU423" s="316">
        <f t="shared" si="67"/>
        <v>199</v>
      </c>
      <c r="AV423" s="22">
        <v>190</v>
      </c>
      <c r="AW423" s="22">
        <v>0</v>
      </c>
      <c r="AX423" s="22">
        <v>0</v>
      </c>
      <c r="AY423" s="22">
        <v>0</v>
      </c>
      <c r="AZ423" s="22">
        <v>0</v>
      </c>
      <c r="BA423" s="22">
        <v>7</v>
      </c>
      <c r="BB423" s="22">
        <v>10</v>
      </c>
      <c r="BC423" s="316">
        <f t="shared" si="68"/>
        <v>207</v>
      </c>
      <c r="BD423" s="58">
        <f t="shared" si="69"/>
        <v>8</v>
      </c>
      <c r="BE423" s="58">
        <f t="shared" si="70"/>
        <v>0</v>
      </c>
      <c r="BF423" s="58">
        <f t="shared" si="71"/>
        <v>0</v>
      </c>
      <c r="BG423" s="58">
        <f t="shared" si="72"/>
        <v>0</v>
      </c>
      <c r="BH423" s="58">
        <f t="shared" si="73"/>
        <v>0</v>
      </c>
      <c r="BI423" s="58">
        <f t="shared" si="74"/>
        <v>0</v>
      </c>
      <c r="BJ423" s="58">
        <f t="shared" si="75"/>
        <v>0</v>
      </c>
      <c r="BK423" s="58">
        <f t="shared" si="76"/>
        <v>8</v>
      </c>
    </row>
    <row r="424" spans="1:63" ht="27" customHeight="1">
      <c r="A424" s="13">
        <f t="shared" si="77"/>
        <v>422</v>
      </c>
      <c r="B424" s="14"/>
      <c r="C424" s="10">
        <v>2992</v>
      </c>
      <c r="D424" s="119" t="s">
        <v>2871</v>
      </c>
      <c r="E424" s="217" t="s">
        <v>2872</v>
      </c>
      <c r="F424" s="234" t="s">
        <v>2873</v>
      </c>
      <c r="G424" s="235" t="s">
        <v>2874</v>
      </c>
      <c r="H424" s="26" t="s">
        <v>51</v>
      </c>
      <c r="I424" s="27" t="s">
        <v>52</v>
      </c>
      <c r="J424" s="98" t="s">
        <v>209</v>
      </c>
      <c r="K424" s="28">
        <v>36285</v>
      </c>
      <c r="L424" s="82" t="s">
        <v>179</v>
      </c>
      <c r="M424" s="25">
        <v>43649</v>
      </c>
      <c r="N424" s="25"/>
      <c r="O424" s="25" t="s">
        <v>34</v>
      </c>
      <c r="P424" s="18" t="s">
        <v>15</v>
      </c>
      <c r="Q424" s="18" t="s">
        <v>181</v>
      </c>
      <c r="R424" s="13" t="s">
        <v>182</v>
      </c>
      <c r="S424" s="13" t="s">
        <v>2397</v>
      </c>
      <c r="T424" s="175"/>
      <c r="U424" s="175"/>
      <c r="V424" s="21" t="s">
        <v>184</v>
      </c>
      <c r="W424" s="21" t="s">
        <v>184</v>
      </c>
      <c r="X424" s="1">
        <v>6</v>
      </c>
      <c r="Y424" s="176" t="s">
        <v>2875</v>
      </c>
      <c r="Z424" s="86" t="s">
        <v>186</v>
      </c>
      <c r="AA424" s="86"/>
      <c r="AB424" s="1"/>
      <c r="AC424" s="123"/>
      <c r="AD424" s="218"/>
      <c r="AE424" s="218"/>
      <c r="AF424" s="219"/>
      <c r="AG424" s="220"/>
      <c r="AH424" s="221"/>
      <c r="AI424" s="221"/>
      <c r="AJ424" s="97" t="s">
        <v>203</v>
      </c>
      <c r="AK424" s="97" t="s">
        <v>190</v>
      </c>
      <c r="AL424" s="97" t="s">
        <v>190</v>
      </c>
      <c r="AM424" s="123" t="s">
        <v>2354</v>
      </c>
      <c r="AN424" s="22">
        <v>182</v>
      </c>
      <c r="AO424" s="22">
        <v>0</v>
      </c>
      <c r="AP424" s="22">
        <v>0</v>
      </c>
      <c r="AQ424" s="22">
        <v>0</v>
      </c>
      <c r="AR424" s="22">
        <v>0</v>
      </c>
      <c r="AS424" s="22">
        <v>7</v>
      </c>
      <c r="AT424" s="22">
        <v>10</v>
      </c>
      <c r="AU424" s="316">
        <f t="shared" si="67"/>
        <v>199</v>
      </c>
      <c r="AV424" s="22">
        <v>190</v>
      </c>
      <c r="AW424" s="22">
        <v>0</v>
      </c>
      <c r="AX424" s="22">
        <v>0</v>
      </c>
      <c r="AY424" s="22">
        <v>0</v>
      </c>
      <c r="AZ424" s="22">
        <v>0</v>
      </c>
      <c r="BA424" s="22">
        <v>7</v>
      </c>
      <c r="BB424" s="22">
        <v>10</v>
      </c>
      <c r="BC424" s="316">
        <f t="shared" si="68"/>
        <v>207</v>
      </c>
      <c r="BD424" s="58">
        <f t="shared" si="69"/>
        <v>8</v>
      </c>
      <c r="BE424" s="58">
        <f t="shared" si="70"/>
        <v>0</v>
      </c>
      <c r="BF424" s="58">
        <f t="shared" si="71"/>
        <v>0</v>
      </c>
      <c r="BG424" s="58">
        <f t="shared" si="72"/>
        <v>0</v>
      </c>
      <c r="BH424" s="58">
        <f t="shared" si="73"/>
        <v>0</v>
      </c>
      <c r="BI424" s="58">
        <f t="shared" si="74"/>
        <v>0</v>
      </c>
      <c r="BJ424" s="58">
        <f t="shared" si="75"/>
        <v>0</v>
      </c>
      <c r="BK424" s="58">
        <f t="shared" si="76"/>
        <v>8</v>
      </c>
    </row>
    <row r="425" spans="1:63" ht="27" customHeight="1">
      <c r="A425" s="13">
        <f t="shared" si="77"/>
        <v>423</v>
      </c>
      <c r="B425" s="14"/>
      <c r="C425" s="10">
        <v>2994</v>
      </c>
      <c r="D425" s="119" t="s">
        <v>2876</v>
      </c>
      <c r="E425" s="217" t="s">
        <v>2877</v>
      </c>
      <c r="F425" s="234" t="s">
        <v>2878</v>
      </c>
      <c r="G425" s="235" t="s">
        <v>2879</v>
      </c>
      <c r="H425" s="26" t="s">
        <v>2880</v>
      </c>
      <c r="I425" s="27" t="s">
        <v>2881</v>
      </c>
      <c r="J425" s="98" t="s">
        <v>209</v>
      </c>
      <c r="K425" s="28">
        <v>31821</v>
      </c>
      <c r="L425" s="82" t="s">
        <v>179</v>
      </c>
      <c r="M425" s="25">
        <v>43650</v>
      </c>
      <c r="N425" s="25"/>
      <c r="O425" s="25" t="s">
        <v>34</v>
      </c>
      <c r="P425" s="18" t="s">
        <v>532</v>
      </c>
      <c r="Q425" s="18" t="s">
        <v>249</v>
      </c>
      <c r="R425" s="13" t="s">
        <v>182</v>
      </c>
      <c r="S425" s="13" t="s">
        <v>2359</v>
      </c>
      <c r="T425" s="175"/>
      <c r="U425" s="175"/>
      <c r="V425" s="21" t="s">
        <v>184</v>
      </c>
      <c r="W425" s="21" t="s">
        <v>184</v>
      </c>
      <c r="X425" s="1">
        <v>6</v>
      </c>
      <c r="Y425" s="176" t="s">
        <v>2882</v>
      </c>
      <c r="Z425" s="86"/>
      <c r="AA425" s="86" t="s">
        <v>186</v>
      </c>
      <c r="AB425" s="1"/>
      <c r="AC425" s="123"/>
      <c r="AD425" s="218"/>
      <c r="AE425" s="218"/>
      <c r="AF425" s="219"/>
      <c r="AG425" s="220"/>
      <c r="AH425" s="221"/>
      <c r="AI425" s="221"/>
      <c r="AJ425" s="97" t="s">
        <v>203</v>
      </c>
      <c r="AK425" s="97" t="s">
        <v>190</v>
      </c>
      <c r="AL425" s="97" t="s">
        <v>190</v>
      </c>
      <c r="AM425" s="123" t="s">
        <v>2354</v>
      </c>
      <c r="AN425" s="22">
        <v>182</v>
      </c>
      <c r="AO425" s="22">
        <v>0</v>
      </c>
      <c r="AP425" s="22">
        <v>64</v>
      </c>
      <c r="AQ425" s="22">
        <v>0</v>
      </c>
      <c r="AR425" s="22">
        <v>24</v>
      </c>
      <c r="AS425" s="22">
        <v>7</v>
      </c>
      <c r="AT425" s="22">
        <v>10</v>
      </c>
      <c r="AU425" s="316">
        <f t="shared" si="67"/>
        <v>287</v>
      </c>
      <c r="AV425" s="22">
        <v>190</v>
      </c>
      <c r="AW425" s="22">
        <v>0</v>
      </c>
      <c r="AX425" s="22">
        <v>64</v>
      </c>
      <c r="AY425" s="22">
        <v>0</v>
      </c>
      <c r="AZ425" s="22">
        <v>24</v>
      </c>
      <c r="BA425" s="22">
        <v>7</v>
      </c>
      <c r="BB425" s="22">
        <v>10</v>
      </c>
      <c r="BC425" s="316">
        <f t="shared" si="68"/>
        <v>295</v>
      </c>
      <c r="BD425" s="58">
        <f t="shared" si="69"/>
        <v>8</v>
      </c>
      <c r="BE425" s="58">
        <f t="shared" si="70"/>
        <v>0</v>
      </c>
      <c r="BF425" s="58">
        <f t="shared" si="71"/>
        <v>0</v>
      </c>
      <c r="BG425" s="58">
        <f t="shared" si="72"/>
        <v>0</v>
      </c>
      <c r="BH425" s="58">
        <f t="shared" si="73"/>
        <v>0</v>
      </c>
      <c r="BI425" s="58">
        <f t="shared" si="74"/>
        <v>0</v>
      </c>
      <c r="BJ425" s="58">
        <f t="shared" si="75"/>
        <v>0</v>
      </c>
      <c r="BK425" s="58">
        <f t="shared" si="76"/>
        <v>8</v>
      </c>
    </row>
    <row r="426" spans="1:63" ht="27" customHeight="1">
      <c r="A426" s="13">
        <f t="shared" si="77"/>
        <v>424</v>
      </c>
      <c r="B426" s="14"/>
      <c r="C426" s="10">
        <v>2995</v>
      </c>
      <c r="D426" s="119" t="s">
        <v>2883</v>
      </c>
      <c r="E426" s="217" t="s">
        <v>2884</v>
      </c>
      <c r="F426" s="234" t="s">
        <v>527</v>
      </c>
      <c r="G426" s="235" t="s">
        <v>2885</v>
      </c>
      <c r="H426" s="26" t="s">
        <v>90</v>
      </c>
      <c r="I426" s="27" t="s">
        <v>2886</v>
      </c>
      <c r="J426" s="98" t="s">
        <v>209</v>
      </c>
      <c r="K426" s="28">
        <v>34050</v>
      </c>
      <c r="L426" s="82" t="s">
        <v>179</v>
      </c>
      <c r="M426" s="25">
        <v>43650</v>
      </c>
      <c r="N426" s="25"/>
      <c r="O426" s="25" t="s">
        <v>34</v>
      </c>
      <c r="P426" s="18" t="s">
        <v>532</v>
      </c>
      <c r="Q426" s="18" t="s">
        <v>249</v>
      </c>
      <c r="R426" s="13" t="s">
        <v>182</v>
      </c>
      <c r="S426" s="13" t="s">
        <v>1551</v>
      </c>
      <c r="T426" s="175"/>
      <c r="U426" s="175"/>
      <c r="V426" s="21" t="s">
        <v>184</v>
      </c>
      <c r="W426" s="21" t="s">
        <v>184</v>
      </c>
      <c r="X426" s="1">
        <v>9</v>
      </c>
      <c r="Y426" s="176" t="s">
        <v>2887</v>
      </c>
      <c r="Z426" s="86"/>
      <c r="AA426" s="86" t="s">
        <v>186</v>
      </c>
      <c r="AB426" s="1"/>
      <c r="AC426" s="123"/>
      <c r="AD426" s="218" t="s">
        <v>189</v>
      </c>
      <c r="AE426" s="218"/>
      <c r="AF426" s="219"/>
      <c r="AG426" s="220"/>
      <c r="AH426" s="221"/>
      <c r="AI426" s="221"/>
      <c r="AJ426" s="97" t="s">
        <v>203</v>
      </c>
      <c r="AK426" s="97" t="s">
        <v>190</v>
      </c>
      <c r="AL426" s="97" t="s">
        <v>190</v>
      </c>
      <c r="AM426" s="123" t="s">
        <v>2354</v>
      </c>
      <c r="AN426" s="22">
        <v>182</v>
      </c>
      <c r="AO426" s="22">
        <v>0</v>
      </c>
      <c r="AP426" s="22">
        <v>64</v>
      </c>
      <c r="AQ426" s="22">
        <v>0</v>
      </c>
      <c r="AR426" s="22">
        <v>24</v>
      </c>
      <c r="AS426" s="22">
        <v>7</v>
      </c>
      <c r="AT426" s="22">
        <v>10</v>
      </c>
      <c r="AU426" s="316">
        <f t="shared" si="67"/>
        <v>287</v>
      </c>
      <c r="AV426" s="22">
        <v>190</v>
      </c>
      <c r="AW426" s="22">
        <v>0</v>
      </c>
      <c r="AX426" s="22">
        <v>64</v>
      </c>
      <c r="AY426" s="22">
        <v>0</v>
      </c>
      <c r="AZ426" s="22">
        <v>24</v>
      </c>
      <c r="BA426" s="22">
        <v>7</v>
      </c>
      <c r="BB426" s="22">
        <v>10</v>
      </c>
      <c r="BC426" s="316">
        <f t="shared" si="68"/>
        <v>295</v>
      </c>
      <c r="BD426" s="58">
        <f t="shared" si="69"/>
        <v>8</v>
      </c>
      <c r="BE426" s="58">
        <f t="shared" si="70"/>
        <v>0</v>
      </c>
      <c r="BF426" s="58">
        <f t="shared" si="71"/>
        <v>0</v>
      </c>
      <c r="BG426" s="58">
        <f t="shared" si="72"/>
        <v>0</v>
      </c>
      <c r="BH426" s="58">
        <f t="shared" si="73"/>
        <v>0</v>
      </c>
      <c r="BI426" s="58">
        <f t="shared" si="74"/>
        <v>0</v>
      </c>
      <c r="BJ426" s="58">
        <f t="shared" si="75"/>
        <v>0</v>
      </c>
      <c r="BK426" s="58">
        <f t="shared" si="76"/>
        <v>8</v>
      </c>
    </row>
    <row r="427" spans="1:63" ht="27" customHeight="1">
      <c r="A427" s="13">
        <f t="shared" si="77"/>
        <v>425</v>
      </c>
      <c r="B427" s="14"/>
      <c r="C427" s="10">
        <v>3006</v>
      </c>
      <c r="D427" s="119" t="s">
        <v>2888</v>
      </c>
      <c r="E427" s="217" t="s">
        <v>2889</v>
      </c>
      <c r="F427" s="234" t="s">
        <v>2890</v>
      </c>
      <c r="G427" s="235" t="s">
        <v>2566</v>
      </c>
      <c r="H427" s="26" t="s">
        <v>2891</v>
      </c>
      <c r="I427" s="27" t="s">
        <v>42</v>
      </c>
      <c r="J427" s="98" t="s">
        <v>178</v>
      </c>
      <c r="K427" s="28">
        <v>30750</v>
      </c>
      <c r="L427" s="82" t="s">
        <v>179</v>
      </c>
      <c r="M427" s="25">
        <v>43655</v>
      </c>
      <c r="N427" s="25"/>
      <c r="O427" s="25" t="s">
        <v>34</v>
      </c>
      <c r="P427" s="18" t="s">
        <v>2498</v>
      </c>
      <c r="Q427" s="18" t="s">
        <v>249</v>
      </c>
      <c r="R427" s="13" t="s">
        <v>182</v>
      </c>
      <c r="S427" s="13" t="s">
        <v>2359</v>
      </c>
      <c r="T427" s="175"/>
      <c r="U427" s="175"/>
      <c r="V427" s="21" t="s">
        <v>184</v>
      </c>
      <c r="W427" s="21" t="s">
        <v>184</v>
      </c>
      <c r="X427" s="1">
        <v>5</v>
      </c>
      <c r="Y427" s="176" t="s">
        <v>184</v>
      </c>
      <c r="Z427" s="86"/>
      <c r="AA427" s="86" t="s">
        <v>186</v>
      </c>
      <c r="AB427" s="1"/>
      <c r="AC427" s="123"/>
      <c r="AD427" s="218" t="s">
        <v>189</v>
      </c>
      <c r="AE427" s="218" t="s">
        <v>188</v>
      </c>
      <c r="AF427" s="219"/>
      <c r="AG427" s="220"/>
      <c r="AH427" s="221"/>
      <c r="AI427" s="221"/>
      <c r="AJ427" s="97" t="s">
        <v>203</v>
      </c>
      <c r="AK427" s="97" t="s">
        <v>190</v>
      </c>
      <c r="AL427" s="97" t="s">
        <v>190</v>
      </c>
      <c r="AM427" s="123" t="s">
        <v>2354</v>
      </c>
      <c r="AN427" s="22">
        <v>182</v>
      </c>
      <c r="AO427" s="22">
        <v>0</v>
      </c>
      <c r="AP427" s="22">
        <v>20</v>
      </c>
      <c r="AQ427" s="22">
        <v>0</v>
      </c>
      <c r="AR427" s="22">
        <v>0</v>
      </c>
      <c r="AS427" s="22">
        <v>7</v>
      </c>
      <c r="AT427" s="22">
        <v>10</v>
      </c>
      <c r="AU427" s="316">
        <f t="shared" si="67"/>
        <v>219</v>
      </c>
      <c r="AV427" s="22">
        <v>190</v>
      </c>
      <c r="AW427" s="22">
        <v>0</v>
      </c>
      <c r="AX427" s="22">
        <v>20</v>
      </c>
      <c r="AY427" s="22">
        <v>0</v>
      </c>
      <c r="AZ427" s="22">
        <v>0</v>
      </c>
      <c r="BA427" s="22">
        <v>7</v>
      </c>
      <c r="BB427" s="22">
        <v>10</v>
      </c>
      <c r="BC427" s="316">
        <f t="shared" si="68"/>
        <v>227</v>
      </c>
      <c r="BD427" s="58">
        <f t="shared" si="69"/>
        <v>8</v>
      </c>
      <c r="BE427" s="58">
        <f t="shared" si="70"/>
        <v>0</v>
      </c>
      <c r="BF427" s="58">
        <f t="shared" si="71"/>
        <v>0</v>
      </c>
      <c r="BG427" s="58">
        <f t="shared" si="72"/>
        <v>0</v>
      </c>
      <c r="BH427" s="58">
        <f t="shared" si="73"/>
        <v>0</v>
      </c>
      <c r="BI427" s="58">
        <f t="shared" si="74"/>
        <v>0</v>
      </c>
      <c r="BJ427" s="58">
        <f t="shared" si="75"/>
        <v>0</v>
      </c>
      <c r="BK427" s="58">
        <f t="shared" si="76"/>
        <v>8</v>
      </c>
    </row>
    <row r="428" spans="1:63" ht="27" customHeight="1">
      <c r="A428" s="13">
        <f t="shared" si="77"/>
        <v>426</v>
      </c>
      <c r="B428" s="14"/>
      <c r="C428" s="10">
        <v>3013</v>
      </c>
      <c r="D428" s="119" t="s">
        <v>2892</v>
      </c>
      <c r="E428" s="217" t="s">
        <v>2893</v>
      </c>
      <c r="F428" s="234" t="s">
        <v>1697</v>
      </c>
      <c r="G428" s="235" t="s">
        <v>2435</v>
      </c>
      <c r="H428" s="26" t="s">
        <v>2515</v>
      </c>
      <c r="I428" s="27" t="s">
        <v>38</v>
      </c>
      <c r="J428" s="98" t="s">
        <v>178</v>
      </c>
      <c r="K428" s="28">
        <v>26817</v>
      </c>
      <c r="L428" s="82" t="s">
        <v>179</v>
      </c>
      <c r="M428" s="25">
        <v>43658</v>
      </c>
      <c r="N428" s="25"/>
      <c r="O428" s="25" t="s">
        <v>34</v>
      </c>
      <c r="P428" s="18" t="s">
        <v>199</v>
      </c>
      <c r="Q428" s="18" t="s">
        <v>249</v>
      </c>
      <c r="R428" s="13" t="s">
        <v>182</v>
      </c>
      <c r="S428" s="13" t="s">
        <v>2359</v>
      </c>
      <c r="T428" s="175"/>
      <c r="U428" s="175"/>
      <c r="V428" s="21"/>
      <c r="W428" s="21" t="s">
        <v>200</v>
      </c>
      <c r="X428" s="1">
        <v>4</v>
      </c>
      <c r="Y428" s="176" t="s">
        <v>2894</v>
      </c>
      <c r="Z428" s="86"/>
      <c r="AA428" s="86" t="s">
        <v>186</v>
      </c>
      <c r="AB428" s="1"/>
      <c r="AC428" s="123"/>
      <c r="AD428" s="218" t="s">
        <v>163</v>
      </c>
      <c r="AE428" s="218" t="s">
        <v>189</v>
      </c>
      <c r="AF428" s="219"/>
      <c r="AG428" s="220"/>
      <c r="AH428" s="221"/>
      <c r="AI428" s="221"/>
      <c r="AJ428" s="97" t="s">
        <v>203</v>
      </c>
      <c r="AK428" s="97" t="s">
        <v>190</v>
      </c>
      <c r="AL428" s="97" t="s">
        <v>190</v>
      </c>
      <c r="AM428" s="123" t="s">
        <v>2895</v>
      </c>
      <c r="AN428" s="22">
        <v>182</v>
      </c>
      <c r="AO428" s="22">
        <v>0</v>
      </c>
      <c r="AP428" s="22">
        <v>20</v>
      </c>
      <c r="AQ428" s="22">
        <v>0</v>
      </c>
      <c r="AR428" s="22">
        <v>0</v>
      </c>
      <c r="AS428" s="22">
        <v>7</v>
      </c>
      <c r="AT428" s="22">
        <v>10</v>
      </c>
      <c r="AU428" s="316">
        <f t="shared" si="67"/>
        <v>219</v>
      </c>
      <c r="AV428" s="22">
        <v>190</v>
      </c>
      <c r="AW428" s="22">
        <v>0</v>
      </c>
      <c r="AX428" s="22">
        <v>20</v>
      </c>
      <c r="AY428" s="22">
        <v>0</v>
      </c>
      <c r="AZ428" s="22">
        <v>0</v>
      </c>
      <c r="BA428" s="22">
        <v>7</v>
      </c>
      <c r="BB428" s="22">
        <v>10</v>
      </c>
      <c r="BC428" s="316">
        <f t="shared" si="68"/>
        <v>227</v>
      </c>
      <c r="BD428" s="58">
        <f t="shared" si="69"/>
        <v>8</v>
      </c>
      <c r="BE428" s="58">
        <f t="shared" si="70"/>
        <v>0</v>
      </c>
      <c r="BF428" s="58">
        <f t="shared" si="71"/>
        <v>0</v>
      </c>
      <c r="BG428" s="58">
        <f t="shared" si="72"/>
        <v>0</v>
      </c>
      <c r="BH428" s="58">
        <f t="shared" si="73"/>
        <v>0</v>
      </c>
      <c r="BI428" s="58">
        <f t="shared" si="74"/>
        <v>0</v>
      </c>
      <c r="BJ428" s="58">
        <f t="shared" si="75"/>
        <v>0</v>
      </c>
      <c r="BK428" s="58">
        <f t="shared" si="76"/>
        <v>8</v>
      </c>
    </row>
    <row r="429" spans="1:63" ht="27" customHeight="1">
      <c r="A429" s="13">
        <f t="shared" si="77"/>
        <v>427</v>
      </c>
      <c r="B429" s="14"/>
      <c r="C429" s="10">
        <v>3002</v>
      </c>
      <c r="D429" s="119" t="s">
        <v>2896</v>
      </c>
      <c r="E429" s="217" t="s">
        <v>2897</v>
      </c>
      <c r="F429" s="234" t="s">
        <v>2898</v>
      </c>
      <c r="G429" s="235" t="s">
        <v>2899</v>
      </c>
      <c r="H429" s="26" t="s">
        <v>2900</v>
      </c>
      <c r="I429" s="27" t="s">
        <v>2901</v>
      </c>
      <c r="J429" s="98" t="s">
        <v>178</v>
      </c>
      <c r="K429" s="28">
        <v>33284</v>
      </c>
      <c r="L429" s="82" t="s">
        <v>179</v>
      </c>
      <c r="M429" s="25">
        <v>43655</v>
      </c>
      <c r="N429" s="25"/>
      <c r="O429" s="25" t="s">
        <v>34</v>
      </c>
      <c r="P429" s="18" t="s">
        <v>604</v>
      </c>
      <c r="Q429" s="18" t="s">
        <v>181</v>
      </c>
      <c r="R429" s="13" t="s">
        <v>182</v>
      </c>
      <c r="S429" s="13" t="s">
        <v>2359</v>
      </c>
      <c r="T429" s="175"/>
      <c r="U429" s="175"/>
      <c r="V429" s="21" t="s">
        <v>184</v>
      </c>
      <c r="W429" s="21" t="s">
        <v>184</v>
      </c>
      <c r="X429" s="1">
        <v>7</v>
      </c>
      <c r="Y429" s="176" t="s">
        <v>2902</v>
      </c>
      <c r="Z429" s="86"/>
      <c r="AA429" s="86" t="s">
        <v>186</v>
      </c>
      <c r="AB429" s="1"/>
      <c r="AC429" s="123"/>
      <c r="AD429" s="218"/>
      <c r="AE429" s="218"/>
      <c r="AF429" s="219"/>
      <c r="AG429" s="220"/>
      <c r="AH429" s="221"/>
      <c r="AI429" s="221"/>
      <c r="AJ429" s="97" t="s">
        <v>203</v>
      </c>
      <c r="AK429" s="97" t="s">
        <v>190</v>
      </c>
      <c r="AL429" s="97" t="s">
        <v>190</v>
      </c>
      <c r="AM429" s="123" t="s">
        <v>2354</v>
      </c>
      <c r="AN429" s="22">
        <v>182</v>
      </c>
      <c r="AO429" s="22">
        <v>0</v>
      </c>
      <c r="AP429" s="22">
        <v>0</v>
      </c>
      <c r="AQ429" s="22">
        <v>0</v>
      </c>
      <c r="AR429" s="22">
        <v>0</v>
      </c>
      <c r="AS429" s="22">
        <v>7</v>
      </c>
      <c r="AT429" s="22">
        <v>10</v>
      </c>
      <c r="AU429" s="316">
        <f t="shared" si="67"/>
        <v>199</v>
      </c>
      <c r="AV429" s="22">
        <v>190</v>
      </c>
      <c r="AW429" s="22">
        <v>0</v>
      </c>
      <c r="AX429" s="22">
        <v>0</v>
      </c>
      <c r="AY429" s="22">
        <v>0</v>
      </c>
      <c r="AZ429" s="22">
        <v>0</v>
      </c>
      <c r="BA429" s="22">
        <v>7</v>
      </c>
      <c r="BB429" s="22">
        <v>10</v>
      </c>
      <c r="BC429" s="316">
        <f t="shared" si="68"/>
        <v>207</v>
      </c>
      <c r="BD429" s="58">
        <f t="shared" si="69"/>
        <v>8</v>
      </c>
      <c r="BE429" s="58">
        <f t="shared" si="70"/>
        <v>0</v>
      </c>
      <c r="BF429" s="58">
        <f t="shared" si="71"/>
        <v>0</v>
      </c>
      <c r="BG429" s="58">
        <f t="shared" si="72"/>
        <v>0</v>
      </c>
      <c r="BH429" s="58">
        <f t="shared" si="73"/>
        <v>0</v>
      </c>
      <c r="BI429" s="58">
        <f t="shared" si="74"/>
        <v>0</v>
      </c>
      <c r="BJ429" s="58">
        <f t="shared" si="75"/>
        <v>0</v>
      </c>
      <c r="BK429" s="58">
        <f t="shared" si="76"/>
        <v>8</v>
      </c>
    </row>
    <row r="430" spans="1:63" ht="27" customHeight="1">
      <c r="A430" s="13">
        <f t="shared" si="77"/>
        <v>428</v>
      </c>
      <c r="B430" s="14"/>
      <c r="C430" s="10">
        <v>3003</v>
      </c>
      <c r="D430" s="119" t="s">
        <v>2903</v>
      </c>
      <c r="E430" s="217" t="s">
        <v>2904</v>
      </c>
      <c r="F430" s="234" t="s">
        <v>2905</v>
      </c>
      <c r="G430" s="235" t="s">
        <v>2906</v>
      </c>
      <c r="H430" s="26" t="s">
        <v>2907</v>
      </c>
      <c r="I430" s="27" t="s">
        <v>2908</v>
      </c>
      <c r="J430" s="98" t="s">
        <v>178</v>
      </c>
      <c r="K430" s="28">
        <v>35266</v>
      </c>
      <c r="L430" s="82" t="s">
        <v>179</v>
      </c>
      <c r="M430" s="25">
        <v>43655</v>
      </c>
      <c r="N430" s="25"/>
      <c r="O430" s="25" t="s">
        <v>34</v>
      </c>
      <c r="P430" s="18" t="s">
        <v>2498</v>
      </c>
      <c r="Q430" s="18" t="s">
        <v>249</v>
      </c>
      <c r="R430" s="13" t="s">
        <v>182</v>
      </c>
      <c r="S430" s="13" t="s">
        <v>2909</v>
      </c>
      <c r="T430" s="175"/>
      <c r="U430" s="175"/>
      <c r="V430" s="21" t="s">
        <v>184</v>
      </c>
      <c r="W430" s="21" t="s">
        <v>184</v>
      </c>
      <c r="X430" s="1">
        <v>7</v>
      </c>
      <c r="Y430" s="176" t="s">
        <v>2910</v>
      </c>
      <c r="Z430" s="86"/>
      <c r="AA430" s="86" t="s">
        <v>186</v>
      </c>
      <c r="AB430" s="1"/>
      <c r="AC430" s="123"/>
      <c r="AD430" s="218"/>
      <c r="AE430" s="218"/>
      <c r="AF430" s="219"/>
      <c r="AG430" s="220"/>
      <c r="AH430" s="221"/>
      <c r="AI430" s="221"/>
      <c r="AJ430" s="97" t="s">
        <v>203</v>
      </c>
      <c r="AK430" s="97" t="s">
        <v>190</v>
      </c>
      <c r="AL430" s="97" t="s">
        <v>190</v>
      </c>
      <c r="AM430" s="123" t="s">
        <v>2354</v>
      </c>
      <c r="AN430" s="22">
        <v>182</v>
      </c>
      <c r="AO430" s="22">
        <v>0</v>
      </c>
      <c r="AP430" s="22">
        <v>20</v>
      </c>
      <c r="AQ430" s="22">
        <v>0</v>
      </c>
      <c r="AR430" s="22">
        <v>0</v>
      </c>
      <c r="AS430" s="22">
        <v>7</v>
      </c>
      <c r="AT430" s="22">
        <v>10</v>
      </c>
      <c r="AU430" s="316">
        <f t="shared" si="67"/>
        <v>219</v>
      </c>
      <c r="AV430" s="22">
        <v>190</v>
      </c>
      <c r="AW430" s="22">
        <v>0</v>
      </c>
      <c r="AX430" s="22">
        <v>20</v>
      </c>
      <c r="AY430" s="22">
        <v>0</v>
      </c>
      <c r="AZ430" s="22">
        <v>0</v>
      </c>
      <c r="BA430" s="22">
        <v>7</v>
      </c>
      <c r="BB430" s="22">
        <v>10</v>
      </c>
      <c r="BC430" s="316">
        <f t="shared" si="68"/>
        <v>227</v>
      </c>
      <c r="BD430" s="58">
        <f t="shared" si="69"/>
        <v>8</v>
      </c>
      <c r="BE430" s="58">
        <f t="shared" si="70"/>
        <v>0</v>
      </c>
      <c r="BF430" s="58">
        <f t="shared" si="71"/>
        <v>0</v>
      </c>
      <c r="BG430" s="58">
        <f t="shared" si="72"/>
        <v>0</v>
      </c>
      <c r="BH430" s="58">
        <f t="shared" si="73"/>
        <v>0</v>
      </c>
      <c r="BI430" s="58">
        <f t="shared" si="74"/>
        <v>0</v>
      </c>
      <c r="BJ430" s="58">
        <f t="shared" si="75"/>
        <v>0</v>
      </c>
      <c r="BK430" s="58">
        <f t="shared" si="76"/>
        <v>8</v>
      </c>
    </row>
    <row r="431" spans="1:63" ht="27" customHeight="1">
      <c r="A431" s="13">
        <f t="shared" si="77"/>
        <v>429</v>
      </c>
      <c r="B431" s="14"/>
      <c r="C431" s="10">
        <v>3018</v>
      </c>
      <c r="D431" s="119" t="s">
        <v>2911</v>
      </c>
      <c r="E431" s="217" t="s">
        <v>2912</v>
      </c>
      <c r="F431" s="234" t="s">
        <v>2913</v>
      </c>
      <c r="G431" s="235" t="s">
        <v>2914</v>
      </c>
      <c r="H431" s="26" t="s">
        <v>2915</v>
      </c>
      <c r="I431" s="27" t="s">
        <v>2916</v>
      </c>
      <c r="J431" s="98" t="s">
        <v>178</v>
      </c>
      <c r="K431" s="28">
        <v>34714</v>
      </c>
      <c r="L431" s="82" t="s">
        <v>179</v>
      </c>
      <c r="M431" s="25">
        <v>43663</v>
      </c>
      <c r="N431" s="25"/>
      <c r="O431" s="25" t="s">
        <v>34</v>
      </c>
      <c r="P431" s="18" t="s">
        <v>265</v>
      </c>
      <c r="Q431" s="18" t="s">
        <v>181</v>
      </c>
      <c r="R431" s="13" t="s">
        <v>182</v>
      </c>
      <c r="S431" s="13" t="s">
        <v>2359</v>
      </c>
      <c r="T431" s="175"/>
      <c r="U431" s="175"/>
      <c r="V431" s="21" t="s">
        <v>184</v>
      </c>
      <c r="W431" s="21" t="s">
        <v>184</v>
      </c>
      <c r="X431" s="1">
        <v>3</v>
      </c>
      <c r="Y431" s="176" t="s">
        <v>2917</v>
      </c>
      <c r="Z431" s="86" t="s">
        <v>186</v>
      </c>
      <c r="AA431" s="86"/>
      <c r="AB431" s="1"/>
      <c r="AC431" s="123"/>
      <c r="AD431" s="218"/>
      <c r="AE431" s="218"/>
      <c r="AF431" s="219"/>
      <c r="AG431" s="220"/>
      <c r="AH431" s="221"/>
      <c r="AI431" s="221"/>
      <c r="AJ431" s="97" t="s">
        <v>203</v>
      </c>
      <c r="AK431" s="97" t="s">
        <v>190</v>
      </c>
      <c r="AL431" s="97" t="s">
        <v>190</v>
      </c>
      <c r="AM431" s="123" t="s">
        <v>2354</v>
      </c>
      <c r="AN431" s="22">
        <v>182</v>
      </c>
      <c r="AO431" s="22">
        <v>0</v>
      </c>
      <c r="AP431" s="22">
        <v>0</v>
      </c>
      <c r="AQ431" s="22">
        <v>0</v>
      </c>
      <c r="AR431" s="22">
        <v>0</v>
      </c>
      <c r="AS431" s="22">
        <v>7</v>
      </c>
      <c r="AT431" s="22">
        <v>10</v>
      </c>
      <c r="AU431" s="316">
        <f t="shared" si="67"/>
        <v>199</v>
      </c>
      <c r="AV431" s="22">
        <v>190</v>
      </c>
      <c r="AW431" s="22">
        <v>0</v>
      </c>
      <c r="AX431" s="22">
        <v>0</v>
      </c>
      <c r="AY431" s="22">
        <v>0</v>
      </c>
      <c r="AZ431" s="22">
        <v>0</v>
      </c>
      <c r="BA431" s="22">
        <v>7</v>
      </c>
      <c r="BB431" s="22">
        <v>10</v>
      </c>
      <c r="BC431" s="316">
        <f t="shared" si="68"/>
        <v>207</v>
      </c>
      <c r="BD431" s="58">
        <f t="shared" si="69"/>
        <v>8</v>
      </c>
      <c r="BE431" s="58">
        <f t="shared" si="70"/>
        <v>0</v>
      </c>
      <c r="BF431" s="58">
        <f t="shared" si="71"/>
        <v>0</v>
      </c>
      <c r="BG431" s="58">
        <f t="shared" si="72"/>
        <v>0</v>
      </c>
      <c r="BH431" s="58">
        <f t="shared" si="73"/>
        <v>0</v>
      </c>
      <c r="BI431" s="58">
        <f t="shared" si="74"/>
        <v>0</v>
      </c>
      <c r="BJ431" s="58">
        <f t="shared" si="75"/>
        <v>0</v>
      </c>
      <c r="BK431" s="58">
        <f t="shared" si="76"/>
        <v>8</v>
      </c>
    </row>
    <row r="432" spans="1:63" ht="27" customHeight="1">
      <c r="A432" s="13">
        <f t="shared" si="77"/>
        <v>430</v>
      </c>
      <c r="B432" s="14"/>
      <c r="C432" s="10">
        <v>3017</v>
      </c>
      <c r="D432" s="119" t="s">
        <v>2918</v>
      </c>
      <c r="E432" s="217" t="s">
        <v>296</v>
      </c>
      <c r="F432" s="234" t="s">
        <v>2913</v>
      </c>
      <c r="G432" s="235" t="s">
        <v>2919</v>
      </c>
      <c r="H432" s="26" t="s">
        <v>2915</v>
      </c>
      <c r="I432" s="27" t="s">
        <v>2224</v>
      </c>
      <c r="J432" s="98" t="s">
        <v>178</v>
      </c>
      <c r="K432" s="28">
        <v>34314</v>
      </c>
      <c r="L432" s="82" t="s">
        <v>179</v>
      </c>
      <c r="M432" s="25">
        <v>43663</v>
      </c>
      <c r="N432" s="25"/>
      <c r="O432" s="25" t="s">
        <v>34</v>
      </c>
      <c r="P432" s="18" t="s">
        <v>265</v>
      </c>
      <c r="Q432" s="18" t="s">
        <v>181</v>
      </c>
      <c r="R432" s="13" t="s">
        <v>182</v>
      </c>
      <c r="S432" s="13" t="s">
        <v>2359</v>
      </c>
      <c r="T432" s="175"/>
      <c r="U432" s="175"/>
      <c r="V432" s="21" t="s">
        <v>184</v>
      </c>
      <c r="W432" s="21" t="s">
        <v>184</v>
      </c>
      <c r="X432" s="1">
        <v>2</v>
      </c>
      <c r="Y432" s="176" t="s">
        <v>2917</v>
      </c>
      <c r="Z432" s="86" t="s">
        <v>186</v>
      </c>
      <c r="AA432" s="86"/>
      <c r="AB432" s="1"/>
      <c r="AC432" s="123"/>
      <c r="AD432" s="218"/>
      <c r="AE432" s="218"/>
      <c r="AF432" s="219"/>
      <c r="AG432" s="220"/>
      <c r="AH432" s="221"/>
      <c r="AI432" s="221"/>
      <c r="AJ432" s="97" t="s">
        <v>203</v>
      </c>
      <c r="AK432" s="97" t="s">
        <v>190</v>
      </c>
      <c r="AL432" s="97" t="s">
        <v>190</v>
      </c>
      <c r="AM432" s="123" t="s">
        <v>2354</v>
      </c>
      <c r="AN432" s="22">
        <v>182</v>
      </c>
      <c r="AO432" s="22">
        <v>0</v>
      </c>
      <c r="AP432" s="22">
        <v>0</v>
      </c>
      <c r="AQ432" s="22">
        <v>0</v>
      </c>
      <c r="AR432" s="22">
        <v>0</v>
      </c>
      <c r="AS432" s="22">
        <v>7</v>
      </c>
      <c r="AT432" s="22">
        <v>10</v>
      </c>
      <c r="AU432" s="316">
        <f t="shared" si="67"/>
        <v>199</v>
      </c>
      <c r="AV432" s="22">
        <v>190</v>
      </c>
      <c r="AW432" s="22">
        <v>0</v>
      </c>
      <c r="AX432" s="22">
        <v>0</v>
      </c>
      <c r="AY432" s="22">
        <v>0</v>
      </c>
      <c r="AZ432" s="22">
        <v>0</v>
      </c>
      <c r="BA432" s="22">
        <v>7</v>
      </c>
      <c r="BB432" s="22">
        <v>10</v>
      </c>
      <c r="BC432" s="316">
        <f t="shared" si="68"/>
        <v>207</v>
      </c>
      <c r="BD432" s="58">
        <f t="shared" si="69"/>
        <v>8</v>
      </c>
      <c r="BE432" s="58">
        <f t="shared" si="70"/>
        <v>0</v>
      </c>
      <c r="BF432" s="58">
        <f t="shared" si="71"/>
        <v>0</v>
      </c>
      <c r="BG432" s="58">
        <f t="shared" si="72"/>
        <v>0</v>
      </c>
      <c r="BH432" s="58">
        <f t="shared" si="73"/>
        <v>0</v>
      </c>
      <c r="BI432" s="58">
        <f t="shared" si="74"/>
        <v>0</v>
      </c>
      <c r="BJ432" s="58">
        <f t="shared" si="75"/>
        <v>0</v>
      </c>
      <c r="BK432" s="58">
        <f t="shared" si="76"/>
        <v>8</v>
      </c>
    </row>
    <row r="433" spans="1:63" ht="27" customHeight="1">
      <c r="A433" s="13">
        <f t="shared" si="77"/>
        <v>431</v>
      </c>
      <c r="B433" s="14"/>
      <c r="C433" s="10">
        <v>3021</v>
      </c>
      <c r="D433" s="119" t="s">
        <v>2920</v>
      </c>
      <c r="E433" s="217" t="s">
        <v>2921</v>
      </c>
      <c r="F433" s="234" t="s">
        <v>398</v>
      </c>
      <c r="G433" s="235" t="s">
        <v>2069</v>
      </c>
      <c r="H433" s="26" t="s">
        <v>2922</v>
      </c>
      <c r="I433" s="27" t="s">
        <v>2923</v>
      </c>
      <c r="J433" s="98" t="s">
        <v>178</v>
      </c>
      <c r="K433" s="28">
        <v>28621</v>
      </c>
      <c r="L433" s="82" t="s">
        <v>179</v>
      </c>
      <c r="M433" s="25">
        <v>43665</v>
      </c>
      <c r="N433" s="25"/>
      <c r="O433" s="25" t="s">
        <v>34</v>
      </c>
      <c r="P433" s="18" t="s">
        <v>199</v>
      </c>
      <c r="Q433" s="18" t="s">
        <v>249</v>
      </c>
      <c r="R433" s="13" t="s">
        <v>182</v>
      </c>
      <c r="S433" s="13" t="s">
        <v>2359</v>
      </c>
      <c r="T433" s="175"/>
      <c r="U433" s="175"/>
      <c r="V433" s="21" t="s">
        <v>184</v>
      </c>
      <c r="W433" s="21" t="s">
        <v>184</v>
      </c>
      <c r="X433" s="1">
        <v>5</v>
      </c>
      <c r="Y433" s="176" t="s">
        <v>296</v>
      </c>
      <c r="Z433" s="86"/>
      <c r="AA433" s="86" t="s">
        <v>186</v>
      </c>
      <c r="AB433" s="1"/>
      <c r="AC433" s="123"/>
      <c r="AD433" s="218"/>
      <c r="AE433" s="218"/>
      <c r="AF433" s="219"/>
      <c r="AG433" s="220"/>
      <c r="AH433" s="221"/>
      <c r="AI433" s="221"/>
      <c r="AJ433" s="97" t="s">
        <v>203</v>
      </c>
      <c r="AK433" s="97" t="s">
        <v>190</v>
      </c>
      <c r="AL433" s="97" t="s">
        <v>190</v>
      </c>
      <c r="AM433" s="123" t="s">
        <v>2354</v>
      </c>
      <c r="AN433" s="22">
        <v>182</v>
      </c>
      <c r="AO433" s="22">
        <v>0</v>
      </c>
      <c r="AP433" s="22">
        <v>20</v>
      </c>
      <c r="AQ433" s="22">
        <v>0</v>
      </c>
      <c r="AR433" s="22">
        <v>0</v>
      </c>
      <c r="AS433" s="22">
        <v>7</v>
      </c>
      <c r="AT433" s="22">
        <v>10</v>
      </c>
      <c r="AU433" s="316">
        <f t="shared" si="67"/>
        <v>219</v>
      </c>
      <c r="AV433" s="22">
        <v>190</v>
      </c>
      <c r="AW433" s="22">
        <v>0</v>
      </c>
      <c r="AX433" s="22">
        <v>20</v>
      </c>
      <c r="AY433" s="22">
        <v>0</v>
      </c>
      <c r="AZ433" s="22">
        <v>0</v>
      </c>
      <c r="BA433" s="22">
        <v>7</v>
      </c>
      <c r="BB433" s="22">
        <v>10</v>
      </c>
      <c r="BC433" s="316">
        <f t="shared" si="68"/>
        <v>227</v>
      </c>
      <c r="BD433" s="58">
        <f t="shared" si="69"/>
        <v>8</v>
      </c>
      <c r="BE433" s="58">
        <f t="shared" si="70"/>
        <v>0</v>
      </c>
      <c r="BF433" s="58">
        <f t="shared" si="71"/>
        <v>0</v>
      </c>
      <c r="BG433" s="58">
        <f t="shared" si="72"/>
        <v>0</v>
      </c>
      <c r="BH433" s="58">
        <f t="shared" si="73"/>
        <v>0</v>
      </c>
      <c r="BI433" s="58">
        <f t="shared" si="74"/>
        <v>0</v>
      </c>
      <c r="BJ433" s="58">
        <f t="shared" si="75"/>
        <v>0</v>
      </c>
      <c r="BK433" s="58">
        <f t="shared" si="76"/>
        <v>8</v>
      </c>
    </row>
    <row r="434" spans="1:63" ht="27" customHeight="1">
      <c r="A434" s="13">
        <f t="shared" si="77"/>
        <v>432</v>
      </c>
      <c r="B434" s="14"/>
      <c r="C434" s="10">
        <v>3001</v>
      </c>
      <c r="D434" s="119" t="s">
        <v>2924</v>
      </c>
      <c r="E434" s="217" t="s">
        <v>2925</v>
      </c>
      <c r="F434" s="234" t="s">
        <v>420</v>
      </c>
      <c r="G434" s="235" t="s">
        <v>2926</v>
      </c>
      <c r="H434" s="26" t="s">
        <v>422</v>
      </c>
      <c r="I434" s="27" t="s">
        <v>2927</v>
      </c>
      <c r="J434" s="98" t="s">
        <v>178</v>
      </c>
      <c r="K434" s="28">
        <v>31537</v>
      </c>
      <c r="L434" s="82" t="s">
        <v>179</v>
      </c>
      <c r="M434" s="25">
        <v>43664</v>
      </c>
      <c r="N434" s="25"/>
      <c r="O434" s="25" t="s">
        <v>34</v>
      </c>
      <c r="P434" s="18" t="s">
        <v>386</v>
      </c>
      <c r="Q434" s="18" t="s">
        <v>181</v>
      </c>
      <c r="R434" s="13" t="s">
        <v>182</v>
      </c>
      <c r="S434" s="13" t="s">
        <v>2384</v>
      </c>
      <c r="T434" s="175"/>
      <c r="U434" s="175"/>
      <c r="V434" s="21" t="s">
        <v>200</v>
      </c>
      <c r="W434" s="21" t="s">
        <v>184</v>
      </c>
      <c r="X434" s="1">
        <v>7</v>
      </c>
      <c r="Y434" s="176" t="s">
        <v>2928</v>
      </c>
      <c r="Z434" s="86"/>
      <c r="AA434" s="86" t="s">
        <v>186</v>
      </c>
      <c r="AB434" s="1"/>
      <c r="AC434" s="123"/>
      <c r="AD434" s="218"/>
      <c r="AE434" s="218"/>
      <c r="AF434" s="219"/>
      <c r="AG434" s="220"/>
      <c r="AH434" s="221"/>
      <c r="AI434" s="221"/>
      <c r="AJ434" s="97" t="s">
        <v>203</v>
      </c>
      <c r="AK434" s="97" t="s">
        <v>190</v>
      </c>
      <c r="AL434" s="97" t="s">
        <v>190</v>
      </c>
      <c r="AM434" s="123" t="s">
        <v>2354</v>
      </c>
      <c r="AN434" s="22">
        <v>182</v>
      </c>
      <c r="AO434" s="22">
        <v>0</v>
      </c>
      <c r="AP434" s="22">
        <v>0</v>
      </c>
      <c r="AQ434" s="22">
        <v>0</v>
      </c>
      <c r="AR434" s="22">
        <v>0</v>
      </c>
      <c r="AS434" s="22">
        <v>7</v>
      </c>
      <c r="AT434" s="22">
        <v>10</v>
      </c>
      <c r="AU434" s="316">
        <f t="shared" si="67"/>
        <v>199</v>
      </c>
      <c r="AV434" s="22">
        <v>190</v>
      </c>
      <c r="AW434" s="22">
        <v>0</v>
      </c>
      <c r="AX434" s="22">
        <v>0</v>
      </c>
      <c r="AY434" s="22">
        <v>0</v>
      </c>
      <c r="AZ434" s="22">
        <v>0</v>
      </c>
      <c r="BA434" s="22">
        <v>7</v>
      </c>
      <c r="BB434" s="22">
        <v>10</v>
      </c>
      <c r="BC434" s="316">
        <f t="shared" si="68"/>
        <v>207</v>
      </c>
      <c r="BD434" s="58">
        <f t="shared" si="69"/>
        <v>8</v>
      </c>
      <c r="BE434" s="58">
        <f t="shared" si="70"/>
        <v>0</v>
      </c>
      <c r="BF434" s="58">
        <f t="shared" si="71"/>
        <v>0</v>
      </c>
      <c r="BG434" s="58">
        <f t="shared" si="72"/>
        <v>0</v>
      </c>
      <c r="BH434" s="58">
        <f t="shared" si="73"/>
        <v>0</v>
      </c>
      <c r="BI434" s="58">
        <f t="shared" si="74"/>
        <v>0</v>
      </c>
      <c r="BJ434" s="58">
        <f t="shared" si="75"/>
        <v>0</v>
      </c>
      <c r="BK434" s="58">
        <f t="shared" si="76"/>
        <v>8</v>
      </c>
    </row>
    <row r="435" spans="1:63" ht="27" customHeight="1">
      <c r="A435" s="13">
        <f t="shared" si="77"/>
        <v>433</v>
      </c>
      <c r="B435" s="14"/>
      <c r="C435" s="10">
        <v>3022</v>
      </c>
      <c r="D435" s="119" t="s">
        <v>2929</v>
      </c>
      <c r="E435" s="217" t="s">
        <v>2930</v>
      </c>
      <c r="F435" s="234" t="s">
        <v>2931</v>
      </c>
      <c r="G435" s="235" t="s">
        <v>2021</v>
      </c>
      <c r="H435" s="26" t="s">
        <v>2932</v>
      </c>
      <c r="I435" s="27" t="s">
        <v>308</v>
      </c>
      <c r="J435" s="98" t="s">
        <v>178</v>
      </c>
      <c r="K435" s="28">
        <v>32569</v>
      </c>
      <c r="L435" s="82" t="s">
        <v>179</v>
      </c>
      <c r="M435" s="25">
        <v>43665</v>
      </c>
      <c r="N435" s="25"/>
      <c r="O435" s="25" t="s">
        <v>34</v>
      </c>
      <c r="P435" s="18" t="s">
        <v>339</v>
      </c>
      <c r="Q435" s="18" t="s">
        <v>181</v>
      </c>
      <c r="R435" s="13" t="s">
        <v>182</v>
      </c>
      <c r="S435" s="13" t="s">
        <v>2933</v>
      </c>
      <c r="T435" s="175"/>
      <c r="U435" s="175"/>
      <c r="V435" s="21" t="s">
        <v>184</v>
      </c>
      <c r="W435" s="21" t="s">
        <v>184</v>
      </c>
      <c r="X435" s="1">
        <v>6</v>
      </c>
      <c r="Y435" s="176" t="s">
        <v>2934</v>
      </c>
      <c r="Z435" s="86"/>
      <c r="AA435" s="86" t="s">
        <v>186</v>
      </c>
      <c r="AB435" s="1"/>
      <c r="AC435" s="123"/>
      <c r="AD435" s="218"/>
      <c r="AE435" s="218"/>
      <c r="AF435" s="219"/>
      <c r="AG435" s="220"/>
      <c r="AH435" s="221"/>
      <c r="AI435" s="221"/>
      <c r="AJ435" s="97" t="s">
        <v>203</v>
      </c>
      <c r="AK435" s="97" t="s">
        <v>190</v>
      </c>
      <c r="AL435" s="97" t="s">
        <v>190</v>
      </c>
      <c r="AM435" s="123" t="s">
        <v>2354</v>
      </c>
      <c r="AN435" s="22">
        <v>182</v>
      </c>
      <c r="AO435" s="22">
        <v>0</v>
      </c>
      <c r="AP435" s="22">
        <v>0</v>
      </c>
      <c r="AQ435" s="22">
        <v>0</v>
      </c>
      <c r="AR435" s="22">
        <v>0</v>
      </c>
      <c r="AS435" s="22">
        <v>7</v>
      </c>
      <c r="AT435" s="22">
        <v>10</v>
      </c>
      <c r="AU435" s="316">
        <f t="shared" si="67"/>
        <v>199</v>
      </c>
      <c r="AV435" s="22">
        <v>190</v>
      </c>
      <c r="AW435" s="22">
        <v>0</v>
      </c>
      <c r="AX435" s="22">
        <v>0</v>
      </c>
      <c r="AY435" s="22">
        <v>0</v>
      </c>
      <c r="AZ435" s="22">
        <v>0</v>
      </c>
      <c r="BA435" s="22">
        <v>7</v>
      </c>
      <c r="BB435" s="22">
        <v>10</v>
      </c>
      <c r="BC435" s="316">
        <f t="shared" si="68"/>
        <v>207</v>
      </c>
      <c r="BD435" s="58">
        <f t="shared" si="69"/>
        <v>8</v>
      </c>
      <c r="BE435" s="58">
        <f t="shared" si="70"/>
        <v>0</v>
      </c>
      <c r="BF435" s="58">
        <f t="shared" si="71"/>
        <v>0</v>
      </c>
      <c r="BG435" s="58">
        <f t="shared" si="72"/>
        <v>0</v>
      </c>
      <c r="BH435" s="58">
        <f t="shared" si="73"/>
        <v>0</v>
      </c>
      <c r="BI435" s="58">
        <f t="shared" si="74"/>
        <v>0</v>
      </c>
      <c r="BJ435" s="58">
        <f t="shared" si="75"/>
        <v>0</v>
      </c>
      <c r="BK435" s="58">
        <f t="shared" si="76"/>
        <v>8</v>
      </c>
    </row>
    <row r="436" spans="1:63" ht="27" customHeight="1">
      <c r="A436" s="13">
        <f t="shared" si="77"/>
        <v>434</v>
      </c>
      <c r="B436" s="14"/>
      <c r="C436" s="10">
        <v>3014</v>
      </c>
      <c r="D436" s="119" t="s">
        <v>2935</v>
      </c>
      <c r="E436" s="217" t="s">
        <v>2936</v>
      </c>
      <c r="F436" s="234" t="s">
        <v>2937</v>
      </c>
      <c r="G436" s="235" t="s">
        <v>2938</v>
      </c>
      <c r="H436" s="26" t="s">
        <v>2939</v>
      </c>
      <c r="I436" s="27" t="s">
        <v>2940</v>
      </c>
      <c r="J436" s="98" t="s">
        <v>178</v>
      </c>
      <c r="K436" s="28">
        <v>31170</v>
      </c>
      <c r="L436" s="82" t="s">
        <v>179</v>
      </c>
      <c r="M436" s="25">
        <v>43661</v>
      </c>
      <c r="N436" s="25"/>
      <c r="O436" s="25" t="s">
        <v>34</v>
      </c>
      <c r="P436" s="18" t="s">
        <v>2498</v>
      </c>
      <c r="Q436" s="18" t="s">
        <v>249</v>
      </c>
      <c r="R436" s="13" t="s">
        <v>182</v>
      </c>
      <c r="S436" s="13" t="s">
        <v>2933</v>
      </c>
      <c r="T436" s="175"/>
      <c r="U436" s="175"/>
      <c r="V436" s="21" t="s">
        <v>184</v>
      </c>
      <c r="W436" s="21" t="s">
        <v>184</v>
      </c>
      <c r="X436" s="1">
        <v>0</v>
      </c>
      <c r="Y436" s="176" t="s">
        <v>2941</v>
      </c>
      <c r="Z436" s="86" t="s">
        <v>186</v>
      </c>
      <c r="AA436" s="86"/>
      <c r="AB436" s="1"/>
      <c r="AC436" s="123"/>
      <c r="AD436" s="218"/>
      <c r="AE436" s="218"/>
      <c r="AF436" s="219"/>
      <c r="AG436" s="220"/>
      <c r="AH436" s="221"/>
      <c r="AI436" s="221"/>
      <c r="AJ436" s="97" t="s">
        <v>203</v>
      </c>
      <c r="AK436" s="97" t="s">
        <v>190</v>
      </c>
      <c r="AL436" s="97" t="s">
        <v>190</v>
      </c>
      <c r="AM436" s="123" t="s">
        <v>2354</v>
      </c>
      <c r="AN436" s="22">
        <v>182</v>
      </c>
      <c r="AO436" s="22">
        <v>0</v>
      </c>
      <c r="AP436" s="22">
        <v>20</v>
      </c>
      <c r="AQ436" s="22">
        <v>0</v>
      </c>
      <c r="AR436" s="22">
        <v>0</v>
      </c>
      <c r="AS436" s="22">
        <v>7</v>
      </c>
      <c r="AT436" s="22">
        <v>10</v>
      </c>
      <c r="AU436" s="316">
        <f t="shared" si="67"/>
        <v>219</v>
      </c>
      <c r="AV436" s="22">
        <v>190</v>
      </c>
      <c r="AW436" s="22">
        <v>0</v>
      </c>
      <c r="AX436" s="22">
        <v>20</v>
      </c>
      <c r="AY436" s="22">
        <v>0</v>
      </c>
      <c r="AZ436" s="22">
        <v>0</v>
      </c>
      <c r="BA436" s="22">
        <v>7</v>
      </c>
      <c r="BB436" s="22">
        <v>10</v>
      </c>
      <c r="BC436" s="316">
        <f t="shared" si="68"/>
        <v>227</v>
      </c>
      <c r="BD436" s="58">
        <f t="shared" si="69"/>
        <v>8</v>
      </c>
      <c r="BE436" s="58">
        <f t="shared" si="70"/>
        <v>0</v>
      </c>
      <c r="BF436" s="58">
        <f t="shared" si="71"/>
        <v>0</v>
      </c>
      <c r="BG436" s="58">
        <f t="shared" si="72"/>
        <v>0</v>
      </c>
      <c r="BH436" s="58">
        <f t="shared" si="73"/>
        <v>0</v>
      </c>
      <c r="BI436" s="58">
        <f t="shared" si="74"/>
        <v>0</v>
      </c>
      <c r="BJ436" s="58">
        <f t="shared" si="75"/>
        <v>0</v>
      </c>
      <c r="BK436" s="58">
        <f t="shared" si="76"/>
        <v>8</v>
      </c>
    </row>
    <row r="437" spans="1:63" ht="27" customHeight="1">
      <c r="A437" s="13">
        <f t="shared" si="77"/>
        <v>435</v>
      </c>
      <c r="B437" s="14"/>
      <c r="C437" s="14">
        <v>3025</v>
      </c>
      <c r="D437" s="119" t="s">
        <v>2942</v>
      </c>
      <c r="E437" s="217" t="s">
        <v>2943</v>
      </c>
      <c r="F437" s="234" t="s">
        <v>2944</v>
      </c>
      <c r="G437" s="235" t="s">
        <v>2945</v>
      </c>
      <c r="H437" s="26" t="s">
        <v>2946</v>
      </c>
      <c r="I437" s="27" t="s">
        <v>2947</v>
      </c>
      <c r="J437" s="98" t="s">
        <v>178</v>
      </c>
      <c r="K437" s="28">
        <v>34371</v>
      </c>
      <c r="L437" s="82" t="s">
        <v>179</v>
      </c>
      <c r="M437" s="25">
        <v>43666</v>
      </c>
      <c r="N437" s="25"/>
      <c r="O437" s="25" t="s">
        <v>34</v>
      </c>
      <c r="P437" s="18" t="s">
        <v>348</v>
      </c>
      <c r="Q437" s="18" t="s">
        <v>181</v>
      </c>
      <c r="R437" s="13" t="s">
        <v>182</v>
      </c>
      <c r="S437" s="13" t="s">
        <v>2397</v>
      </c>
      <c r="T437" s="22" t="s">
        <v>340</v>
      </c>
      <c r="U437" s="22"/>
      <c r="V437" s="21" t="s">
        <v>184</v>
      </c>
      <c r="W437" s="21" t="s">
        <v>184</v>
      </c>
      <c r="X437" s="21">
        <v>6</v>
      </c>
      <c r="Y437" s="77" t="s">
        <v>2948</v>
      </c>
      <c r="Z437" s="86"/>
      <c r="AA437" s="86" t="s">
        <v>186</v>
      </c>
      <c r="AB437" s="21"/>
      <c r="AC437" s="123"/>
      <c r="AD437" s="218" t="s">
        <v>189</v>
      </c>
      <c r="AE437" s="218"/>
      <c r="AF437" s="219"/>
      <c r="AG437" s="220"/>
      <c r="AH437" s="236"/>
      <c r="AI437" s="236"/>
      <c r="AJ437" s="88" t="s">
        <v>203</v>
      </c>
      <c r="AK437" s="88" t="s">
        <v>190</v>
      </c>
      <c r="AL437" s="88" t="s">
        <v>190</v>
      </c>
      <c r="AM437" s="123" t="s">
        <v>2354</v>
      </c>
      <c r="AN437" s="22">
        <v>182</v>
      </c>
      <c r="AO437" s="22">
        <v>0</v>
      </c>
      <c r="AP437" s="22">
        <v>0</v>
      </c>
      <c r="AQ437" s="22">
        <v>0</v>
      </c>
      <c r="AR437" s="22">
        <v>0</v>
      </c>
      <c r="AS437" s="22">
        <v>7</v>
      </c>
      <c r="AT437" s="22">
        <v>10</v>
      </c>
      <c r="AU437" s="316">
        <f t="shared" si="67"/>
        <v>199</v>
      </c>
      <c r="AV437" s="22">
        <v>190</v>
      </c>
      <c r="AW437" s="22">
        <v>0</v>
      </c>
      <c r="AX437" s="22">
        <v>0</v>
      </c>
      <c r="AY437" s="22">
        <v>0</v>
      </c>
      <c r="AZ437" s="22">
        <v>0</v>
      </c>
      <c r="BA437" s="22">
        <v>7</v>
      </c>
      <c r="BB437" s="22">
        <v>10</v>
      </c>
      <c r="BC437" s="316">
        <f t="shared" si="68"/>
        <v>207</v>
      </c>
      <c r="BD437" s="58">
        <f t="shared" si="69"/>
        <v>8</v>
      </c>
      <c r="BE437" s="58">
        <f t="shared" si="70"/>
        <v>0</v>
      </c>
      <c r="BF437" s="58">
        <f t="shared" si="71"/>
        <v>0</v>
      </c>
      <c r="BG437" s="58">
        <f t="shared" si="72"/>
        <v>0</v>
      </c>
      <c r="BH437" s="58">
        <f t="shared" si="73"/>
        <v>0</v>
      </c>
      <c r="BI437" s="58">
        <f t="shared" si="74"/>
        <v>0</v>
      </c>
      <c r="BJ437" s="58">
        <f t="shared" si="75"/>
        <v>0</v>
      </c>
      <c r="BK437" s="58">
        <f t="shared" si="76"/>
        <v>8</v>
      </c>
    </row>
    <row r="438" spans="1:63" ht="27" customHeight="1">
      <c r="A438" s="13">
        <f t="shared" si="77"/>
        <v>436</v>
      </c>
      <c r="B438" s="14"/>
      <c r="C438" s="10">
        <v>3027</v>
      </c>
      <c r="D438" s="119" t="s">
        <v>2949</v>
      </c>
      <c r="E438" s="217" t="s">
        <v>2950</v>
      </c>
      <c r="F438" s="234" t="s">
        <v>2951</v>
      </c>
      <c r="G438" s="235" t="s">
        <v>2952</v>
      </c>
      <c r="H438" s="26" t="s">
        <v>2953</v>
      </c>
      <c r="I438" s="27" t="s">
        <v>2954</v>
      </c>
      <c r="J438" s="98" t="s">
        <v>209</v>
      </c>
      <c r="K438" s="28">
        <v>36172</v>
      </c>
      <c r="L438" s="82" t="s">
        <v>179</v>
      </c>
      <c r="M438" s="25">
        <v>43669</v>
      </c>
      <c r="N438" s="25"/>
      <c r="O438" s="25" t="s">
        <v>34</v>
      </c>
      <c r="P438" s="18" t="s">
        <v>532</v>
      </c>
      <c r="Q438" s="18" t="s">
        <v>249</v>
      </c>
      <c r="R438" s="13" t="s">
        <v>182</v>
      </c>
      <c r="S438" s="13" t="s">
        <v>2397</v>
      </c>
      <c r="T438" s="175"/>
      <c r="U438" s="175"/>
      <c r="V438" s="21" t="s">
        <v>184</v>
      </c>
      <c r="W438" s="21" t="s">
        <v>184</v>
      </c>
      <c r="X438" s="1">
        <v>6</v>
      </c>
      <c r="Y438" s="176" t="s">
        <v>2955</v>
      </c>
      <c r="Z438" s="86" t="s">
        <v>186</v>
      </c>
      <c r="AA438" s="86"/>
      <c r="AB438" s="1"/>
      <c r="AC438" s="123"/>
      <c r="AD438" s="218"/>
      <c r="AE438" s="218"/>
      <c r="AF438" s="219"/>
      <c r="AG438" s="220"/>
      <c r="AH438" s="221"/>
      <c r="AI438" s="221"/>
      <c r="AJ438" s="97" t="s">
        <v>203</v>
      </c>
      <c r="AK438" s="97" t="s">
        <v>190</v>
      </c>
      <c r="AL438" s="97" t="s">
        <v>190</v>
      </c>
      <c r="AM438" s="123" t="s">
        <v>2354</v>
      </c>
      <c r="AN438" s="22">
        <v>182</v>
      </c>
      <c r="AO438" s="22">
        <v>0</v>
      </c>
      <c r="AP438" s="22">
        <v>64</v>
      </c>
      <c r="AQ438" s="22">
        <v>0</v>
      </c>
      <c r="AR438" s="22">
        <v>24</v>
      </c>
      <c r="AS438" s="22">
        <v>7</v>
      </c>
      <c r="AT438" s="22">
        <v>10</v>
      </c>
      <c r="AU438" s="316">
        <f t="shared" si="67"/>
        <v>287</v>
      </c>
      <c r="AV438" s="22">
        <v>190</v>
      </c>
      <c r="AW438" s="22">
        <v>0</v>
      </c>
      <c r="AX438" s="22">
        <v>64</v>
      </c>
      <c r="AY438" s="22">
        <v>0</v>
      </c>
      <c r="AZ438" s="22">
        <v>24</v>
      </c>
      <c r="BA438" s="22">
        <v>7</v>
      </c>
      <c r="BB438" s="22">
        <v>10</v>
      </c>
      <c r="BC438" s="316">
        <f t="shared" si="68"/>
        <v>295</v>
      </c>
      <c r="BD438" s="58">
        <f t="shared" si="69"/>
        <v>8</v>
      </c>
      <c r="BE438" s="58">
        <f t="shared" si="70"/>
        <v>0</v>
      </c>
      <c r="BF438" s="58">
        <f t="shared" si="71"/>
        <v>0</v>
      </c>
      <c r="BG438" s="58">
        <f t="shared" si="72"/>
        <v>0</v>
      </c>
      <c r="BH438" s="58">
        <f t="shared" si="73"/>
        <v>0</v>
      </c>
      <c r="BI438" s="58">
        <f t="shared" si="74"/>
        <v>0</v>
      </c>
      <c r="BJ438" s="58">
        <f t="shared" si="75"/>
        <v>0</v>
      </c>
      <c r="BK438" s="58">
        <f t="shared" si="76"/>
        <v>8</v>
      </c>
    </row>
    <row r="439" spans="1:63" ht="27" customHeight="1">
      <c r="A439" s="13">
        <f t="shared" si="77"/>
        <v>437</v>
      </c>
      <c r="B439" s="14"/>
      <c r="C439" s="10">
        <v>3043</v>
      </c>
      <c r="D439" s="119" t="s">
        <v>2956</v>
      </c>
      <c r="E439" s="217" t="s">
        <v>2957</v>
      </c>
      <c r="F439" s="234" t="s">
        <v>2958</v>
      </c>
      <c r="G439" s="235" t="s">
        <v>2959</v>
      </c>
      <c r="H439" s="26" t="s">
        <v>2960</v>
      </c>
      <c r="I439" s="27" t="s">
        <v>2961</v>
      </c>
      <c r="J439" s="98" t="s">
        <v>178</v>
      </c>
      <c r="K439" s="28">
        <v>34888</v>
      </c>
      <c r="L439" s="82" t="s">
        <v>179</v>
      </c>
      <c r="M439" s="25">
        <v>43676</v>
      </c>
      <c r="N439" s="25"/>
      <c r="O439" s="25" t="s">
        <v>34</v>
      </c>
      <c r="P439" s="18" t="s">
        <v>1085</v>
      </c>
      <c r="Q439" s="18" t="s">
        <v>181</v>
      </c>
      <c r="R439" s="13" t="s">
        <v>182</v>
      </c>
      <c r="S439" s="13" t="s">
        <v>2397</v>
      </c>
      <c r="T439" s="175"/>
      <c r="U439" s="175"/>
      <c r="V439" s="21" t="s">
        <v>184</v>
      </c>
      <c r="W439" s="21" t="s">
        <v>184</v>
      </c>
      <c r="X439" s="1">
        <v>5</v>
      </c>
      <c r="Y439" s="176" t="s">
        <v>2962</v>
      </c>
      <c r="Z439" s="86"/>
      <c r="AA439" s="86" t="s">
        <v>186</v>
      </c>
      <c r="AB439" s="1"/>
      <c r="AC439" s="123"/>
      <c r="AD439" s="218"/>
      <c r="AE439" s="218"/>
      <c r="AF439" s="219"/>
      <c r="AG439" s="220"/>
      <c r="AH439" s="221"/>
      <c r="AI439" s="221"/>
      <c r="AJ439" s="97" t="s">
        <v>203</v>
      </c>
      <c r="AK439" s="97" t="s">
        <v>190</v>
      </c>
      <c r="AL439" s="97" t="s">
        <v>190</v>
      </c>
      <c r="AM439" s="123" t="s">
        <v>2354</v>
      </c>
      <c r="AN439" s="22">
        <v>182</v>
      </c>
      <c r="AO439" s="22">
        <v>0</v>
      </c>
      <c r="AP439" s="22">
        <v>0</v>
      </c>
      <c r="AQ439" s="22">
        <v>0</v>
      </c>
      <c r="AR439" s="22">
        <v>0</v>
      </c>
      <c r="AS439" s="22">
        <v>7</v>
      </c>
      <c r="AT439" s="22">
        <v>10</v>
      </c>
      <c r="AU439" s="316">
        <f t="shared" si="67"/>
        <v>199</v>
      </c>
      <c r="AV439" s="22">
        <v>190</v>
      </c>
      <c r="AW439" s="22">
        <v>0</v>
      </c>
      <c r="AX439" s="22">
        <v>0</v>
      </c>
      <c r="AY439" s="22">
        <v>0</v>
      </c>
      <c r="AZ439" s="22">
        <v>0</v>
      </c>
      <c r="BA439" s="22">
        <v>7</v>
      </c>
      <c r="BB439" s="22">
        <v>10</v>
      </c>
      <c r="BC439" s="316">
        <f t="shared" si="68"/>
        <v>207</v>
      </c>
      <c r="BD439" s="58">
        <f t="shared" si="69"/>
        <v>8</v>
      </c>
      <c r="BE439" s="58">
        <f t="shared" si="70"/>
        <v>0</v>
      </c>
      <c r="BF439" s="58">
        <f t="shared" si="71"/>
        <v>0</v>
      </c>
      <c r="BG439" s="58">
        <f t="shared" si="72"/>
        <v>0</v>
      </c>
      <c r="BH439" s="58">
        <f t="shared" si="73"/>
        <v>0</v>
      </c>
      <c r="BI439" s="58">
        <f t="shared" si="74"/>
        <v>0</v>
      </c>
      <c r="BJ439" s="58">
        <f t="shared" si="75"/>
        <v>0</v>
      </c>
      <c r="BK439" s="58">
        <f t="shared" si="76"/>
        <v>8</v>
      </c>
    </row>
    <row r="440" spans="1:63" ht="27" customHeight="1">
      <c r="A440" s="13">
        <f t="shared" si="77"/>
        <v>438</v>
      </c>
      <c r="B440" s="14"/>
      <c r="C440" s="10">
        <v>3041</v>
      </c>
      <c r="D440" s="119" t="s">
        <v>2963</v>
      </c>
      <c r="E440" s="217" t="s">
        <v>2964</v>
      </c>
      <c r="F440" s="234" t="s">
        <v>1917</v>
      </c>
      <c r="G440" s="235" t="s">
        <v>444</v>
      </c>
      <c r="H440" s="26" t="s">
        <v>2965</v>
      </c>
      <c r="I440" s="27" t="s">
        <v>2966</v>
      </c>
      <c r="J440" s="98" t="s">
        <v>209</v>
      </c>
      <c r="K440" s="28">
        <v>30722</v>
      </c>
      <c r="L440" s="82" t="s">
        <v>179</v>
      </c>
      <c r="M440" s="25">
        <v>43675</v>
      </c>
      <c r="N440" s="25"/>
      <c r="O440" s="25" t="s">
        <v>34</v>
      </c>
      <c r="P440" s="18" t="s">
        <v>282</v>
      </c>
      <c r="Q440" s="18" t="s">
        <v>249</v>
      </c>
      <c r="R440" s="13" t="s">
        <v>182</v>
      </c>
      <c r="S440" s="13" t="s">
        <v>2430</v>
      </c>
      <c r="T440" s="175"/>
      <c r="U440" s="175"/>
      <c r="V440" s="21" t="s">
        <v>184</v>
      </c>
      <c r="W440" s="21" t="s">
        <v>184</v>
      </c>
      <c r="X440" s="1">
        <v>6</v>
      </c>
      <c r="Y440" s="176" t="s">
        <v>2967</v>
      </c>
      <c r="Z440" s="86"/>
      <c r="AA440" s="86"/>
      <c r="AB440" s="86" t="s">
        <v>186</v>
      </c>
      <c r="AC440" s="123"/>
      <c r="AD440" s="218"/>
      <c r="AE440" s="218"/>
      <c r="AF440" s="219"/>
      <c r="AG440" s="220"/>
      <c r="AH440" s="221"/>
      <c r="AI440" s="221"/>
      <c r="AJ440" s="97" t="s">
        <v>203</v>
      </c>
      <c r="AK440" s="97" t="s">
        <v>190</v>
      </c>
      <c r="AL440" s="97" t="s">
        <v>190</v>
      </c>
      <c r="AM440" s="123" t="s">
        <v>2354</v>
      </c>
      <c r="AN440" s="22">
        <v>182</v>
      </c>
      <c r="AO440" s="22">
        <v>0</v>
      </c>
      <c r="AP440" s="22">
        <v>20</v>
      </c>
      <c r="AQ440" s="22">
        <v>0</v>
      </c>
      <c r="AR440" s="22">
        <v>0</v>
      </c>
      <c r="AS440" s="22">
        <v>7</v>
      </c>
      <c r="AT440" s="22">
        <v>10</v>
      </c>
      <c r="AU440" s="316">
        <f t="shared" si="67"/>
        <v>219</v>
      </c>
      <c r="AV440" s="22">
        <v>190</v>
      </c>
      <c r="AW440" s="22">
        <v>0</v>
      </c>
      <c r="AX440" s="22">
        <v>20</v>
      </c>
      <c r="AY440" s="22">
        <v>0</v>
      </c>
      <c r="AZ440" s="22">
        <v>0</v>
      </c>
      <c r="BA440" s="22">
        <v>7</v>
      </c>
      <c r="BB440" s="22">
        <v>10</v>
      </c>
      <c r="BC440" s="316">
        <f t="shared" si="68"/>
        <v>227</v>
      </c>
      <c r="BD440" s="58">
        <f t="shared" si="69"/>
        <v>8</v>
      </c>
      <c r="BE440" s="58">
        <f t="shared" si="70"/>
        <v>0</v>
      </c>
      <c r="BF440" s="58">
        <f t="shared" si="71"/>
        <v>0</v>
      </c>
      <c r="BG440" s="58">
        <f t="shared" si="72"/>
        <v>0</v>
      </c>
      <c r="BH440" s="58">
        <f t="shared" si="73"/>
        <v>0</v>
      </c>
      <c r="BI440" s="58">
        <f t="shared" si="74"/>
        <v>0</v>
      </c>
      <c r="BJ440" s="58">
        <f t="shared" si="75"/>
        <v>0</v>
      </c>
      <c r="BK440" s="58">
        <f t="shared" si="76"/>
        <v>8</v>
      </c>
    </row>
    <row r="441" spans="1:63" ht="27" customHeight="1">
      <c r="A441" s="13">
        <f t="shared" si="77"/>
        <v>439</v>
      </c>
      <c r="B441" s="14"/>
      <c r="C441" s="10">
        <v>3038</v>
      </c>
      <c r="D441" s="119" t="s">
        <v>2968</v>
      </c>
      <c r="E441" s="217" t="s">
        <v>2969</v>
      </c>
      <c r="F441" s="234" t="s">
        <v>2970</v>
      </c>
      <c r="G441" s="235" t="s">
        <v>2971</v>
      </c>
      <c r="H441" s="26" t="s">
        <v>110</v>
      </c>
      <c r="I441" s="27" t="s">
        <v>111</v>
      </c>
      <c r="J441" s="98" t="s">
        <v>209</v>
      </c>
      <c r="K441" s="28">
        <v>33281</v>
      </c>
      <c r="L441" s="82" t="s">
        <v>179</v>
      </c>
      <c r="M441" s="25">
        <v>43675</v>
      </c>
      <c r="N441" s="25"/>
      <c r="O441" s="25" t="s">
        <v>34</v>
      </c>
      <c r="P441" s="18" t="s">
        <v>81</v>
      </c>
      <c r="Q441" s="18" t="s">
        <v>181</v>
      </c>
      <c r="R441" s="13" t="s">
        <v>182</v>
      </c>
      <c r="S441" s="13" t="s">
        <v>2397</v>
      </c>
      <c r="T441" s="175"/>
      <c r="U441" s="175"/>
      <c r="V441" s="21" t="s">
        <v>184</v>
      </c>
      <c r="W441" s="21" t="s">
        <v>184</v>
      </c>
      <c r="X441" s="1">
        <v>10</v>
      </c>
      <c r="Y441" s="176" t="s">
        <v>2948</v>
      </c>
      <c r="Z441" s="86" t="s">
        <v>186</v>
      </c>
      <c r="AA441" s="86"/>
      <c r="AB441" s="1"/>
      <c r="AC441" s="123"/>
      <c r="AD441" s="218"/>
      <c r="AE441" s="218"/>
      <c r="AF441" s="219"/>
      <c r="AG441" s="220"/>
      <c r="AH441" s="221"/>
      <c r="AI441" s="221"/>
      <c r="AJ441" s="97" t="s">
        <v>203</v>
      </c>
      <c r="AK441" s="97" t="s">
        <v>190</v>
      </c>
      <c r="AL441" s="97" t="s">
        <v>190</v>
      </c>
      <c r="AM441" s="123" t="s">
        <v>2354</v>
      </c>
      <c r="AN441" s="22">
        <v>182</v>
      </c>
      <c r="AO441" s="22">
        <v>0</v>
      </c>
      <c r="AP441" s="22">
        <v>0</v>
      </c>
      <c r="AQ441" s="22">
        <v>0</v>
      </c>
      <c r="AR441" s="22">
        <v>0</v>
      </c>
      <c r="AS441" s="22">
        <v>7</v>
      </c>
      <c r="AT441" s="22">
        <v>10</v>
      </c>
      <c r="AU441" s="316">
        <f t="shared" si="67"/>
        <v>199</v>
      </c>
      <c r="AV441" s="22">
        <v>190</v>
      </c>
      <c r="AW441" s="22">
        <v>0</v>
      </c>
      <c r="AX441" s="22">
        <v>0</v>
      </c>
      <c r="AY441" s="22">
        <v>0</v>
      </c>
      <c r="AZ441" s="22">
        <v>0</v>
      </c>
      <c r="BA441" s="22">
        <v>7</v>
      </c>
      <c r="BB441" s="22">
        <v>10</v>
      </c>
      <c r="BC441" s="316">
        <f t="shared" si="68"/>
        <v>207</v>
      </c>
      <c r="BD441" s="58">
        <f t="shared" si="69"/>
        <v>8</v>
      </c>
      <c r="BE441" s="58">
        <f t="shared" si="70"/>
        <v>0</v>
      </c>
      <c r="BF441" s="58">
        <f t="shared" si="71"/>
        <v>0</v>
      </c>
      <c r="BG441" s="58">
        <f t="shared" si="72"/>
        <v>0</v>
      </c>
      <c r="BH441" s="58">
        <f t="shared" si="73"/>
        <v>0</v>
      </c>
      <c r="BI441" s="58">
        <f t="shared" si="74"/>
        <v>0</v>
      </c>
      <c r="BJ441" s="58">
        <f t="shared" si="75"/>
        <v>0</v>
      </c>
      <c r="BK441" s="58">
        <f t="shared" si="76"/>
        <v>8</v>
      </c>
    </row>
    <row r="442" spans="1:63" ht="27" customHeight="1">
      <c r="A442" s="13">
        <f t="shared" si="77"/>
        <v>440</v>
      </c>
      <c r="B442" s="14"/>
      <c r="C442" s="10">
        <v>3032</v>
      </c>
      <c r="D442" s="119" t="s">
        <v>2972</v>
      </c>
      <c r="E442" s="217" t="s">
        <v>2973</v>
      </c>
      <c r="F442" s="234" t="s">
        <v>407</v>
      </c>
      <c r="G442" s="235" t="s">
        <v>2974</v>
      </c>
      <c r="H442" s="26" t="s">
        <v>2975</v>
      </c>
      <c r="I442" s="27" t="s">
        <v>2976</v>
      </c>
      <c r="J442" s="98" t="s">
        <v>178</v>
      </c>
      <c r="K442" s="28">
        <v>36792</v>
      </c>
      <c r="L442" s="82" t="s">
        <v>179</v>
      </c>
      <c r="M442" s="25">
        <v>43669</v>
      </c>
      <c r="N442" s="25"/>
      <c r="O442" s="25" t="s">
        <v>34</v>
      </c>
      <c r="P442" s="18" t="s">
        <v>1385</v>
      </c>
      <c r="Q442" s="18" t="s">
        <v>249</v>
      </c>
      <c r="R442" s="13" t="s">
        <v>182</v>
      </c>
      <c r="S442" s="13" t="s">
        <v>2465</v>
      </c>
      <c r="T442" s="175"/>
      <c r="U442" s="175"/>
      <c r="V442" s="21" t="s">
        <v>184</v>
      </c>
      <c r="W442" s="21" t="s">
        <v>184</v>
      </c>
      <c r="X442" s="1">
        <v>11</v>
      </c>
      <c r="Y442" s="176" t="s">
        <v>2977</v>
      </c>
      <c r="Z442" s="86" t="s">
        <v>186</v>
      </c>
      <c r="AA442" s="86"/>
      <c r="AB442" s="1"/>
      <c r="AC442" s="123"/>
      <c r="AD442" s="218"/>
      <c r="AE442" s="218"/>
      <c r="AF442" s="219"/>
      <c r="AG442" s="220"/>
      <c r="AH442" s="221"/>
      <c r="AI442" s="221"/>
      <c r="AJ442" s="97" t="s">
        <v>203</v>
      </c>
      <c r="AK442" s="97" t="s">
        <v>190</v>
      </c>
      <c r="AL442" s="97" t="s">
        <v>190</v>
      </c>
      <c r="AM442" s="123" t="s">
        <v>2354</v>
      </c>
      <c r="AN442" s="22">
        <v>182</v>
      </c>
      <c r="AO442" s="22">
        <v>0</v>
      </c>
      <c r="AP442" s="22">
        <v>20</v>
      </c>
      <c r="AQ442" s="22">
        <v>0</v>
      </c>
      <c r="AR442" s="22">
        <v>0</v>
      </c>
      <c r="AS442" s="22">
        <v>7</v>
      </c>
      <c r="AT442" s="22">
        <v>10</v>
      </c>
      <c r="AU442" s="316">
        <f t="shared" si="67"/>
        <v>219</v>
      </c>
      <c r="AV442" s="22">
        <v>190</v>
      </c>
      <c r="AW442" s="22">
        <v>0</v>
      </c>
      <c r="AX442" s="22">
        <v>20</v>
      </c>
      <c r="AY442" s="22">
        <v>0</v>
      </c>
      <c r="AZ442" s="22">
        <v>0</v>
      </c>
      <c r="BA442" s="22">
        <v>7</v>
      </c>
      <c r="BB442" s="22">
        <v>10</v>
      </c>
      <c r="BC442" s="316">
        <f t="shared" si="68"/>
        <v>227</v>
      </c>
      <c r="BD442" s="58">
        <f t="shared" si="69"/>
        <v>8</v>
      </c>
      <c r="BE442" s="58">
        <f t="shared" si="70"/>
        <v>0</v>
      </c>
      <c r="BF442" s="58">
        <f t="shared" si="71"/>
        <v>0</v>
      </c>
      <c r="BG442" s="58">
        <f t="shared" si="72"/>
        <v>0</v>
      </c>
      <c r="BH442" s="58">
        <f t="shared" si="73"/>
        <v>0</v>
      </c>
      <c r="BI442" s="58">
        <f t="shared" si="74"/>
        <v>0</v>
      </c>
      <c r="BJ442" s="58">
        <f t="shared" si="75"/>
        <v>0</v>
      </c>
      <c r="BK442" s="58">
        <f t="shared" si="76"/>
        <v>8</v>
      </c>
    </row>
    <row r="443" spans="1:63" ht="27" customHeight="1">
      <c r="A443" s="13">
        <f t="shared" si="77"/>
        <v>441</v>
      </c>
      <c r="B443" s="14"/>
      <c r="C443" s="10">
        <v>3030</v>
      </c>
      <c r="D443" s="119" t="s">
        <v>2978</v>
      </c>
      <c r="E443" s="217" t="s">
        <v>2979</v>
      </c>
      <c r="F443" s="234" t="s">
        <v>195</v>
      </c>
      <c r="G443" s="235" t="s">
        <v>527</v>
      </c>
      <c r="H443" s="26" t="s">
        <v>96</v>
      </c>
      <c r="I443" s="27" t="s">
        <v>90</v>
      </c>
      <c r="J443" s="98" t="s">
        <v>178</v>
      </c>
      <c r="K443" s="28">
        <v>30753</v>
      </c>
      <c r="L443" s="82" t="s">
        <v>179</v>
      </c>
      <c r="M443" s="25">
        <v>43670</v>
      </c>
      <c r="N443" s="25"/>
      <c r="O443" s="25" t="s">
        <v>34</v>
      </c>
      <c r="P443" s="18" t="s">
        <v>386</v>
      </c>
      <c r="Q443" s="18" t="s">
        <v>181</v>
      </c>
      <c r="R443" s="13" t="s">
        <v>182</v>
      </c>
      <c r="S443" s="13" t="s">
        <v>2484</v>
      </c>
      <c r="T443" s="175"/>
      <c r="U443" s="175"/>
      <c r="V443" s="21" t="s">
        <v>200</v>
      </c>
      <c r="W443" s="21" t="s">
        <v>184</v>
      </c>
      <c r="X443" s="1">
        <v>6</v>
      </c>
      <c r="Y443" s="176" t="s">
        <v>2979</v>
      </c>
      <c r="Z443" s="86"/>
      <c r="AA443" s="86" t="s">
        <v>186</v>
      </c>
      <c r="AB443" s="1"/>
      <c r="AC443" s="123"/>
      <c r="AD443" s="218" t="s">
        <v>189</v>
      </c>
      <c r="AE443" s="218"/>
      <c r="AF443" s="219"/>
      <c r="AG443" s="220"/>
      <c r="AH443" s="221"/>
      <c r="AI443" s="221"/>
      <c r="AJ443" s="97" t="s">
        <v>203</v>
      </c>
      <c r="AK443" s="97" t="s">
        <v>190</v>
      </c>
      <c r="AL443" s="97" t="s">
        <v>190</v>
      </c>
      <c r="AM443" s="123" t="s">
        <v>2354</v>
      </c>
      <c r="AN443" s="22">
        <v>182</v>
      </c>
      <c r="AO443" s="22">
        <v>0</v>
      </c>
      <c r="AP443" s="22">
        <v>0</v>
      </c>
      <c r="AQ443" s="22">
        <v>0</v>
      </c>
      <c r="AR443" s="22">
        <v>0</v>
      </c>
      <c r="AS443" s="22">
        <v>7</v>
      </c>
      <c r="AT443" s="22">
        <v>10</v>
      </c>
      <c r="AU443" s="316">
        <f t="shared" si="67"/>
        <v>199</v>
      </c>
      <c r="AV443" s="22">
        <v>190</v>
      </c>
      <c r="AW443" s="22">
        <v>0</v>
      </c>
      <c r="AX443" s="22">
        <v>0</v>
      </c>
      <c r="AY443" s="22">
        <v>0</v>
      </c>
      <c r="AZ443" s="22">
        <v>0</v>
      </c>
      <c r="BA443" s="22">
        <v>7</v>
      </c>
      <c r="BB443" s="22">
        <v>10</v>
      </c>
      <c r="BC443" s="316">
        <f t="shared" si="68"/>
        <v>207</v>
      </c>
      <c r="BD443" s="58">
        <f t="shared" si="69"/>
        <v>8</v>
      </c>
      <c r="BE443" s="58">
        <f t="shared" si="70"/>
        <v>0</v>
      </c>
      <c r="BF443" s="58">
        <f t="shared" si="71"/>
        <v>0</v>
      </c>
      <c r="BG443" s="58">
        <f t="shared" si="72"/>
        <v>0</v>
      </c>
      <c r="BH443" s="58">
        <f t="shared" si="73"/>
        <v>0</v>
      </c>
      <c r="BI443" s="58">
        <f t="shared" si="74"/>
        <v>0</v>
      </c>
      <c r="BJ443" s="58">
        <f t="shared" si="75"/>
        <v>0</v>
      </c>
      <c r="BK443" s="58">
        <f t="shared" si="76"/>
        <v>8</v>
      </c>
    </row>
    <row r="444" spans="1:63" ht="27" customHeight="1">
      <c r="A444" s="13">
        <f t="shared" si="77"/>
        <v>442</v>
      </c>
      <c r="B444" s="14"/>
      <c r="C444" s="10">
        <v>3029</v>
      </c>
      <c r="D444" s="119" t="s">
        <v>2980</v>
      </c>
      <c r="E444" s="217" t="s">
        <v>2981</v>
      </c>
      <c r="F444" s="234" t="s">
        <v>2982</v>
      </c>
      <c r="G444" s="235" t="s">
        <v>1724</v>
      </c>
      <c r="H444" s="26" t="s">
        <v>2983</v>
      </c>
      <c r="I444" s="27" t="s">
        <v>2984</v>
      </c>
      <c r="J444" s="98" t="s">
        <v>178</v>
      </c>
      <c r="K444" s="28">
        <v>31876</v>
      </c>
      <c r="L444" s="82" t="s">
        <v>179</v>
      </c>
      <c r="M444" s="25">
        <v>43669</v>
      </c>
      <c r="N444" s="25"/>
      <c r="O444" s="25" t="s">
        <v>34</v>
      </c>
      <c r="P444" s="18" t="s">
        <v>309</v>
      </c>
      <c r="Q444" s="18" t="s">
        <v>181</v>
      </c>
      <c r="R444" s="13" t="s">
        <v>182</v>
      </c>
      <c r="S444" s="13" t="s">
        <v>2397</v>
      </c>
      <c r="T444" s="175"/>
      <c r="U444" s="175"/>
      <c r="V444" s="21" t="s">
        <v>184</v>
      </c>
      <c r="W444" s="21" t="s">
        <v>184</v>
      </c>
      <c r="X444" s="1">
        <v>4</v>
      </c>
      <c r="Y444" s="176" t="s">
        <v>184</v>
      </c>
      <c r="Z444" s="86"/>
      <c r="AA444" s="86" t="s">
        <v>186</v>
      </c>
      <c r="AB444" s="1"/>
      <c r="AC444" s="123"/>
      <c r="AD444" s="218"/>
      <c r="AE444" s="218"/>
      <c r="AF444" s="219"/>
      <c r="AG444" s="220"/>
      <c r="AH444" s="221"/>
      <c r="AI444" s="221"/>
      <c r="AJ444" s="97" t="s">
        <v>203</v>
      </c>
      <c r="AK444" s="97" t="s">
        <v>190</v>
      </c>
      <c r="AL444" s="97" t="s">
        <v>190</v>
      </c>
      <c r="AM444" s="123" t="s">
        <v>2354</v>
      </c>
      <c r="AN444" s="22">
        <v>182</v>
      </c>
      <c r="AO444" s="22">
        <v>0</v>
      </c>
      <c r="AP444" s="22">
        <v>0</v>
      </c>
      <c r="AQ444" s="22">
        <v>0</v>
      </c>
      <c r="AR444" s="22">
        <v>0</v>
      </c>
      <c r="AS444" s="22">
        <v>7</v>
      </c>
      <c r="AT444" s="22">
        <v>10</v>
      </c>
      <c r="AU444" s="316">
        <f t="shared" si="67"/>
        <v>199</v>
      </c>
      <c r="AV444" s="22">
        <v>190</v>
      </c>
      <c r="AW444" s="22">
        <v>0</v>
      </c>
      <c r="AX444" s="22">
        <v>0</v>
      </c>
      <c r="AY444" s="22">
        <v>0</v>
      </c>
      <c r="AZ444" s="22">
        <v>0</v>
      </c>
      <c r="BA444" s="22">
        <v>7</v>
      </c>
      <c r="BB444" s="22">
        <v>10</v>
      </c>
      <c r="BC444" s="316">
        <f t="shared" si="68"/>
        <v>207</v>
      </c>
      <c r="BD444" s="58">
        <f t="shared" si="69"/>
        <v>8</v>
      </c>
      <c r="BE444" s="58">
        <f t="shared" si="70"/>
        <v>0</v>
      </c>
      <c r="BF444" s="58">
        <f t="shared" si="71"/>
        <v>0</v>
      </c>
      <c r="BG444" s="58">
        <f t="shared" si="72"/>
        <v>0</v>
      </c>
      <c r="BH444" s="58">
        <f t="shared" si="73"/>
        <v>0</v>
      </c>
      <c r="BI444" s="58">
        <f t="shared" si="74"/>
        <v>0</v>
      </c>
      <c r="BJ444" s="58">
        <f t="shared" si="75"/>
        <v>0</v>
      </c>
      <c r="BK444" s="58">
        <f t="shared" si="76"/>
        <v>8</v>
      </c>
    </row>
    <row r="445" spans="1:63" ht="27" customHeight="1">
      <c r="A445" s="13">
        <f t="shared" si="77"/>
        <v>443</v>
      </c>
      <c r="B445" s="14"/>
      <c r="C445" s="10">
        <v>3039</v>
      </c>
      <c r="D445" s="119" t="s">
        <v>2985</v>
      </c>
      <c r="E445" s="217" t="s">
        <v>2986</v>
      </c>
      <c r="F445" s="234" t="s">
        <v>1657</v>
      </c>
      <c r="G445" s="235" t="s">
        <v>963</v>
      </c>
      <c r="H445" s="26" t="s">
        <v>2987</v>
      </c>
      <c r="I445" s="27" t="s">
        <v>2252</v>
      </c>
      <c r="J445" s="98" t="s">
        <v>209</v>
      </c>
      <c r="K445" s="28">
        <v>26724</v>
      </c>
      <c r="L445" s="82" t="s">
        <v>179</v>
      </c>
      <c r="M445" s="25">
        <v>43671</v>
      </c>
      <c r="N445" s="25"/>
      <c r="O445" s="25" t="s">
        <v>34</v>
      </c>
      <c r="P445" s="18" t="s">
        <v>199</v>
      </c>
      <c r="Q445" s="18" t="s">
        <v>181</v>
      </c>
      <c r="R445" s="13" t="s">
        <v>182</v>
      </c>
      <c r="S445" s="13" t="s">
        <v>2430</v>
      </c>
      <c r="T445" s="175"/>
      <c r="U445" s="175"/>
      <c r="V445" s="21" t="s">
        <v>184</v>
      </c>
      <c r="W445" s="21" t="s">
        <v>184</v>
      </c>
      <c r="X445" s="1">
        <v>3</v>
      </c>
      <c r="Y445" s="176" t="s">
        <v>184</v>
      </c>
      <c r="Z445" s="86"/>
      <c r="AA445" s="86" t="s">
        <v>186</v>
      </c>
      <c r="AB445" s="1"/>
      <c r="AC445" s="123"/>
      <c r="AD445" s="218" t="s">
        <v>188</v>
      </c>
      <c r="AE445" s="218" t="s">
        <v>189</v>
      </c>
      <c r="AF445" s="219"/>
      <c r="AG445" s="220"/>
      <c r="AH445" s="221"/>
      <c r="AI445" s="221"/>
      <c r="AJ445" s="97" t="s">
        <v>203</v>
      </c>
      <c r="AK445" s="97" t="s">
        <v>190</v>
      </c>
      <c r="AL445" s="97" t="s">
        <v>190</v>
      </c>
      <c r="AM445" s="123" t="s">
        <v>2354</v>
      </c>
      <c r="AN445" s="22">
        <v>182</v>
      </c>
      <c r="AO445" s="22">
        <v>0</v>
      </c>
      <c r="AP445" s="22">
        <v>0</v>
      </c>
      <c r="AQ445" s="22">
        <v>0</v>
      </c>
      <c r="AR445" s="22">
        <v>0</v>
      </c>
      <c r="AS445" s="22">
        <v>7</v>
      </c>
      <c r="AT445" s="22">
        <v>10</v>
      </c>
      <c r="AU445" s="316">
        <f t="shared" si="67"/>
        <v>199</v>
      </c>
      <c r="AV445" s="22">
        <v>190</v>
      </c>
      <c r="AW445" s="22">
        <v>0</v>
      </c>
      <c r="AX445" s="22">
        <v>0</v>
      </c>
      <c r="AY445" s="22">
        <v>0</v>
      </c>
      <c r="AZ445" s="22">
        <v>0</v>
      </c>
      <c r="BA445" s="22">
        <v>7</v>
      </c>
      <c r="BB445" s="22">
        <v>10</v>
      </c>
      <c r="BC445" s="316">
        <f t="shared" si="68"/>
        <v>207</v>
      </c>
      <c r="BD445" s="58">
        <f t="shared" si="69"/>
        <v>8</v>
      </c>
      <c r="BE445" s="58">
        <f t="shared" si="70"/>
        <v>0</v>
      </c>
      <c r="BF445" s="58">
        <f t="shared" si="71"/>
        <v>0</v>
      </c>
      <c r="BG445" s="58">
        <f t="shared" si="72"/>
        <v>0</v>
      </c>
      <c r="BH445" s="58">
        <f t="shared" si="73"/>
        <v>0</v>
      </c>
      <c r="BI445" s="58">
        <f t="shared" si="74"/>
        <v>0</v>
      </c>
      <c r="BJ445" s="58">
        <f t="shared" si="75"/>
        <v>0</v>
      </c>
      <c r="BK445" s="58">
        <f t="shared" si="76"/>
        <v>8</v>
      </c>
    </row>
    <row r="446" spans="1:63" ht="27" customHeight="1">
      <c r="A446" s="13">
        <f t="shared" si="77"/>
        <v>444</v>
      </c>
      <c r="B446" s="14"/>
      <c r="C446" s="10">
        <v>3035</v>
      </c>
      <c r="D446" s="119" t="s">
        <v>2988</v>
      </c>
      <c r="E446" s="217" t="s">
        <v>2989</v>
      </c>
      <c r="F446" s="234" t="s">
        <v>2990</v>
      </c>
      <c r="G446" s="235" t="s">
        <v>2991</v>
      </c>
      <c r="H446" s="26" t="s">
        <v>2718</v>
      </c>
      <c r="I446" s="27" t="s">
        <v>2992</v>
      </c>
      <c r="J446" s="98" t="s">
        <v>209</v>
      </c>
      <c r="K446" s="28">
        <v>35952</v>
      </c>
      <c r="L446" s="82" t="s">
        <v>179</v>
      </c>
      <c r="M446" s="25">
        <v>43672</v>
      </c>
      <c r="N446" s="25"/>
      <c r="O446" s="25" t="s">
        <v>34</v>
      </c>
      <c r="P446" s="18" t="s">
        <v>1085</v>
      </c>
      <c r="Q446" s="18" t="s">
        <v>181</v>
      </c>
      <c r="R446" s="13" t="s">
        <v>182</v>
      </c>
      <c r="S446" s="13" t="s">
        <v>2430</v>
      </c>
      <c r="T446" s="175"/>
      <c r="U446" s="175"/>
      <c r="V446" s="21" t="s">
        <v>184</v>
      </c>
      <c r="W446" s="21" t="s">
        <v>184</v>
      </c>
      <c r="X446" s="1">
        <v>8</v>
      </c>
      <c r="Y446" s="176" t="s">
        <v>184</v>
      </c>
      <c r="Z446" s="86" t="s">
        <v>186</v>
      </c>
      <c r="AA446" s="86"/>
      <c r="AB446" s="1"/>
      <c r="AC446" s="123"/>
      <c r="AD446" s="218"/>
      <c r="AE446" s="218"/>
      <c r="AF446" s="219"/>
      <c r="AG446" s="220"/>
      <c r="AH446" s="221"/>
      <c r="AI446" s="221"/>
      <c r="AJ446" s="97" t="s">
        <v>203</v>
      </c>
      <c r="AK446" s="97" t="s">
        <v>190</v>
      </c>
      <c r="AL446" s="97" t="s">
        <v>190</v>
      </c>
      <c r="AM446" s="123" t="s">
        <v>2354</v>
      </c>
      <c r="AN446" s="22">
        <v>182</v>
      </c>
      <c r="AO446" s="22">
        <v>0</v>
      </c>
      <c r="AP446" s="22">
        <v>0</v>
      </c>
      <c r="AQ446" s="22">
        <v>0</v>
      </c>
      <c r="AR446" s="22">
        <v>0</v>
      </c>
      <c r="AS446" s="22">
        <v>7</v>
      </c>
      <c r="AT446" s="22">
        <v>10</v>
      </c>
      <c r="AU446" s="316">
        <f t="shared" si="67"/>
        <v>199</v>
      </c>
      <c r="AV446" s="22">
        <v>190</v>
      </c>
      <c r="AW446" s="22">
        <v>0</v>
      </c>
      <c r="AX446" s="22">
        <v>0</v>
      </c>
      <c r="AY446" s="22">
        <v>0</v>
      </c>
      <c r="AZ446" s="22">
        <v>0</v>
      </c>
      <c r="BA446" s="22">
        <v>7</v>
      </c>
      <c r="BB446" s="22">
        <v>10</v>
      </c>
      <c r="BC446" s="316">
        <f t="shared" si="68"/>
        <v>207</v>
      </c>
      <c r="BD446" s="58">
        <f t="shared" si="69"/>
        <v>8</v>
      </c>
      <c r="BE446" s="58">
        <f t="shared" si="70"/>
        <v>0</v>
      </c>
      <c r="BF446" s="58">
        <f t="shared" si="71"/>
        <v>0</v>
      </c>
      <c r="BG446" s="58">
        <f t="shared" si="72"/>
        <v>0</v>
      </c>
      <c r="BH446" s="58">
        <f t="shared" si="73"/>
        <v>0</v>
      </c>
      <c r="BI446" s="58">
        <f t="shared" si="74"/>
        <v>0</v>
      </c>
      <c r="BJ446" s="58">
        <f t="shared" si="75"/>
        <v>0</v>
      </c>
      <c r="BK446" s="58">
        <f t="shared" si="76"/>
        <v>8</v>
      </c>
    </row>
    <row r="447" spans="1:63" ht="27" customHeight="1">
      <c r="A447" s="13">
        <f t="shared" si="77"/>
        <v>445</v>
      </c>
      <c r="B447" s="14"/>
      <c r="C447" s="10">
        <v>3036</v>
      </c>
      <c r="D447" s="119" t="s">
        <v>2993</v>
      </c>
      <c r="E447" s="217" t="s">
        <v>2994</v>
      </c>
      <c r="F447" s="234" t="s">
        <v>1154</v>
      </c>
      <c r="G447" s="235" t="s">
        <v>421</v>
      </c>
      <c r="H447" s="26" t="s">
        <v>2995</v>
      </c>
      <c r="I447" s="27" t="s">
        <v>2996</v>
      </c>
      <c r="J447" s="98" t="s">
        <v>209</v>
      </c>
      <c r="K447" s="28">
        <v>32145</v>
      </c>
      <c r="L447" s="82" t="s">
        <v>179</v>
      </c>
      <c r="M447" s="25">
        <v>43670</v>
      </c>
      <c r="N447" s="25"/>
      <c r="O447" s="25" t="s">
        <v>34</v>
      </c>
      <c r="P447" s="18" t="s">
        <v>309</v>
      </c>
      <c r="Q447" s="18" t="s">
        <v>181</v>
      </c>
      <c r="R447" s="13" t="s">
        <v>182</v>
      </c>
      <c r="S447" s="13" t="s">
        <v>2430</v>
      </c>
      <c r="T447" s="175"/>
      <c r="U447" s="175"/>
      <c r="V447" s="21" t="s">
        <v>184</v>
      </c>
      <c r="W447" s="21" t="s">
        <v>184</v>
      </c>
      <c r="X447" s="1">
        <v>5</v>
      </c>
      <c r="Y447" s="176" t="s">
        <v>2997</v>
      </c>
      <c r="Z447" s="86"/>
      <c r="AA447" s="86" t="s">
        <v>186</v>
      </c>
      <c r="AB447" s="1"/>
      <c r="AC447" s="123"/>
      <c r="AD447" s="218"/>
      <c r="AE447" s="218"/>
      <c r="AF447" s="219"/>
      <c r="AG447" s="220"/>
      <c r="AH447" s="221"/>
      <c r="AI447" s="221"/>
      <c r="AJ447" s="97" t="s">
        <v>203</v>
      </c>
      <c r="AK447" s="97" t="s">
        <v>190</v>
      </c>
      <c r="AL447" s="97" t="s">
        <v>190</v>
      </c>
      <c r="AM447" s="123" t="s">
        <v>2354</v>
      </c>
      <c r="AN447" s="22">
        <v>182</v>
      </c>
      <c r="AO447" s="22">
        <v>0</v>
      </c>
      <c r="AP447" s="22">
        <v>0</v>
      </c>
      <c r="AQ447" s="22">
        <v>0</v>
      </c>
      <c r="AR447" s="22">
        <v>0</v>
      </c>
      <c r="AS447" s="22">
        <v>7</v>
      </c>
      <c r="AT447" s="22">
        <v>10</v>
      </c>
      <c r="AU447" s="316">
        <f t="shared" si="67"/>
        <v>199</v>
      </c>
      <c r="AV447" s="22">
        <v>190</v>
      </c>
      <c r="AW447" s="22">
        <v>0</v>
      </c>
      <c r="AX447" s="22">
        <v>0</v>
      </c>
      <c r="AY447" s="22">
        <v>0</v>
      </c>
      <c r="AZ447" s="22">
        <v>0</v>
      </c>
      <c r="BA447" s="22">
        <v>7</v>
      </c>
      <c r="BB447" s="22">
        <v>10</v>
      </c>
      <c r="BC447" s="316">
        <f t="shared" si="68"/>
        <v>207</v>
      </c>
      <c r="BD447" s="58">
        <f t="shared" si="69"/>
        <v>8</v>
      </c>
      <c r="BE447" s="58">
        <f t="shared" si="70"/>
        <v>0</v>
      </c>
      <c r="BF447" s="58">
        <f t="shared" si="71"/>
        <v>0</v>
      </c>
      <c r="BG447" s="58">
        <f t="shared" si="72"/>
        <v>0</v>
      </c>
      <c r="BH447" s="58">
        <f t="shared" si="73"/>
        <v>0</v>
      </c>
      <c r="BI447" s="58">
        <f t="shared" si="74"/>
        <v>0</v>
      </c>
      <c r="BJ447" s="58">
        <f t="shared" si="75"/>
        <v>0</v>
      </c>
      <c r="BK447" s="58">
        <f t="shared" si="76"/>
        <v>8</v>
      </c>
    </row>
    <row r="448" spans="1:63" ht="27" customHeight="1">
      <c r="A448" s="13">
        <f t="shared" si="77"/>
        <v>446</v>
      </c>
      <c r="B448" s="14"/>
      <c r="C448" s="10">
        <v>3042</v>
      </c>
      <c r="D448" s="119" t="s">
        <v>2998</v>
      </c>
      <c r="E448" s="217" t="s">
        <v>2999</v>
      </c>
      <c r="F448" s="234" t="s">
        <v>3000</v>
      </c>
      <c r="G448" s="235" t="s">
        <v>3001</v>
      </c>
      <c r="H448" s="26" t="s">
        <v>3002</v>
      </c>
      <c r="I448" s="27" t="s">
        <v>3003</v>
      </c>
      <c r="J448" s="98" t="s">
        <v>209</v>
      </c>
      <c r="K448" s="28">
        <v>37033</v>
      </c>
      <c r="L448" s="82" t="s">
        <v>179</v>
      </c>
      <c r="M448" s="25">
        <v>43675</v>
      </c>
      <c r="N448" s="25"/>
      <c r="O448" s="25" t="s">
        <v>34</v>
      </c>
      <c r="P448" s="18" t="s">
        <v>227</v>
      </c>
      <c r="Q448" s="18" t="s">
        <v>181</v>
      </c>
      <c r="R448" s="13" t="s">
        <v>182</v>
      </c>
      <c r="S448" s="13" t="s">
        <v>2430</v>
      </c>
      <c r="T448" s="175"/>
      <c r="U448" s="175"/>
      <c r="V448" s="21" t="s">
        <v>184</v>
      </c>
      <c r="W448" s="21" t="s">
        <v>184</v>
      </c>
      <c r="X448" s="1"/>
      <c r="Y448" s="176" t="s">
        <v>3004</v>
      </c>
      <c r="Z448" s="86" t="s">
        <v>186</v>
      </c>
      <c r="AA448" s="86"/>
      <c r="AB448" s="1"/>
      <c r="AC448" s="123"/>
      <c r="AD448" s="218"/>
      <c r="AE448" s="218"/>
      <c r="AF448" s="219"/>
      <c r="AG448" s="220"/>
      <c r="AH448" s="221"/>
      <c r="AI448" s="221"/>
      <c r="AJ448" s="97" t="s">
        <v>203</v>
      </c>
      <c r="AK448" s="97" t="s">
        <v>190</v>
      </c>
      <c r="AL448" s="97" t="s">
        <v>190</v>
      </c>
      <c r="AM448" s="123" t="s">
        <v>2354</v>
      </c>
      <c r="AN448" s="22">
        <v>182</v>
      </c>
      <c r="AO448" s="22">
        <v>0</v>
      </c>
      <c r="AP448" s="22">
        <v>0</v>
      </c>
      <c r="AQ448" s="22">
        <v>0</v>
      </c>
      <c r="AR448" s="22">
        <v>0</v>
      </c>
      <c r="AS448" s="22">
        <v>7</v>
      </c>
      <c r="AT448" s="22">
        <v>10</v>
      </c>
      <c r="AU448" s="316">
        <f t="shared" si="67"/>
        <v>199</v>
      </c>
      <c r="AV448" s="22">
        <v>190</v>
      </c>
      <c r="AW448" s="22">
        <v>0</v>
      </c>
      <c r="AX448" s="22">
        <v>0</v>
      </c>
      <c r="AY448" s="22">
        <v>0</v>
      </c>
      <c r="AZ448" s="22">
        <v>0</v>
      </c>
      <c r="BA448" s="22">
        <v>7</v>
      </c>
      <c r="BB448" s="22">
        <v>10</v>
      </c>
      <c r="BC448" s="316">
        <f t="shared" si="68"/>
        <v>207</v>
      </c>
      <c r="BD448" s="58">
        <f t="shared" si="69"/>
        <v>8</v>
      </c>
      <c r="BE448" s="58">
        <f t="shared" si="70"/>
        <v>0</v>
      </c>
      <c r="BF448" s="58">
        <f t="shared" si="71"/>
        <v>0</v>
      </c>
      <c r="BG448" s="58">
        <f t="shared" si="72"/>
        <v>0</v>
      </c>
      <c r="BH448" s="58">
        <f t="shared" si="73"/>
        <v>0</v>
      </c>
      <c r="BI448" s="58">
        <f t="shared" si="74"/>
        <v>0</v>
      </c>
      <c r="BJ448" s="58">
        <f t="shared" si="75"/>
        <v>0</v>
      </c>
      <c r="BK448" s="58">
        <f t="shared" si="76"/>
        <v>8</v>
      </c>
    </row>
    <row r="449" spans="1:63" ht="27" customHeight="1">
      <c r="A449" s="13">
        <f t="shared" si="77"/>
        <v>447</v>
      </c>
      <c r="B449" s="14"/>
      <c r="C449" s="10">
        <v>2989</v>
      </c>
      <c r="D449" s="119" t="s">
        <v>3005</v>
      </c>
      <c r="E449" s="217" t="s">
        <v>3006</v>
      </c>
      <c r="F449" s="234" t="s">
        <v>3007</v>
      </c>
      <c r="G449" s="235" t="s">
        <v>831</v>
      </c>
      <c r="H449" s="26" t="s">
        <v>3008</v>
      </c>
      <c r="I449" s="27" t="s">
        <v>3009</v>
      </c>
      <c r="J449" s="98" t="s">
        <v>178</v>
      </c>
      <c r="K449" s="28">
        <v>31260</v>
      </c>
      <c r="L449" s="82" t="s">
        <v>179</v>
      </c>
      <c r="M449" s="25">
        <v>43648</v>
      </c>
      <c r="N449" s="25"/>
      <c r="O449" s="25" t="s">
        <v>34</v>
      </c>
      <c r="P449" s="18" t="s">
        <v>386</v>
      </c>
      <c r="Q449" s="18" t="s">
        <v>181</v>
      </c>
      <c r="R449" s="13" t="s">
        <v>182</v>
      </c>
      <c r="S449" s="13" t="s">
        <v>2430</v>
      </c>
      <c r="T449" s="175"/>
      <c r="U449" s="175"/>
      <c r="V449" s="21" t="s">
        <v>200</v>
      </c>
      <c r="W449" s="21" t="s">
        <v>200</v>
      </c>
      <c r="X449" s="1">
        <v>6</v>
      </c>
      <c r="Y449" s="176" t="s">
        <v>3010</v>
      </c>
      <c r="Z449" s="86"/>
      <c r="AA449" s="86" t="s">
        <v>186</v>
      </c>
      <c r="AB449" s="1"/>
      <c r="AC449" s="123"/>
      <c r="AD449" s="218" t="s">
        <v>188</v>
      </c>
      <c r="AE449" s="218" t="s">
        <v>188</v>
      </c>
      <c r="AF449" s="218" t="s">
        <v>188</v>
      </c>
      <c r="AG449" s="220"/>
      <c r="AH449" s="221"/>
      <c r="AI449" s="221"/>
      <c r="AJ449" s="97" t="s">
        <v>203</v>
      </c>
      <c r="AK449" s="97" t="s">
        <v>190</v>
      </c>
      <c r="AL449" s="97" t="s">
        <v>190</v>
      </c>
      <c r="AM449" s="123" t="s">
        <v>2354</v>
      </c>
      <c r="AN449" s="22">
        <v>182</v>
      </c>
      <c r="AO449" s="22">
        <v>0</v>
      </c>
      <c r="AP449" s="22">
        <v>0</v>
      </c>
      <c r="AQ449" s="22">
        <v>0</v>
      </c>
      <c r="AR449" s="22">
        <v>0</v>
      </c>
      <c r="AS449" s="22">
        <v>7</v>
      </c>
      <c r="AT449" s="22">
        <v>10</v>
      </c>
      <c r="AU449" s="316">
        <f t="shared" si="67"/>
        <v>199</v>
      </c>
      <c r="AV449" s="22">
        <v>190</v>
      </c>
      <c r="AW449" s="22">
        <v>0</v>
      </c>
      <c r="AX449" s="22">
        <v>0</v>
      </c>
      <c r="AY449" s="22">
        <v>0</v>
      </c>
      <c r="AZ449" s="22">
        <v>0</v>
      </c>
      <c r="BA449" s="22">
        <v>7</v>
      </c>
      <c r="BB449" s="22">
        <v>10</v>
      </c>
      <c r="BC449" s="316">
        <f t="shared" si="68"/>
        <v>207</v>
      </c>
      <c r="BD449" s="58">
        <f t="shared" si="69"/>
        <v>8</v>
      </c>
      <c r="BE449" s="58">
        <f t="shared" si="70"/>
        <v>0</v>
      </c>
      <c r="BF449" s="58">
        <f t="shared" si="71"/>
        <v>0</v>
      </c>
      <c r="BG449" s="58">
        <f t="shared" si="72"/>
        <v>0</v>
      </c>
      <c r="BH449" s="58">
        <f t="shared" si="73"/>
        <v>0</v>
      </c>
      <c r="BI449" s="58">
        <f t="shared" si="74"/>
        <v>0</v>
      </c>
      <c r="BJ449" s="58">
        <f t="shared" si="75"/>
        <v>0</v>
      </c>
      <c r="BK449" s="58">
        <f t="shared" si="76"/>
        <v>8</v>
      </c>
    </row>
    <row r="450" spans="1:63" ht="27" customHeight="1">
      <c r="A450" s="13">
        <f t="shared" si="77"/>
        <v>448</v>
      </c>
      <c r="B450" s="14"/>
      <c r="C450" s="10">
        <v>2990</v>
      </c>
      <c r="D450" s="119" t="s">
        <v>3011</v>
      </c>
      <c r="E450" s="217" t="s">
        <v>3012</v>
      </c>
      <c r="F450" s="234" t="s">
        <v>1657</v>
      </c>
      <c r="G450" s="235" t="s">
        <v>3013</v>
      </c>
      <c r="H450" s="26" t="s">
        <v>2987</v>
      </c>
      <c r="I450" s="27" t="s">
        <v>3014</v>
      </c>
      <c r="J450" s="98" t="s">
        <v>178</v>
      </c>
      <c r="K450" s="28">
        <v>37024</v>
      </c>
      <c r="L450" s="82" t="s">
        <v>179</v>
      </c>
      <c r="M450" s="25">
        <v>43648</v>
      </c>
      <c r="N450" s="25"/>
      <c r="O450" s="25" t="s">
        <v>34</v>
      </c>
      <c r="P450" s="18" t="s">
        <v>636</v>
      </c>
      <c r="Q450" s="18" t="s">
        <v>181</v>
      </c>
      <c r="R450" s="13" t="s">
        <v>182</v>
      </c>
      <c r="S450" s="13" t="s">
        <v>2359</v>
      </c>
      <c r="T450" s="175"/>
      <c r="U450" s="175"/>
      <c r="V450" s="21" t="s">
        <v>184</v>
      </c>
      <c r="W450" s="21" t="s">
        <v>184</v>
      </c>
      <c r="X450" s="1">
        <v>7</v>
      </c>
      <c r="Y450" s="176" t="s">
        <v>3015</v>
      </c>
      <c r="Z450" s="86" t="s">
        <v>186</v>
      </c>
      <c r="AA450" s="86"/>
      <c r="AB450" s="1"/>
      <c r="AC450" s="123"/>
      <c r="AD450" s="218"/>
      <c r="AE450" s="218"/>
      <c r="AF450" s="219"/>
      <c r="AG450" s="220"/>
      <c r="AH450" s="221"/>
      <c r="AI450" s="221"/>
      <c r="AJ450" s="97" t="s">
        <v>203</v>
      </c>
      <c r="AK450" s="97" t="s">
        <v>190</v>
      </c>
      <c r="AL450" s="97" t="s">
        <v>190</v>
      </c>
      <c r="AM450" s="123" t="s">
        <v>2354</v>
      </c>
      <c r="AN450" s="22">
        <v>182</v>
      </c>
      <c r="AO450" s="22">
        <v>0</v>
      </c>
      <c r="AP450" s="22">
        <v>20</v>
      </c>
      <c r="AQ450" s="22">
        <v>0</v>
      </c>
      <c r="AR450" s="22">
        <v>0</v>
      </c>
      <c r="AS450" s="22">
        <v>7</v>
      </c>
      <c r="AT450" s="22">
        <v>10</v>
      </c>
      <c r="AU450" s="316">
        <f t="shared" si="67"/>
        <v>219</v>
      </c>
      <c r="AV450" s="22">
        <v>190</v>
      </c>
      <c r="AW450" s="22">
        <v>0</v>
      </c>
      <c r="AX450" s="22">
        <v>20</v>
      </c>
      <c r="AY450" s="22">
        <v>0</v>
      </c>
      <c r="AZ450" s="22">
        <v>0</v>
      </c>
      <c r="BA450" s="22">
        <v>7</v>
      </c>
      <c r="BB450" s="22">
        <v>10</v>
      </c>
      <c r="BC450" s="316">
        <f t="shared" si="68"/>
        <v>227</v>
      </c>
      <c r="BD450" s="58">
        <f t="shared" si="69"/>
        <v>8</v>
      </c>
      <c r="BE450" s="58">
        <f t="shared" si="70"/>
        <v>0</v>
      </c>
      <c r="BF450" s="58">
        <f t="shared" si="71"/>
        <v>0</v>
      </c>
      <c r="BG450" s="58">
        <f t="shared" si="72"/>
        <v>0</v>
      </c>
      <c r="BH450" s="58">
        <f t="shared" si="73"/>
        <v>0</v>
      </c>
      <c r="BI450" s="58">
        <f t="shared" si="74"/>
        <v>0</v>
      </c>
      <c r="BJ450" s="58">
        <f t="shared" si="75"/>
        <v>0</v>
      </c>
      <c r="BK450" s="58">
        <f t="shared" si="76"/>
        <v>8</v>
      </c>
    </row>
    <row r="451" spans="1:63" ht="27" customHeight="1">
      <c r="A451" s="13">
        <f t="shared" si="77"/>
        <v>449</v>
      </c>
      <c r="B451" s="14"/>
      <c r="C451" s="10">
        <v>2983</v>
      </c>
      <c r="D451" s="119" t="s">
        <v>3016</v>
      </c>
      <c r="E451" s="217" t="s">
        <v>3017</v>
      </c>
      <c r="F451" s="234" t="s">
        <v>557</v>
      </c>
      <c r="G451" s="235" t="s">
        <v>1736</v>
      </c>
      <c r="H451" s="26" t="s">
        <v>2332</v>
      </c>
      <c r="I451" s="27" t="s">
        <v>3018</v>
      </c>
      <c r="J451" s="98" t="s">
        <v>178</v>
      </c>
      <c r="K451" s="28">
        <v>34710</v>
      </c>
      <c r="L451" s="82" t="s">
        <v>179</v>
      </c>
      <c r="M451" s="25">
        <v>43647</v>
      </c>
      <c r="N451" s="25"/>
      <c r="O451" s="25" t="s">
        <v>34</v>
      </c>
      <c r="P451" s="18" t="s">
        <v>402</v>
      </c>
      <c r="Q451" s="18" t="s">
        <v>181</v>
      </c>
      <c r="R451" s="13" t="s">
        <v>182</v>
      </c>
      <c r="S451" s="13" t="s">
        <v>2505</v>
      </c>
      <c r="T451" s="175"/>
      <c r="U451" s="175"/>
      <c r="V451" s="21" t="s">
        <v>184</v>
      </c>
      <c r="W451" s="21" t="s">
        <v>184</v>
      </c>
      <c r="X451" s="1">
        <v>7</v>
      </c>
      <c r="Y451" s="176"/>
      <c r="Z451" s="86" t="s">
        <v>186</v>
      </c>
      <c r="AA451" s="86"/>
      <c r="AB451" s="1"/>
      <c r="AC451" s="123"/>
      <c r="AD451" s="218"/>
      <c r="AE451" s="218"/>
      <c r="AF451" s="219"/>
      <c r="AG451" s="220"/>
      <c r="AH451" s="221"/>
      <c r="AI451" s="221"/>
      <c r="AJ451" s="97" t="s">
        <v>203</v>
      </c>
      <c r="AK451" s="97" t="s">
        <v>190</v>
      </c>
      <c r="AL451" s="97" t="s">
        <v>190</v>
      </c>
      <c r="AM451" s="123" t="s">
        <v>2354</v>
      </c>
      <c r="AN451" s="22">
        <v>182</v>
      </c>
      <c r="AO451" s="22">
        <v>0</v>
      </c>
      <c r="AP451" s="22">
        <v>0</v>
      </c>
      <c r="AQ451" s="22">
        <v>0</v>
      </c>
      <c r="AR451" s="22">
        <v>0</v>
      </c>
      <c r="AS451" s="22">
        <v>7</v>
      </c>
      <c r="AT451" s="22">
        <v>10</v>
      </c>
      <c r="AU451" s="316">
        <f t="shared" si="67"/>
        <v>199</v>
      </c>
      <c r="AV451" s="22">
        <v>190</v>
      </c>
      <c r="AW451" s="22">
        <v>0</v>
      </c>
      <c r="AX451" s="22">
        <v>0</v>
      </c>
      <c r="AY451" s="22">
        <v>0</v>
      </c>
      <c r="AZ451" s="22">
        <v>0</v>
      </c>
      <c r="BA451" s="22">
        <v>7</v>
      </c>
      <c r="BB451" s="22">
        <v>10</v>
      </c>
      <c r="BC451" s="316">
        <f t="shared" si="68"/>
        <v>207</v>
      </c>
      <c r="BD451" s="58">
        <f t="shared" si="69"/>
        <v>8</v>
      </c>
      <c r="BE451" s="58">
        <f t="shared" si="70"/>
        <v>0</v>
      </c>
      <c r="BF451" s="58">
        <f t="shared" si="71"/>
        <v>0</v>
      </c>
      <c r="BG451" s="58">
        <f t="shared" si="72"/>
        <v>0</v>
      </c>
      <c r="BH451" s="58">
        <f t="shared" si="73"/>
        <v>0</v>
      </c>
      <c r="BI451" s="58">
        <f t="shared" si="74"/>
        <v>0</v>
      </c>
      <c r="BJ451" s="58">
        <f t="shared" si="75"/>
        <v>0</v>
      </c>
      <c r="BK451" s="58">
        <f t="shared" si="76"/>
        <v>8</v>
      </c>
    </row>
    <row r="452" spans="1:63" ht="27" customHeight="1">
      <c r="A452" s="13">
        <f t="shared" si="77"/>
        <v>450</v>
      </c>
      <c r="B452" s="14"/>
      <c r="C452" s="10">
        <v>2997</v>
      </c>
      <c r="D452" s="119" t="s">
        <v>3019</v>
      </c>
      <c r="E452" s="217" t="s">
        <v>3020</v>
      </c>
      <c r="F452" s="234" t="s">
        <v>3021</v>
      </c>
      <c r="G452" s="235" t="s">
        <v>1849</v>
      </c>
      <c r="H452" s="26" t="s">
        <v>3022</v>
      </c>
      <c r="I452" s="27" t="s">
        <v>2785</v>
      </c>
      <c r="J452" s="98" t="s">
        <v>178</v>
      </c>
      <c r="K452" s="28">
        <v>35328</v>
      </c>
      <c r="L452" s="82" t="s">
        <v>179</v>
      </c>
      <c r="M452" s="25">
        <v>43649</v>
      </c>
      <c r="N452" s="25"/>
      <c r="O452" s="25" t="s">
        <v>34</v>
      </c>
      <c r="P452" s="18" t="s">
        <v>2498</v>
      </c>
      <c r="Q452" s="18" t="s">
        <v>249</v>
      </c>
      <c r="R452" s="13" t="s">
        <v>182</v>
      </c>
      <c r="S452" s="13" t="s">
        <v>2430</v>
      </c>
      <c r="T452" s="175"/>
      <c r="U452" s="175"/>
      <c r="V452" s="21" t="s">
        <v>184</v>
      </c>
      <c r="W452" s="21" t="s">
        <v>184</v>
      </c>
      <c r="X452" s="1">
        <v>6</v>
      </c>
      <c r="Y452" s="176" t="s">
        <v>3023</v>
      </c>
      <c r="Z452" s="86"/>
      <c r="AA452" s="86" t="s">
        <v>186</v>
      </c>
      <c r="AB452" s="1"/>
      <c r="AC452" s="123"/>
      <c r="AD452" s="218" t="s">
        <v>188</v>
      </c>
      <c r="AE452" s="218" t="s">
        <v>188</v>
      </c>
      <c r="AF452" s="219"/>
      <c r="AG452" s="220"/>
      <c r="AH452" s="221"/>
      <c r="AI452" s="221"/>
      <c r="AJ452" s="97" t="s">
        <v>203</v>
      </c>
      <c r="AK452" s="97" t="s">
        <v>190</v>
      </c>
      <c r="AL452" s="97" t="s">
        <v>190</v>
      </c>
      <c r="AM452" s="123" t="s">
        <v>2354</v>
      </c>
      <c r="AN452" s="22">
        <v>182</v>
      </c>
      <c r="AO452" s="22">
        <v>0</v>
      </c>
      <c r="AP452" s="22">
        <v>20</v>
      </c>
      <c r="AQ452" s="22">
        <v>0</v>
      </c>
      <c r="AR452" s="22">
        <v>0</v>
      </c>
      <c r="AS452" s="22">
        <v>7</v>
      </c>
      <c r="AT452" s="22">
        <v>10</v>
      </c>
      <c r="AU452" s="316">
        <f t="shared" ref="AU452:AU515" si="78">SUM(AN452:AT452)</f>
        <v>219</v>
      </c>
      <c r="AV452" s="22">
        <v>190</v>
      </c>
      <c r="AW452" s="22">
        <v>0</v>
      </c>
      <c r="AX452" s="22">
        <v>20</v>
      </c>
      <c r="AY452" s="22">
        <v>0</v>
      </c>
      <c r="AZ452" s="22">
        <v>0</v>
      </c>
      <c r="BA452" s="22">
        <v>7</v>
      </c>
      <c r="BB452" s="22">
        <v>10</v>
      </c>
      <c r="BC452" s="316">
        <f t="shared" ref="BC452:BC515" si="79">SUM(AV452:BB452)</f>
        <v>227</v>
      </c>
      <c r="BD452" s="58">
        <f t="shared" ref="BD452:BD515" si="80">AV452-AN452</f>
        <v>8</v>
      </c>
      <c r="BE452" s="58">
        <f t="shared" ref="BE452:BE515" si="81">AW452-AO452</f>
        <v>0</v>
      </c>
      <c r="BF452" s="58">
        <f t="shared" ref="BF452:BF515" si="82">AX452-AP452</f>
        <v>0</v>
      </c>
      <c r="BG452" s="58">
        <f t="shared" ref="BG452:BG515" si="83">AY452-AQ452</f>
        <v>0</v>
      </c>
      <c r="BH452" s="58">
        <f t="shared" ref="BH452:BH515" si="84">AZ452-AR452</f>
        <v>0</v>
      </c>
      <c r="BI452" s="58">
        <f t="shared" ref="BI452:BI515" si="85">BA452-AS452</f>
        <v>0</v>
      </c>
      <c r="BJ452" s="58">
        <f t="shared" ref="BJ452:BJ515" si="86">BB452-AT452</f>
        <v>0</v>
      </c>
      <c r="BK452" s="58">
        <f t="shared" ref="BK452:BK515" si="87">BC452-AU452</f>
        <v>8</v>
      </c>
    </row>
    <row r="453" spans="1:63" ht="27" customHeight="1">
      <c r="A453" s="13">
        <f t="shared" ref="A453:A516" si="88">1+A452</f>
        <v>451</v>
      </c>
      <c r="B453" s="14"/>
      <c r="C453" s="10">
        <v>3055</v>
      </c>
      <c r="D453" s="119" t="s">
        <v>3024</v>
      </c>
      <c r="E453" s="217" t="s">
        <v>3025</v>
      </c>
      <c r="F453" s="234" t="s">
        <v>3026</v>
      </c>
      <c r="G453" s="235" t="s">
        <v>3027</v>
      </c>
      <c r="H453" s="26" t="s">
        <v>3028</v>
      </c>
      <c r="I453" s="27" t="s">
        <v>115</v>
      </c>
      <c r="J453" s="98" t="s">
        <v>209</v>
      </c>
      <c r="K453" s="28">
        <v>37043</v>
      </c>
      <c r="L453" s="82" t="s">
        <v>179</v>
      </c>
      <c r="M453" s="25">
        <v>43685</v>
      </c>
      <c r="N453" s="25"/>
      <c r="O453" s="25" t="s">
        <v>34</v>
      </c>
      <c r="P453" s="18" t="s">
        <v>512</v>
      </c>
      <c r="Q453" s="18" t="s">
        <v>181</v>
      </c>
      <c r="R453" s="13" t="s">
        <v>182</v>
      </c>
      <c r="S453" s="13" t="s">
        <v>2505</v>
      </c>
      <c r="T453" s="175"/>
      <c r="U453" s="175"/>
      <c r="V453" s="21" t="s">
        <v>184</v>
      </c>
      <c r="W453" s="21" t="s">
        <v>184</v>
      </c>
      <c r="X453" s="1">
        <v>11</v>
      </c>
      <c r="Y453" s="176" t="s">
        <v>3029</v>
      </c>
      <c r="Z453" s="86" t="s">
        <v>186</v>
      </c>
      <c r="AA453" s="86"/>
      <c r="AB453" s="1"/>
      <c r="AC453" s="123"/>
      <c r="AD453" s="218"/>
      <c r="AE453" s="218"/>
      <c r="AF453" s="219"/>
      <c r="AG453" s="220"/>
      <c r="AH453" s="221"/>
      <c r="AI453" s="221"/>
      <c r="AJ453" s="97" t="s">
        <v>203</v>
      </c>
      <c r="AK453" s="97" t="s">
        <v>190</v>
      </c>
      <c r="AL453" s="97" t="s">
        <v>190</v>
      </c>
      <c r="AM453" s="123" t="s">
        <v>2354</v>
      </c>
      <c r="AN453" s="22">
        <v>182</v>
      </c>
      <c r="AO453" s="22">
        <v>0</v>
      </c>
      <c r="AP453" s="22">
        <v>0</v>
      </c>
      <c r="AQ453" s="22">
        <v>0</v>
      </c>
      <c r="AR453" s="22">
        <v>0</v>
      </c>
      <c r="AS453" s="22">
        <v>7</v>
      </c>
      <c r="AT453" s="22">
        <v>10</v>
      </c>
      <c r="AU453" s="316">
        <f t="shared" si="78"/>
        <v>199</v>
      </c>
      <c r="AV453" s="22">
        <v>190</v>
      </c>
      <c r="AW453" s="22">
        <v>0</v>
      </c>
      <c r="AX453" s="22">
        <v>0</v>
      </c>
      <c r="AY453" s="22">
        <v>0</v>
      </c>
      <c r="AZ453" s="22">
        <v>0</v>
      </c>
      <c r="BA453" s="22">
        <v>7</v>
      </c>
      <c r="BB453" s="22">
        <v>10</v>
      </c>
      <c r="BC453" s="316">
        <f t="shared" si="79"/>
        <v>207</v>
      </c>
      <c r="BD453" s="58">
        <f t="shared" si="80"/>
        <v>8</v>
      </c>
      <c r="BE453" s="58">
        <f t="shared" si="81"/>
        <v>0</v>
      </c>
      <c r="BF453" s="58">
        <f t="shared" si="82"/>
        <v>0</v>
      </c>
      <c r="BG453" s="58">
        <f t="shared" si="83"/>
        <v>0</v>
      </c>
      <c r="BH453" s="58">
        <f t="shared" si="84"/>
        <v>0</v>
      </c>
      <c r="BI453" s="58">
        <f t="shared" si="85"/>
        <v>0</v>
      </c>
      <c r="BJ453" s="58">
        <f t="shared" si="86"/>
        <v>0</v>
      </c>
      <c r="BK453" s="58">
        <f t="shared" si="87"/>
        <v>8</v>
      </c>
    </row>
    <row r="454" spans="1:63" ht="27" customHeight="1">
      <c r="A454" s="13">
        <f t="shared" si="88"/>
        <v>452</v>
      </c>
      <c r="B454" s="14"/>
      <c r="C454" s="10">
        <v>3056</v>
      </c>
      <c r="D454" s="119" t="s">
        <v>3030</v>
      </c>
      <c r="E454" s="217" t="s">
        <v>3031</v>
      </c>
      <c r="F454" s="234" t="s">
        <v>3032</v>
      </c>
      <c r="G454" s="235" t="s">
        <v>1179</v>
      </c>
      <c r="H454" s="26" t="s">
        <v>3033</v>
      </c>
      <c r="I454" s="27" t="s">
        <v>3034</v>
      </c>
      <c r="J454" s="98" t="s">
        <v>178</v>
      </c>
      <c r="K454" s="28">
        <v>29138</v>
      </c>
      <c r="L454" s="82" t="s">
        <v>179</v>
      </c>
      <c r="M454" s="25">
        <v>43685</v>
      </c>
      <c r="N454" s="25"/>
      <c r="O454" s="25" t="s">
        <v>34</v>
      </c>
      <c r="P454" s="18" t="s">
        <v>512</v>
      </c>
      <c r="Q454" s="18" t="s">
        <v>181</v>
      </c>
      <c r="R454" s="13" t="s">
        <v>182</v>
      </c>
      <c r="S454" s="13" t="s">
        <v>2505</v>
      </c>
      <c r="T454" s="175"/>
      <c r="U454" s="175"/>
      <c r="V454" s="21" t="s">
        <v>184</v>
      </c>
      <c r="W454" s="21" t="s">
        <v>184</v>
      </c>
      <c r="X454" s="1">
        <v>5</v>
      </c>
      <c r="Y454" s="176" t="s">
        <v>3035</v>
      </c>
      <c r="Z454" s="86"/>
      <c r="AA454" s="86" t="s">
        <v>186</v>
      </c>
      <c r="AB454" s="1"/>
      <c r="AC454" s="123"/>
      <c r="AD454" s="218" t="s">
        <v>189</v>
      </c>
      <c r="AE454" s="218" t="s">
        <v>189</v>
      </c>
      <c r="AF454" s="219"/>
      <c r="AG454" s="220"/>
      <c r="AH454" s="221"/>
      <c r="AI454" s="221"/>
      <c r="AJ454" s="97" t="s">
        <v>203</v>
      </c>
      <c r="AK454" s="97" t="s">
        <v>190</v>
      </c>
      <c r="AL454" s="97" t="s">
        <v>190</v>
      </c>
      <c r="AM454" s="123" t="s">
        <v>2354</v>
      </c>
      <c r="AN454" s="22">
        <v>182</v>
      </c>
      <c r="AO454" s="22">
        <v>0</v>
      </c>
      <c r="AP454" s="22">
        <v>0</v>
      </c>
      <c r="AQ454" s="22">
        <v>0</v>
      </c>
      <c r="AR454" s="22">
        <v>0</v>
      </c>
      <c r="AS454" s="22">
        <v>7</v>
      </c>
      <c r="AT454" s="22">
        <v>10</v>
      </c>
      <c r="AU454" s="316">
        <f t="shared" si="78"/>
        <v>199</v>
      </c>
      <c r="AV454" s="22">
        <v>190</v>
      </c>
      <c r="AW454" s="22">
        <v>0</v>
      </c>
      <c r="AX454" s="22">
        <v>0</v>
      </c>
      <c r="AY454" s="22">
        <v>0</v>
      </c>
      <c r="AZ454" s="22">
        <v>0</v>
      </c>
      <c r="BA454" s="22">
        <v>7</v>
      </c>
      <c r="BB454" s="22">
        <v>10</v>
      </c>
      <c r="BC454" s="316">
        <f t="shared" si="79"/>
        <v>207</v>
      </c>
      <c r="BD454" s="58">
        <f t="shared" si="80"/>
        <v>8</v>
      </c>
      <c r="BE454" s="58">
        <f t="shared" si="81"/>
        <v>0</v>
      </c>
      <c r="BF454" s="58">
        <f t="shared" si="82"/>
        <v>0</v>
      </c>
      <c r="BG454" s="58">
        <f t="shared" si="83"/>
        <v>0</v>
      </c>
      <c r="BH454" s="58">
        <f t="shared" si="84"/>
        <v>0</v>
      </c>
      <c r="BI454" s="58">
        <f t="shared" si="85"/>
        <v>0</v>
      </c>
      <c r="BJ454" s="58">
        <f t="shared" si="86"/>
        <v>0</v>
      </c>
      <c r="BK454" s="58">
        <f t="shared" si="87"/>
        <v>8</v>
      </c>
    </row>
    <row r="455" spans="1:63" ht="27" customHeight="1">
      <c r="A455" s="13">
        <f t="shared" si="88"/>
        <v>453</v>
      </c>
      <c r="B455" s="14"/>
      <c r="C455" s="10">
        <v>3053</v>
      </c>
      <c r="D455" s="119" t="s">
        <v>3036</v>
      </c>
      <c r="E455" s="217" t="s">
        <v>3037</v>
      </c>
      <c r="F455" s="234" t="s">
        <v>3038</v>
      </c>
      <c r="G455" s="235" t="s">
        <v>3039</v>
      </c>
      <c r="H455" s="26" t="s">
        <v>112</v>
      </c>
      <c r="I455" s="27" t="s">
        <v>113</v>
      </c>
      <c r="J455" s="98" t="s">
        <v>209</v>
      </c>
      <c r="K455" s="28">
        <v>36524</v>
      </c>
      <c r="L455" s="82" t="s">
        <v>179</v>
      </c>
      <c r="M455" s="25">
        <v>43684</v>
      </c>
      <c r="N455" s="25"/>
      <c r="O455" s="25" t="s">
        <v>34</v>
      </c>
      <c r="P455" s="18" t="s">
        <v>81</v>
      </c>
      <c r="Q455" s="18" t="s">
        <v>181</v>
      </c>
      <c r="R455" s="13" t="s">
        <v>182</v>
      </c>
      <c r="S455" s="13" t="s">
        <v>2598</v>
      </c>
      <c r="T455" s="175"/>
      <c r="U455" s="175"/>
      <c r="V455" s="21" t="s">
        <v>200</v>
      </c>
      <c r="W455" s="21" t="s">
        <v>200</v>
      </c>
      <c r="X455" s="1">
        <v>12</v>
      </c>
      <c r="Y455" s="176" t="s">
        <v>3040</v>
      </c>
      <c r="Z455" s="86" t="s">
        <v>186</v>
      </c>
      <c r="AA455" s="86"/>
      <c r="AB455" s="86"/>
      <c r="AC455" s="123"/>
      <c r="AD455" s="218"/>
      <c r="AE455" s="218"/>
      <c r="AF455" s="219"/>
      <c r="AG455" s="220"/>
      <c r="AH455" s="221"/>
      <c r="AI455" s="221"/>
      <c r="AJ455" s="97" t="s">
        <v>203</v>
      </c>
      <c r="AK455" s="97" t="s">
        <v>190</v>
      </c>
      <c r="AL455" s="97" t="s">
        <v>190</v>
      </c>
      <c r="AM455" s="123" t="s">
        <v>2354</v>
      </c>
      <c r="AN455" s="22">
        <v>182</v>
      </c>
      <c r="AO455" s="22">
        <v>0</v>
      </c>
      <c r="AP455" s="22">
        <v>0</v>
      </c>
      <c r="AQ455" s="22">
        <v>0</v>
      </c>
      <c r="AR455" s="22">
        <v>0</v>
      </c>
      <c r="AS455" s="22">
        <v>7</v>
      </c>
      <c r="AT455" s="22">
        <v>10</v>
      </c>
      <c r="AU455" s="316">
        <f t="shared" si="78"/>
        <v>199</v>
      </c>
      <c r="AV455" s="22">
        <v>190</v>
      </c>
      <c r="AW455" s="22">
        <v>0</v>
      </c>
      <c r="AX455" s="22">
        <v>0</v>
      </c>
      <c r="AY455" s="22">
        <v>0</v>
      </c>
      <c r="AZ455" s="22">
        <v>0</v>
      </c>
      <c r="BA455" s="22">
        <v>7</v>
      </c>
      <c r="BB455" s="22">
        <v>10</v>
      </c>
      <c r="BC455" s="316">
        <f t="shared" si="79"/>
        <v>207</v>
      </c>
      <c r="BD455" s="58">
        <f t="shared" si="80"/>
        <v>8</v>
      </c>
      <c r="BE455" s="58">
        <f t="shared" si="81"/>
        <v>0</v>
      </c>
      <c r="BF455" s="58">
        <f t="shared" si="82"/>
        <v>0</v>
      </c>
      <c r="BG455" s="58">
        <f t="shared" si="83"/>
        <v>0</v>
      </c>
      <c r="BH455" s="58">
        <f t="shared" si="84"/>
        <v>0</v>
      </c>
      <c r="BI455" s="58">
        <f t="shared" si="85"/>
        <v>0</v>
      </c>
      <c r="BJ455" s="58">
        <f t="shared" si="86"/>
        <v>0</v>
      </c>
      <c r="BK455" s="58">
        <f t="shared" si="87"/>
        <v>8</v>
      </c>
    </row>
    <row r="456" spans="1:63" ht="27" customHeight="1">
      <c r="A456" s="13">
        <f t="shared" si="88"/>
        <v>454</v>
      </c>
      <c r="B456" s="14"/>
      <c r="C456" s="10">
        <v>3049</v>
      </c>
      <c r="D456" s="119" t="s">
        <v>3041</v>
      </c>
      <c r="E456" s="217" t="s">
        <v>3042</v>
      </c>
      <c r="F456" s="234" t="s">
        <v>3043</v>
      </c>
      <c r="G456" s="235" t="s">
        <v>443</v>
      </c>
      <c r="H456" s="26" t="s">
        <v>3044</v>
      </c>
      <c r="I456" s="27" t="s">
        <v>2252</v>
      </c>
      <c r="J456" s="98" t="s">
        <v>178</v>
      </c>
      <c r="K456" s="28">
        <v>28136</v>
      </c>
      <c r="L456" s="82" t="s">
        <v>179</v>
      </c>
      <c r="M456" s="25">
        <v>43679</v>
      </c>
      <c r="N456" s="25"/>
      <c r="O456" s="25" t="s">
        <v>34</v>
      </c>
      <c r="P456" s="18" t="s">
        <v>2498</v>
      </c>
      <c r="Q456" s="18" t="s">
        <v>249</v>
      </c>
      <c r="R456" s="13" t="s">
        <v>182</v>
      </c>
      <c r="S456" s="13" t="s">
        <v>2505</v>
      </c>
      <c r="T456" s="175"/>
      <c r="U456" s="175"/>
      <c r="V456" s="21" t="s">
        <v>184</v>
      </c>
      <c r="W456" s="21" t="s">
        <v>184</v>
      </c>
      <c r="X456" s="1">
        <v>5</v>
      </c>
      <c r="Y456" s="176" t="s">
        <v>296</v>
      </c>
      <c r="Z456" s="86"/>
      <c r="AA456" s="86"/>
      <c r="AB456" s="86" t="s">
        <v>186</v>
      </c>
      <c r="AC456" s="123"/>
      <c r="AD456" s="218" t="s">
        <v>189</v>
      </c>
      <c r="AE456" s="218"/>
      <c r="AF456" s="219"/>
      <c r="AG456" s="220"/>
      <c r="AH456" s="221"/>
      <c r="AI456" s="221"/>
      <c r="AJ456" s="97" t="s">
        <v>203</v>
      </c>
      <c r="AK456" s="97" t="s">
        <v>190</v>
      </c>
      <c r="AL456" s="97" t="s">
        <v>190</v>
      </c>
      <c r="AM456" s="123" t="s">
        <v>2354</v>
      </c>
      <c r="AN456" s="22">
        <v>182</v>
      </c>
      <c r="AO456" s="22">
        <v>0</v>
      </c>
      <c r="AP456" s="22">
        <v>20</v>
      </c>
      <c r="AQ456" s="22">
        <v>0</v>
      </c>
      <c r="AR456" s="22">
        <v>0</v>
      </c>
      <c r="AS456" s="22">
        <v>7</v>
      </c>
      <c r="AT456" s="22">
        <v>10</v>
      </c>
      <c r="AU456" s="316">
        <f t="shared" si="78"/>
        <v>219</v>
      </c>
      <c r="AV456" s="22">
        <v>190</v>
      </c>
      <c r="AW456" s="22">
        <v>0</v>
      </c>
      <c r="AX456" s="22">
        <v>20</v>
      </c>
      <c r="AY456" s="22">
        <v>0</v>
      </c>
      <c r="AZ456" s="22">
        <v>0</v>
      </c>
      <c r="BA456" s="22">
        <v>7</v>
      </c>
      <c r="BB456" s="22">
        <v>10</v>
      </c>
      <c r="BC456" s="316">
        <f t="shared" si="79"/>
        <v>227</v>
      </c>
      <c r="BD456" s="58">
        <f t="shared" si="80"/>
        <v>8</v>
      </c>
      <c r="BE456" s="58">
        <f t="shared" si="81"/>
        <v>0</v>
      </c>
      <c r="BF456" s="58">
        <f t="shared" si="82"/>
        <v>0</v>
      </c>
      <c r="BG456" s="58">
        <f t="shared" si="83"/>
        <v>0</v>
      </c>
      <c r="BH456" s="58">
        <f t="shared" si="84"/>
        <v>0</v>
      </c>
      <c r="BI456" s="58">
        <f t="shared" si="85"/>
        <v>0</v>
      </c>
      <c r="BJ456" s="58">
        <f t="shared" si="86"/>
        <v>0</v>
      </c>
      <c r="BK456" s="58">
        <f t="shared" si="87"/>
        <v>8</v>
      </c>
    </row>
    <row r="457" spans="1:63" ht="27" customHeight="1">
      <c r="A457" s="13">
        <f t="shared" si="88"/>
        <v>455</v>
      </c>
      <c r="B457" s="14"/>
      <c r="C457" s="10">
        <v>3050</v>
      </c>
      <c r="D457" s="119" t="s">
        <v>3045</v>
      </c>
      <c r="E457" s="217" t="s">
        <v>3046</v>
      </c>
      <c r="F457" s="234" t="s">
        <v>2565</v>
      </c>
      <c r="G457" s="235" t="s">
        <v>3047</v>
      </c>
      <c r="H457" s="26" t="s">
        <v>3048</v>
      </c>
      <c r="I457" s="27" t="s">
        <v>3049</v>
      </c>
      <c r="J457" s="98" t="s">
        <v>178</v>
      </c>
      <c r="K457" s="28">
        <v>32695</v>
      </c>
      <c r="L457" s="82" t="s">
        <v>179</v>
      </c>
      <c r="M457" s="25">
        <v>43679</v>
      </c>
      <c r="N457" s="25"/>
      <c r="O457" s="25" t="s">
        <v>34</v>
      </c>
      <c r="P457" s="18" t="s">
        <v>2498</v>
      </c>
      <c r="Q457" s="18" t="s">
        <v>249</v>
      </c>
      <c r="R457" s="13" t="s">
        <v>182</v>
      </c>
      <c r="S457" s="13" t="s">
        <v>2359</v>
      </c>
      <c r="T457" s="175"/>
      <c r="U457" s="175"/>
      <c r="V457" s="21" t="s">
        <v>184</v>
      </c>
      <c r="W457" s="21" t="s">
        <v>200</v>
      </c>
      <c r="X457" s="1">
        <v>6</v>
      </c>
      <c r="Y457" s="176" t="s">
        <v>3050</v>
      </c>
      <c r="Z457" s="86"/>
      <c r="AA457" s="86" t="s">
        <v>186</v>
      </c>
      <c r="AB457" s="1"/>
      <c r="AC457" s="123"/>
      <c r="AD457" s="218" t="s">
        <v>188</v>
      </c>
      <c r="AE457" s="218" t="s">
        <v>189</v>
      </c>
      <c r="AF457" s="219"/>
      <c r="AG457" s="220"/>
      <c r="AH457" s="221"/>
      <c r="AI457" s="221"/>
      <c r="AJ457" s="97" t="s">
        <v>203</v>
      </c>
      <c r="AK457" s="97" t="s">
        <v>190</v>
      </c>
      <c r="AL457" s="97" t="s">
        <v>190</v>
      </c>
      <c r="AM457" s="123" t="s">
        <v>2354</v>
      </c>
      <c r="AN457" s="22">
        <v>182</v>
      </c>
      <c r="AO457" s="22">
        <v>0</v>
      </c>
      <c r="AP457" s="22">
        <v>20</v>
      </c>
      <c r="AQ457" s="22">
        <v>10</v>
      </c>
      <c r="AR457" s="22">
        <v>0</v>
      </c>
      <c r="AS457" s="22">
        <v>7</v>
      </c>
      <c r="AT457" s="22">
        <v>10</v>
      </c>
      <c r="AU457" s="316">
        <f t="shared" si="78"/>
        <v>229</v>
      </c>
      <c r="AV457" s="22">
        <v>190</v>
      </c>
      <c r="AW457" s="22">
        <v>0</v>
      </c>
      <c r="AX457" s="22">
        <v>20</v>
      </c>
      <c r="AY457" s="22">
        <v>10</v>
      </c>
      <c r="AZ457" s="22">
        <v>0</v>
      </c>
      <c r="BA457" s="22">
        <v>7</v>
      </c>
      <c r="BB457" s="22">
        <v>10</v>
      </c>
      <c r="BC457" s="316">
        <f t="shared" si="79"/>
        <v>237</v>
      </c>
      <c r="BD457" s="58">
        <f t="shared" si="80"/>
        <v>8</v>
      </c>
      <c r="BE457" s="58">
        <f t="shared" si="81"/>
        <v>0</v>
      </c>
      <c r="BF457" s="58">
        <f t="shared" si="82"/>
        <v>0</v>
      </c>
      <c r="BG457" s="58">
        <f t="shared" si="83"/>
        <v>0</v>
      </c>
      <c r="BH457" s="58">
        <f t="shared" si="84"/>
        <v>0</v>
      </c>
      <c r="BI457" s="58">
        <f t="shared" si="85"/>
        <v>0</v>
      </c>
      <c r="BJ457" s="58">
        <f t="shared" si="86"/>
        <v>0</v>
      </c>
      <c r="BK457" s="58">
        <f t="shared" si="87"/>
        <v>8</v>
      </c>
    </row>
    <row r="458" spans="1:63" ht="27" customHeight="1">
      <c r="A458" s="13">
        <f t="shared" si="88"/>
        <v>456</v>
      </c>
      <c r="B458" s="14"/>
      <c r="C458" s="10">
        <v>3047</v>
      </c>
      <c r="D458" s="119" t="s">
        <v>3051</v>
      </c>
      <c r="E458" s="217" t="s">
        <v>3052</v>
      </c>
      <c r="F458" s="234" t="s">
        <v>3053</v>
      </c>
      <c r="G458" s="235" t="s">
        <v>3054</v>
      </c>
      <c r="H458" s="26" t="s">
        <v>3055</v>
      </c>
      <c r="I458" s="27" t="s">
        <v>3056</v>
      </c>
      <c r="J458" s="98" t="s">
        <v>178</v>
      </c>
      <c r="K458" s="28">
        <v>33765</v>
      </c>
      <c r="L458" s="82" t="s">
        <v>179</v>
      </c>
      <c r="M458" s="25">
        <v>43679</v>
      </c>
      <c r="N458" s="25"/>
      <c r="O458" s="25" t="s">
        <v>34</v>
      </c>
      <c r="P458" s="18" t="s">
        <v>2498</v>
      </c>
      <c r="Q458" s="18" t="s">
        <v>249</v>
      </c>
      <c r="R458" s="13" t="s">
        <v>182</v>
      </c>
      <c r="S458" s="13" t="s">
        <v>2359</v>
      </c>
      <c r="T458" s="175"/>
      <c r="U458" s="175"/>
      <c r="V458" s="21" t="s">
        <v>200</v>
      </c>
      <c r="W458" s="21" t="s">
        <v>184</v>
      </c>
      <c r="X458" s="1">
        <v>6</v>
      </c>
      <c r="Y458" s="176" t="s">
        <v>3057</v>
      </c>
      <c r="Z458" s="86"/>
      <c r="AA458" s="86" t="s">
        <v>186</v>
      </c>
      <c r="AB458" s="1"/>
      <c r="AC458" s="123"/>
      <c r="AD458" s="218" t="s">
        <v>189</v>
      </c>
      <c r="AE458" s="218"/>
      <c r="AF458" s="219"/>
      <c r="AG458" s="220"/>
      <c r="AH458" s="221"/>
      <c r="AI458" s="221"/>
      <c r="AJ458" s="97" t="s">
        <v>203</v>
      </c>
      <c r="AK458" s="97" t="s">
        <v>190</v>
      </c>
      <c r="AL458" s="97" t="s">
        <v>190</v>
      </c>
      <c r="AM458" s="123" t="s">
        <v>2354</v>
      </c>
      <c r="AN458" s="22">
        <v>182</v>
      </c>
      <c r="AO458" s="22">
        <v>0</v>
      </c>
      <c r="AP458" s="22">
        <v>20</v>
      </c>
      <c r="AQ458" s="22">
        <v>20</v>
      </c>
      <c r="AR458" s="22">
        <v>0</v>
      </c>
      <c r="AS458" s="22">
        <v>7</v>
      </c>
      <c r="AT458" s="22">
        <v>10</v>
      </c>
      <c r="AU458" s="316">
        <f t="shared" si="78"/>
        <v>239</v>
      </c>
      <c r="AV458" s="22">
        <v>190</v>
      </c>
      <c r="AW458" s="22">
        <v>0</v>
      </c>
      <c r="AX458" s="22">
        <v>20</v>
      </c>
      <c r="AY458" s="22">
        <v>20</v>
      </c>
      <c r="AZ458" s="22">
        <v>0</v>
      </c>
      <c r="BA458" s="22">
        <v>7</v>
      </c>
      <c r="BB458" s="22">
        <v>10</v>
      </c>
      <c r="BC458" s="316">
        <f t="shared" si="79"/>
        <v>247</v>
      </c>
      <c r="BD458" s="58">
        <f t="shared" si="80"/>
        <v>8</v>
      </c>
      <c r="BE458" s="58">
        <f t="shared" si="81"/>
        <v>0</v>
      </c>
      <c r="BF458" s="58">
        <f t="shared" si="82"/>
        <v>0</v>
      </c>
      <c r="BG458" s="58">
        <f t="shared" si="83"/>
        <v>0</v>
      </c>
      <c r="BH458" s="58">
        <f t="shared" si="84"/>
        <v>0</v>
      </c>
      <c r="BI458" s="58">
        <f t="shared" si="85"/>
        <v>0</v>
      </c>
      <c r="BJ458" s="58">
        <f t="shared" si="86"/>
        <v>0</v>
      </c>
      <c r="BK458" s="58">
        <f t="shared" si="87"/>
        <v>8</v>
      </c>
    </row>
    <row r="459" spans="1:63" ht="27" customHeight="1">
      <c r="A459" s="13">
        <f t="shared" si="88"/>
        <v>457</v>
      </c>
      <c r="B459" s="14"/>
      <c r="C459" s="10">
        <v>3046</v>
      </c>
      <c r="D459" s="119" t="s">
        <v>3058</v>
      </c>
      <c r="E459" s="217" t="s">
        <v>3059</v>
      </c>
      <c r="F459" s="234" t="s">
        <v>649</v>
      </c>
      <c r="G459" s="235" t="s">
        <v>3060</v>
      </c>
      <c r="H459" s="26" t="s">
        <v>45</v>
      </c>
      <c r="I459" s="27" t="s">
        <v>3061</v>
      </c>
      <c r="J459" s="98" t="s">
        <v>209</v>
      </c>
      <c r="K459" s="28">
        <v>36981</v>
      </c>
      <c r="L459" s="82" t="s">
        <v>179</v>
      </c>
      <c r="M459" s="25">
        <v>43679</v>
      </c>
      <c r="N459" s="25"/>
      <c r="O459" s="25" t="s">
        <v>34</v>
      </c>
      <c r="P459" s="18" t="s">
        <v>2498</v>
      </c>
      <c r="Q459" s="18" t="s">
        <v>249</v>
      </c>
      <c r="R459" s="13" t="s">
        <v>182</v>
      </c>
      <c r="S459" s="13" t="s">
        <v>2384</v>
      </c>
      <c r="T459" s="175"/>
      <c r="U459" s="175"/>
      <c r="V459" s="21" t="s">
        <v>184</v>
      </c>
      <c r="W459" s="21" t="s">
        <v>200</v>
      </c>
      <c r="X459" s="1">
        <v>11</v>
      </c>
      <c r="Y459" s="176" t="s">
        <v>3062</v>
      </c>
      <c r="Z459" s="86" t="s">
        <v>186</v>
      </c>
      <c r="AA459" s="86"/>
      <c r="AB459" s="1"/>
      <c r="AC459" s="123"/>
      <c r="AD459" s="218"/>
      <c r="AE459" s="218"/>
      <c r="AF459" s="219"/>
      <c r="AG459" s="220"/>
      <c r="AH459" s="221"/>
      <c r="AI459" s="221"/>
      <c r="AJ459" s="97" t="s">
        <v>203</v>
      </c>
      <c r="AK459" s="97" t="s">
        <v>190</v>
      </c>
      <c r="AL459" s="97" t="s">
        <v>190</v>
      </c>
      <c r="AM459" s="123" t="s">
        <v>2354</v>
      </c>
      <c r="AN459" s="22">
        <v>182</v>
      </c>
      <c r="AO459" s="22">
        <v>0</v>
      </c>
      <c r="AP459" s="22">
        <v>20</v>
      </c>
      <c r="AQ459" s="22">
        <v>0</v>
      </c>
      <c r="AR459" s="22">
        <v>0</v>
      </c>
      <c r="AS459" s="22">
        <v>7</v>
      </c>
      <c r="AT459" s="22">
        <v>10</v>
      </c>
      <c r="AU459" s="316">
        <f t="shared" si="78"/>
        <v>219</v>
      </c>
      <c r="AV459" s="22">
        <v>190</v>
      </c>
      <c r="AW459" s="22">
        <v>0</v>
      </c>
      <c r="AX459" s="22">
        <v>20</v>
      </c>
      <c r="AY459" s="22">
        <v>0</v>
      </c>
      <c r="AZ459" s="22">
        <v>0</v>
      </c>
      <c r="BA459" s="22">
        <v>7</v>
      </c>
      <c r="BB459" s="22">
        <v>10</v>
      </c>
      <c r="BC459" s="316">
        <f t="shared" si="79"/>
        <v>227</v>
      </c>
      <c r="BD459" s="58">
        <f t="shared" si="80"/>
        <v>8</v>
      </c>
      <c r="BE459" s="58">
        <f t="shared" si="81"/>
        <v>0</v>
      </c>
      <c r="BF459" s="58">
        <f t="shared" si="82"/>
        <v>0</v>
      </c>
      <c r="BG459" s="58">
        <f t="shared" si="83"/>
        <v>0</v>
      </c>
      <c r="BH459" s="58">
        <f t="shared" si="84"/>
        <v>0</v>
      </c>
      <c r="BI459" s="58">
        <f t="shared" si="85"/>
        <v>0</v>
      </c>
      <c r="BJ459" s="58">
        <f t="shared" si="86"/>
        <v>0</v>
      </c>
      <c r="BK459" s="58">
        <f t="shared" si="87"/>
        <v>8</v>
      </c>
    </row>
    <row r="460" spans="1:63" ht="27" customHeight="1">
      <c r="A460" s="13">
        <f t="shared" si="88"/>
        <v>458</v>
      </c>
      <c r="B460" s="14"/>
      <c r="C460" s="10">
        <v>3071</v>
      </c>
      <c r="D460" s="119" t="s">
        <v>3063</v>
      </c>
      <c r="E460" s="217" t="s">
        <v>3064</v>
      </c>
      <c r="F460" s="234" t="s">
        <v>3065</v>
      </c>
      <c r="G460" s="235" t="s">
        <v>3066</v>
      </c>
      <c r="H460" s="26" t="s">
        <v>3067</v>
      </c>
      <c r="I460" s="27" t="s">
        <v>3068</v>
      </c>
      <c r="J460" s="98" t="s">
        <v>178</v>
      </c>
      <c r="K460" s="28">
        <v>34700</v>
      </c>
      <c r="L460" s="82" t="s">
        <v>179</v>
      </c>
      <c r="M460" s="25">
        <v>43703</v>
      </c>
      <c r="N460" s="25"/>
      <c r="O460" s="25" t="s">
        <v>34</v>
      </c>
      <c r="P460" s="18" t="s">
        <v>1281</v>
      </c>
      <c r="Q460" s="18" t="s">
        <v>181</v>
      </c>
      <c r="R460" s="13" t="s">
        <v>182</v>
      </c>
      <c r="S460" s="13" t="s">
        <v>1551</v>
      </c>
      <c r="T460" s="175"/>
      <c r="U460" s="175"/>
      <c r="V460" s="21" t="s">
        <v>200</v>
      </c>
      <c r="W460" s="21" t="s">
        <v>200</v>
      </c>
      <c r="X460" s="1">
        <v>9</v>
      </c>
      <c r="Y460" s="176" t="s">
        <v>3069</v>
      </c>
      <c r="Z460" s="86"/>
      <c r="AA460" s="86" t="s">
        <v>186</v>
      </c>
      <c r="AB460" s="1"/>
      <c r="AC460" s="123"/>
      <c r="AD460" s="218" t="s">
        <v>189</v>
      </c>
      <c r="AE460" s="218"/>
      <c r="AF460" s="219"/>
      <c r="AG460" s="220"/>
      <c r="AH460" s="221"/>
      <c r="AI460" s="221"/>
      <c r="AJ460" s="97" t="s">
        <v>203</v>
      </c>
      <c r="AK460" s="97" t="s">
        <v>190</v>
      </c>
      <c r="AL460" s="97" t="s">
        <v>190</v>
      </c>
      <c r="AM460" s="123" t="s">
        <v>2354</v>
      </c>
      <c r="AN460" s="22">
        <v>182</v>
      </c>
      <c r="AO460" s="22">
        <v>0</v>
      </c>
      <c r="AP460" s="22">
        <v>20</v>
      </c>
      <c r="AQ460" s="22">
        <v>0</v>
      </c>
      <c r="AR460" s="22">
        <v>0</v>
      </c>
      <c r="AS460" s="22">
        <v>7</v>
      </c>
      <c r="AT460" s="22">
        <v>10</v>
      </c>
      <c r="AU460" s="316">
        <f t="shared" si="78"/>
        <v>219</v>
      </c>
      <c r="AV460" s="22">
        <v>190</v>
      </c>
      <c r="AW460" s="22">
        <v>0</v>
      </c>
      <c r="AX460" s="22">
        <v>20</v>
      </c>
      <c r="AY460" s="22">
        <v>0</v>
      </c>
      <c r="AZ460" s="22">
        <v>0</v>
      </c>
      <c r="BA460" s="22">
        <v>7</v>
      </c>
      <c r="BB460" s="22">
        <v>10</v>
      </c>
      <c r="BC460" s="316">
        <f t="shared" si="79"/>
        <v>227</v>
      </c>
      <c r="BD460" s="58">
        <f t="shared" si="80"/>
        <v>8</v>
      </c>
      <c r="BE460" s="58">
        <f t="shared" si="81"/>
        <v>0</v>
      </c>
      <c r="BF460" s="58">
        <f t="shared" si="82"/>
        <v>0</v>
      </c>
      <c r="BG460" s="58">
        <f t="shared" si="83"/>
        <v>0</v>
      </c>
      <c r="BH460" s="58">
        <f t="shared" si="84"/>
        <v>0</v>
      </c>
      <c r="BI460" s="58">
        <f t="shared" si="85"/>
        <v>0</v>
      </c>
      <c r="BJ460" s="58">
        <f t="shared" si="86"/>
        <v>0</v>
      </c>
      <c r="BK460" s="58">
        <f t="shared" si="87"/>
        <v>8</v>
      </c>
    </row>
    <row r="461" spans="1:63" ht="27" customHeight="1">
      <c r="A461" s="13">
        <f t="shared" si="88"/>
        <v>459</v>
      </c>
      <c r="B461" s="14"/>
      <c r="C461" s="10">
        <v>3051</v>
      </c>
      <c r="D461" s="119">
        <v>0</v>
      </c>
      <c r="E461" s="217" t="s">
        <v>3070</v>
      </c>
      <c r="F461" s="234" t="s">
        <v>3071</v>
      </c>
      <c r="G461" s="235" t="s">
        <v>3072</v>
      </c>
      <c r="H461" s="26" t="s">
        <v>3073</v>
      </c>
      <c r="I461" s="27" t="s">
        <v>3074</v>
      </c>
      <c r="J461" s="98" t="s">
        <v>209</v>
      </c>
      <c r="K461" s="28">
        <v>33666</v>
      </c>
      <c r="L461" s="82" t="s">
        <v>179</v>
      </c>
      <c r="M461" s="25">
        <v>43679</v>
      </c>
      <c r="N461" s="25"/>
      <c r="O461" s="25" t="s">
        <v>3075</v>
      </c>
      <c r="P461" s="18" t="s">
        <v>199</v>
      </c>
      <c r="Q461" s="18" t="s">
        <v>181</v>
      </c>
      <c r="R461" s="13" t="s">
        <v>182</v>
      </c>
      <c r="S461" s="13" t="s">
        <v>2505</v>
      </c>
      <c r="T461" s="175"/>
      <c r="U461" s="175"/>
      <c r="V461" s="21" t="s">
        <v>184</v>
      </c>
      <c r="W461" s="21" t="s">
        <v>184</v>
      </c>
      <c r="X461" s="1">
        <v>6</v>
      </c>
      <c r="Y461" s="176" t="s">
        <v>3076</v>
      </c>
      <c r="Z461" s="86"/>
      <c r="AA461" s="86" t="s">
        <v>186</v>
      </c>
      <c r="AB461" s="1"/>
      <c r="AC461" s="123"/>
      <c r="AD461" s="218"/>
      <c r="AE461" s="218"/>
      <c r="AF461" s="219"/>
      <c r="AG461" s="220"/>
      <c r="AH461" s="221"/>
      <c r="AI461" s="221"/>
      <c r="AJ461" s="97" t="s">
        <v>203</v>
      </c>
      <c r="AK461" s="97" t="s">
        <v>190</v>
      </c>
      <c r="AL461" s="97" t="s">
        <v>190</v>
      </c>
      <c r="AM461" s="123" t="s">
        <v>2354</v>
      </c>
      <c r="AN461" s="22">
        <v>182</v>
      </c>
      <c r="AO461" s="22">
        <v>0</v>
      </c>
      <c r="AP461" s="22">
        <v>0</v>
      </c>
      <c r="AQ461" s="22">
        <v>0</v>
      </c>
      <c r="AR461" s="22">
        <v>0</v>
      </c>
      <c r="AS461" s="22">
        <v>7</v>
      </c>
      <c r="AT461" s="22">
        <v>10</v>
      </c>
      <c r="AU461" s="316">
        <f t="shared" si="78"/>
        <v>199</v>
      </c>
      <c r="AV461" s="22">
        <v>190</v>
      </c>
      <c r="AW461" s="22">
        <v>0</v>
      </c>
      <c r="AX461" s="22">
        <v>0</v>
      </c>
      <c r="AY461" s="22">
        <v>0</v>
      </c>
      <c r="AZ461" s="22">
        <v>0</v>
      </c>
      <c r="BA461" s="22">
        <v>7</v>
      </c>
      <c r="BB461" s="22">
        <v>10</v>
      </c>
      <c r="BC461" s="316">
        <f t="shared" si="79"/>
        <v>207</v>
      </c>
      <c r="BD461" s="58">
        <f t="shared" si="80"/>
        <v>8</v>
      </c>
      <c r="BE461" s="58">
        <f t="shared" si="81"/>
        <v>0</v>
      </c>
      <c r="BF461" s="58">
        <f t="shared" si="82"/>
        <v>0</v>
      </c>
      <c r="BG461" s="58">
        <f t="shared" si="83"/>
        <v>0</v>
      </c>
      <c r="BH461" s="58">
        <f t="shared" si="84"/>
        <v>0</v>
      </c>
      <c r="BI461" s="58">
        <f t="shared" si="85"/>
        <v>0</v>
      </c>
      <c r="BJ461" s="58">
        <f t="shared" si="86"/>
        <v>0</v>
      </c>
      <c r="BK461" s="58">
        <f t="shared" si="87"/>
        <v>8</v>
      </c>
    </row>
    <row r="462" spans="1:63" ht="27" customHeight="1">
      <c r="A462" s="13">
        <f t="shared" si="88"/>
        <v>460</v>
      </c>
      <c r="B462" s="14"/>
      <c r="C462" s="10">
        <v>3059</v>
      </c>
      <c r="D462" s="119" t="s">
        <v>3077</v>
      </c>
      <c r="E462" s="217" t="s">
        <v>3078</v>
      </c>
      <c r="F462" s="234" t="s">
        <v>732</v>
      </c>
      <c r="G462" s="235" t="s">
        <v>3079</v>
      </c>
      <c r="H462" s="26" t="s">
        <v>3080</v>
      </c>
      <c r="I462" s="27" t="s">
        <v>3081</v>
      </c>
      <c r="J462" s="98" t="s">
        <v>178</v>
      </c>
      <c r="K462" s="28">
        <v>32208</v>
      </c>
      <c r="L462" s="82" t="s">
        <v>179</v>
      </c>
      <c r="M462" s="25">
        <v>43690</v>
      </c>
      <c r="N462" s="25"/>
      <c r="O462" s="25" t="s">
        <v>34</v>
      </c>
      <c r="P462" s="18" t="s">
        <v>301</v>
      </c>
      <c r="Q462" s="18" t="s">
        <v>181</v>
      </c>
      <c r="R462" s="13" t="s">
        <v>182</v>
      </c>
      <c r="S462" s="13" t="s">
        <v>2869</v>
      </c>
      <c r="T462" s="175"/>
      <c r="U462" s="175"/>
      <c r="V462" s="21" t="s">
        <v>184</v>
      </c>
      <c r="W462" s="21" t="s">
        <v>184</v>
      </c>
      <c r="X462" s="1">
        <v>9</v>
      </c>
      <c r="Y462" s="176" t="s">
        <v>3082</v>
      </c>
      <c r="Z462" s="86"/>
      <c r="AA462" s="86" t="s">
        <v>186</v>
      </c>
      <c r="AB462" s="1"/>
      <c r="AC462" s="123"/>
      <c r="AD462" s="218" t="s">
        <v>188</v>
      </c>
      <c r="AE462" s="218" t="s">
        <v>189</v>
      </c>
      <c r="AF462" s="218" t="s">
        <v>189</v>
      </c>
      <c r="AG462" s="220"/>
      <c r="AH462" s="221"/>
      <c r="AI462" s="221"/>
      <c r="AJ462" s="97" t="s">
        <v>203</v>
      </c>
      <c r="AK462" s="97" t="s">
        <v>190</v>
      </c>
      <c r="AL462" s="97" t="s">
        <v>190</v>
      </c>
      <c r="AM462" s="123" t="s">
        <v>2354</v>
      </c>
      <c r="AN462" s="22">
        <v>182</v>
      </c>
      <c r="AO462" s="22">
        <v>0</v>
      </c>
      <c r="AP462" s="22">
        <v>0</v>
      </c>
      <c r="AQ462" s="22">
        <v>0</v>
      </c>
      <c r="AR462" s="22">
        <v>0</v>
      </c>
      <c r="AS462" s="22">
        <v>7</v>
      </c>
      <c r="AT462" s="22">
        <v>10</v>
      </c>
      <c r="AU462" s="316">
        <f t="shared" si="78"/>
        <v>199</v>
      </c>
      <c r="AV462" s="22">
        <v>190</v>
      </c>
      <c r="AW462" s="22">
        <v>0</v>
      </c>
      <c r="AX462" s="22">
        <v>0</v>
      </c>
      <c r="AY462" s="22">
        <v>0</v>
      </c>
      <c r="AZ462" s="22">
        <v>0</v>
      </c>
      <c r="BA462" s="22">
        <v>7</v>
      </c>
      <c r="BB462" s="22">
        <v>10</v>
      </c>
      <c r="BC462" s="316">
        <f t="shared" si="79"/>
        <v>207</v>
      </c>
      <c r="BD462" s="58">
        <f t="shared" si="80"/>
        <v>8</v>
      </c>
      <c r="BE462" s="58">
        <f t="shared" si="81"/>
        <v>0</v>
      </c>
      <c r="BF462" s="58">
        <f t="shared" si="82"/>
        <v>0</v>
      </c>
      <c r="BG462" s="58">
        <f t="shared" si="83"/>
        <v>0</v>
      </c>
      <c r="BH462" s="58">
        <f t="shared" si="84"/>
        <v>0</v>
      </c>
      <c r="BI462" s="58">
        <f t="shared" si="85"/>
        <v>0</v>
      </c>
      <c r="BJ462" s="58">
        <f t="shared" si="86"/>
        <v>0</v>
      </c>
      <c r="BK462" s="58">
        <f t="shared" si="87"/>
        <v>8</v>
      </c>
    </row>
    <row r="463" spans="1:63" ht="27" customHeight="1">
      <c r="A463" s="13">
        <f t="shared" si="88"/>
        <v>461</v>
      </c>
      <c r="B463" s="14"/>
      <c r="C463" s="10">
        <v>3063</v>
      </c>
      <c r="D463" s="119" t="s">
        <v>3083</v>
      </c>
      <c r="E463" s="217" t="s">
        <v>3084</v>
      </c>
      <c r="F463" s="234" t="s">
        <v>3085</v>
      </c>
      <c r="G463" s="235" t="s">
        <v>3086</v>
      </c>
      <c r="H463" s="26" t="s">
        <v>3087</v>
      </c>
      <c r="I463" s="27" t="s">
        <v>3088</v>
      </c>
      <c r="J463" s="98" t="s">
        <v>178</v>
      </c>
      <c r="K463" s="28">
        <v>32737</v>
      </c>
      <c r="L463" s="82" t="s">
        <v>179</v>
      </c>
      <c r="M463" s="25">
        <v>43694</v>
      </c>
      <c r="N463" s="25"/>
      <c r="O463" s="25" t="s">
        <v>34</v>
      </c>
      <c r="P463" s="18" t="s">
        <v>282</v>
      </c>
      <c r="Q463" s="18" t="s">
        <v>249</v>
      </c>
      <c r="R463" s="13" t="s">
        <v>182</v>
      </c>
      <c r="S463" s="13" t="s">
        <v>2484</v>
      </c>
      <c r="T463" s="175"/>
      <c r="U463" s="175"/>
      <c r="V463" s="21" t="s">
        <v>184</v>
      </c>
      <c r="W463" s="21" t="s">
        <v>184</v>
      </c>
      <c r="X463" s="1">
        <v>11</v>
      </c>
      <c r="Y463" s="176" t="s">
        <v>3089</v>
      </c>
      <c r="Z463" s="86"/>
      <c r="AA463" s="86" t="s">
        <v>186</v>
      </c>
      <c r="AB463" s="1"/>
      <c r="AC463" s="123"/>
      <c r="AD463" s="218"/>
      <c r="AE463" s="218"/>
      <c r="AF463" s="219"/>
      <c r="AG463" s="220"/>
      <c r="AH463" s="221"/>
      <c r="AI463" s="221"/>
      <c r="AJ463" s="97" t="s">
        <v>203</v>
      </c>
      <c r="AK463" s="97" t="s">
        <v>190</v>
      </c>
      <c r="AL463" s="97" t="s">
        <v>190</v>
      </c>
      <c r="AM463" s="123" t="s">
        <v>2354</v>
      </c>
      <c r="AN463" s="22">
        <v>182</v>
      </c>
      <c r="AO463" s="22">
        <v>0</v>
      </c>
      <c r="AP463" s="22">
        <v>20</v>
      </c>
      <c r="AQ463" s="22">
        <v>0</v>
      </c>
      <c r="AR463" s="22">
        <v>0</v>
      </c>
      <c r="AS463" s="22">
        <v>7</v>
      </c>
      <c r="AT463" s="22">
        <v>10</v>
      </c>
      <c r="AU463" s="316">
        <f t="shared" si="78"/>
        <v>219</v>
      </c>
      <c r="AV463" s="22">
        <v>190</v>
      </c>
      <c r="AW463" s="22">
        <v>0</v>
      </c>
      <c r="AX463" s="22">
        <v>20</v>
      </c>
      <c r="AY463" s="22">
        <v>0</v>
      </c>
      <c r="AZ463" s="22">
        <v>0</v>
      </c>
      <c r="BA463" s="22">
        <v>7</v>
      </c>
      <c r="BB463" s="22">
        <v>10</v>
      </c>
      <c r="BC463" s="316">
        <f t="shared" si="79"/>
        <v>227</v>
      </c>
      <c r="BD463" s="58">
        <f t="shared" si="80"/>
        <v>8</v>
      </c>
      <c r="BE463" s="58">
        <f t="shared" si="81"/>
        <v>0</v>
      </c>
      <c r="BF463" s="58">
        <f t="shared" si="82"/>
        <v>0</v>
      </c>
      <c r="BG463" s="58">
        <f t="shared" si="83"/>
        <v>0</v>
      </c>
      <c r="BH463" s="58">
        <f t="shared" si="84"/>
        <v>0</v>
      </c>
      <c r="BI463" s="58">
        <f t="shared" si="85"/>
        <v>0</v>
      </c>
      <c r="BJ463" s="58">
        <f t="shared" si="86"/>
        <v>0</v>
      </c>
      <c r="BK463" s="58">
        <f t="shared" si="87"/>
        <v>8</v>
      </c>
    </row>
    <row r="464" spans="1:63" ht="27" customHeight="1">
      <c r="A464" s="13">
        <f t="shared" si="88"/>
        <v>462</v>
      </c>
      <c r="B464" s="14"/>
      <c r="C464" s="10">
        <v>3070</v>
      </c>
      <c r="D464" s="119" t="s">
        <v>3090</v>
      </c>
      <c r="E464" s="217" t="s">
        <v>3091</v>
      </c>
      <c r="F464" s="234" t="s">
        <v>2310</v>
      </c>
      <c r="G464" s="235" t="s">
        <v>3092</v>
      </c>
      <c r="H464" s="26" t="s">
        <v>2312</v>
      </c>
      <c r="I464" s="27" t="s">
        <v>3093</v>
      </c>
      <c r="J464" s="98" t="s">
        <v>209</v>
      </c>
      <c r="K464" s="28">
        <v>34131</v>
      </c>
      <c r="L464" s="82" t="s">
        <v>179</v>
      </c>
      <c r="M464" s="25">
        <v>43694</v>
      </c>
      <c r="N464" s="25"/>
      <c r="O464" s="25" t="s">
        <v>3075</v>
      </c>
      <c r="P464" s="18" t="s">
        <v>532</v>
      </c>
      <c r="Q464" s="18" t="s">
        <v>249</v>
      </c>
      <c r="R464" s="13" t="s">
        <v>182</v>
      </c>
      <c r="S464" s="13" t="s">
        <v>1551</v>
      </c>
      <c r="T464" s="175"/>
      <c r="U464" s="175"/>
      <c r="V464" s="21" t="s">
        <v>184</v>
      </c>
      <c r="W464" s="21" t="s">
        <v>184</v>
      </c>
      <c r="X464" s="1">
        <v>8</v>
      </c>
      <c r="Y464" s="176" t="s">
        <v>3094</v>
      </c>
      <c r="Z464" s="86"/>
      <c r="AA464" s="86" t="s">
        <v>186</v>
      </c>
      <c r="AB464" s="1"/>
      <c r="AC464" s="123"/>
      <c r="AD464" s="218"/>
      <c r="AE464" s="218"/>
      <c r="AF464" s="219"/>
      <c r="AG464" s="220"/>
      <c r="AH464" s="221"/>
      <c r="AI464" s="221"/>
      <c r="AJ464" s="97" t="s">
        <v>203</v>
      </c>
      <c r="AK464" s="97" t="s">
        <v>190</v>
      </c>
      <c r="AL464" s="97" t="s">
        <v>190</v>
      </c>
      <c r="AM464" s="123" t="s">
        <v>2354</v>
      </c>
      <c r="AN464" s="22">
        <v>182</v>
      </c>
      <c r="AO464" s="22">
        <v>0</v>
      </c>
      <c r="AP464" s="22">
        <v>108</v>
      </c>
      <c r="AQ464" s="22">
        <v>0</v>
      </c>
      <c r="AR464" s="22">
        <v>10</v>
      </c>
      <c r="AS464" s="22">
        <v>7</v>
      </c>
      <c r="AT464" s="22">
        <v>10</v>
      </c>
      <c r="AU464" s="316">
        <f t="shared" si="78"/>
        <v>317</v>
      </c>
      <c r="AV464" s="22">
        <v>190</v>
      </c>
      <c r="AW464" s="22">
        <v>0</v>
      </c>
      <c r="AX464" s="22">
        <v>108</v>
      </c>
      <c r="AY464" s="22">
        <v>0</v>
      </c>
      <c r="AZ464" s="22">
        <v>10</v>
      </c>
      <c r="BA464" s="22">
        <v>7</v>
      </c>
      <c r="BB464" s="22">
        <v>10</v>
      </c>
      <c r="BC464" s="316">
        <f t="shared" si="79"/>
        <v>325</v>
      </c>
      <c r="BD464" s="58">
        <f t="shared" si="80"/>
        <v>8</v>
      </c>
      <c r="BE464" s="58">
        <f t="shared" si="81"/>
        <v>0</v>
      </c>
      <c r="BF464" s="58">
        <f t="shared" si="82"/>
        <v>0</v>
      </c>
      <c r="BG464" s="58">
        <f t="shared" si="83"/>
        <v>0</v>
      </c>
      <c r="BH464" s="58">
        <f t="shared" si="84"/>
        <v>0</v>
      </c>
      <c r="BI464" s="58">
        <f t="shared" si="85"/>
        <v>0</v>
      </c>
      <c r="BJ464" s="58">
        <f t="shared" si="86"/>
        <v>0</v>
      </c>
      <c r="BK464" s="58">
        <f t="shared" si="87"/>
        <v>8</v>
      </c>
    </row>
    <row r="465" spans="1:63" ht="27" customHeight="1">
      <c r="A465" s="13">
        <f t="shared" si="88"/>
        <v>463</v>
      </c>
      <c r="B465" s="14"/>
      <c r="C465" s="10">
        <v>3060</v>
      </c>
      <c r="D465" s="119" t="s">
        <v>3095</v>
      </c>
      <c r="E465" s="217" t="s">
        <v>3096</v>
      </c>
      <c r="F465" s="234" t="s">
        <v>3097</v>
      </c>
      <c r="G465" s="235" t="s">
        <v>690</v>
      </c>
      <c r="H465" s="26" t="s">
        <v>3098</v>
      </c>
      <c r="I465" s="27" t="s">
        <v>3099</v>
      </c>
      <c r="J465" s="98" t="s">
        <v>178</v>
      </c>
      <c r="K465" s="28">
        <v>36023</v>
      </c>
      <c r="L465" s="82" t="s">
        <v>179</v>
      </c>
      <c r="M465" s="25">
        <v>43694</v>
      </c>
      <c r="N465" s="25"/>
      <c r="O465" s="25" t="s">
        <v>34</v>
      </c>
      <c r="P465" s="18" t="s">
        <v>604</v>
      </c>
      <c r="Q465" s="18" t="s">
        <v>181</v>
      </c>
      <c r="R465" s="13" t="s">
        <v>182</v>
      </c>
      <c r="S465" s="13" t="s">
        <v>2384</v>
      </c>
      <c r="T465" s="175"/>
      <c r="U465" s="175"/>
      <c r="V465" s="21" t="s">
        <v>184</v>
      </c>
      <c r="W465" s="21" t="s">
        <v>184</v>
      </c>
      <c r="X465" s="1">
        <v>7</v>
      </c>
      <c r="Y465" s="176" t="s">
        <v>3096</v>
      </c>
      <c r="Z465" s="86"/>
      <c r="AA465" s="86" t="s">
        <v>186</v>
      </c>
      <c r="AB465" s="1"/>
      <c r="AC465" s="123"/>
      <c r="AD465" s="218" t="s">
        <v>189</v>
      </c>
      <c r="AE465" s="218"/>
      <c r="AF465" s="219"/>
      <c r="AG465" s="220"/>
      <c r="AH465" s="221"/>
      <c r="AI465" s="221"/>
      <c r="AJ465" s="97" t="s">
        <v>203</v>
      </c>
      <c r="AK465" s="97" t="s">
        <v>190</v>
      </c>
      <c r="AL465" s="97" t="s">
        <v>190</v>
      </c>
      <c r="AM465" s="123" t="s">
        <v>2354</v>
      </c>
      <c r="AN465" s="22">
        <v>182</v>
      </c>
      <c r="AO465" s="22">
        <v>0</v>
      </c>
      <c r="AP465" s="22">
        <v>0</v>
      </c>
      <c r="AQ465" s="22">
        <v>0</v>
      </c>
      <c r="AR465" s="22">
        <v>0</v>
      </c>
      <c r="AS465" s="22">
        <v>7</v>
      </c>
      <c r="AT465" s="22">
        <v>10</v>
      </c>
      <c r="AU465" s="316">
        <f t="shared" si="78"/>
        <v>199</v>
      </c>
      <c r="AV465" s="22">
        <v>190</v>
      </c>
      <c r="AW465" s="22">
        <v>0</v>
      </c>
      <c r="AX465" s="22">
        <v>0</v>
      </c>
      <c r="AY465" s="22">
        <v>0</v>
      </c>
      <c r="AZ465" s="22">
        <v>0</v>
      </c>
      <c r="BA465" s="22">
        <v>7</v>
      </c>
      <c r="BB465" s="22">
        <v>10</v>
      </c>
      <c r="BC465" s="316">
        <f t="shared" si="79"/>
        <v>207</v>
      </c>
      <c r="BD465" s="58">
        <f t="shared" si="80"/>
        <v>8</v>
      </c>
      <c r="BE465" s="58">
        <f t="shared" si="81"/>
        <v>0</v>
      </c>
      <c r="BF465" s="58">
        <f t="shared" si="82"/>
        <v>0</v>
      </c>
      <c r="BG465" s="58">
        <f t="shared" si="83"/>
        <v>0</v>
      </c>
      <c r="BH465" s="58">
        <f t="shared" si="84"/>
        <v>0</v>
      </c>
      <c r="BI465" s="58">
        <f t="shared" si="85"/>
        <v>0</v>
      </c>
      <c r="BJ465" s="58">
        <f t="shared" si="86"/>
        <v>0</v>
      </c>
      <c r="BK465" s="58">
        <f t="shared" si="87"/>
        <v>8</v>
      </c>
    </row>
    <row r="466" spans="1:63" ht="27" customHeight="1">
      <c r="A466" s="13">
        <f t="shared" si="88"/>
        <v>464</v>
      </c>
      <c r="B466" s="14"/>
      <c r="C466" s="10">
        <v>3065</v>
      </c>
      <c r="D466" s="119" t="s">
        <v>3100</v>
      </c>
      <c r="E466" s="217" t="s">
        <v>3101</v>
      </c>
      <c r="F466" s="234" t="s">
        <v>1451</v>
      </c>
      <c r="G466" s="235" t="s">
        <v>3102</v>
      </c>
      <c r="H466" s="26" t="s">
        <v>3103</v>
      </c>
      <c r="I466" s="27" t="s">
        <v>3104</v>
      </c>
      <c r="J466" s="98" t="s">
        <v>178</v>
      </c>
      <c r="K466" s="28">
        <v>33775</v>
      </c>
      <c r="L466" s="82" t="s">
        <v>179</v>
      </c>
      <c r="M466" s="25">
        <v>43695</v>
      </c>
      <c r="N466" s="25"/>
      <c r="O466" s="25" t="s">
        <v>34</v>
      </c>
      <c r="P466" s="18" t="s">
        <v>604</v>
      </c>
      <c r="Q466" s="18" t="s">
        <v>181</v>
      </c>
      <c r="R466" s="13" t="s">
        <v>182</v>
      </c>
      <c r="S466" s="13" t="s">
        <v>2397</v>
      </c>
      <c r="T466" s="175"/>
      <c r="U466" s="175"/>
      <c r="V466" s="21" t="s">
        <v>184</v>
      </c>
      <c r="W466" s="21" t="s">
        <v>184</v>
      </c>
      <c r="X466" s="1">
        <v>9</v>
      </c>
      <c r="Y466" s="176" t="s">
        <v>3105</v>
      </c>
      <c r="Z466" s="86"/>
      <c r="AA466" s="86" t="s">
        <v>186</v>
      </c>
      <c r="AB466" s="1"/>
      <c r="AC466" s="123"/>
      <c r="AD466" s="218"/>
      <c r="AE466" s="218"/>
      <c r="AF466" s="219"/>
      <c r="AG466" s="220"/>
      <c r="AH466" s="221"/>
      <c r="AI466" s="221"/>
      <c r="AJ466" s="97" t="s">
        <v>203</v>
      </c>
      <c r="AK466" s="97" t="s">
        <v>190</v>
      </c>
      <c r="AL466" s="97" t="s">
        <v>190</v>
      </c>
      <c r="AM466" s="123" t="s">
        <v>2354</v>
      </c>
      <c r="AN466" s="22">
        <v>182</v>
      </c>
      <c r="AO466" s="22">
        <v>0</v>
      </c>
      <c r="AP466" s="22">
        <v>0</v>
      </c>
      <c r="AQ466" s="22">
        <v>0</v>
      </c>
      <c r="AR466" s="22">
        <v>0</v>
      </c>
      <c r="AS466" s="22">
        <v>7</v>
      </c>
      <c r="AT466" s="22">
        <v>10</v>
      </c>
      <c r="AU466" s="316">
        <f t="shared" si="78"/>
        <v>199</v>
      </c>
      <c r="AV466" s="22">
        <v>190</v>
      </c>
      <c r="AW466" s="22">
        <v>0</v>
      </c>
      <c r="AX466" s="22">
        <v>0</v>
      </c>
      <c r="AY466" s="22">
        <v>0</v>
      </c>
      <c r="AZ466" s="22">
        <v>0</v>
      </c>
      <c r="BA466" s="22">
        <v>7</v>
      </c>
      <c r="BB466" s="22">
        <v>10</v>
      </c>
      <c r="BC466" s="316">
        <f t="shared" si="79"/>
        <v>207</v>
      </c>
      <c r="BD466" s="58">
        <f t="shared" si="80"/>
        <v>8</v>
      </c>
      <c r="BE466" s="58">
        <f t="shared" si="81"/>
        <v>0</v>
      </c>
      <c r="BF466" s="58">
        <f t="shared" si="82"/>
        <v>0</v>
      </c>
      <c r="BG466" s="58">
        <f t="shared" si="83"/>
        <v>0</v>
      </c>
      <c r="BH466" s="58">
        <f t="shared" si="84"/>
        <v>0</v>
      </c>
      <c r="BI466" s="58">
        <f t="shared" si="85"/>
        <v>0</v>
      </c>
      <c r="BJ466" s="58">
        <f t="shared" si="86"/>
        <v>0</v>
      </c>
      <c r="BK466" s="58">
        <f t="shared" si="87"/>
        <v>8</v>
      </c>
    </row>
    <row r="467" spans="1:63" ht="27" customHeight="1">
      <c r="A467" s="13">
        <f t="shared" si="88"/>
        <v>465</v>
      </c>
      <c r="B467" s="14"/>
      <c r="C467" s="10">
        <v>3061</v>
      </c>
      <c r="D467" s="119" t="s">
        <v>3106</v>
      </c>
      <c r="E467" s="217" t="s">
        <v>3107</v>
      </c>
      <c r="F467" s="234" t="s">
        <v>3108</v>
      </c>
      <c r="G467" s="235" t="s">
        <v>1389</v>
      </c>
      <c r="H467" s="26" t="s">
        <v>3109</v>
      </c>
      <c r="I467" s="27" t="s">
        <v>3110</v>
      </c>
      <c r="J467" s="98" t="s">
        <v>178</v>
      </c>
      <c r="K467" s="28">
        <v>32939</v>
      </c>
      <c r="L467" s="82" t="s">
        <v>179</v>
      </c>
      <c r="M467" s="25">
        <v>43696</v>
      </c>
      <c r="N467" s="25"/>
      <c r="O467" s="25" t="s">
        <v>34</v>
      </c>
      <c r="P467" s="18" t="s">
        <v>282</v>
      </c>
      <c r="Q467" s="18" t="s">
        <v>249</v>
      </c>
      <c r="R467" s="13" t="s">
        <v>182</v>
      </c>
      <c r="S467" s="13" t="s">
        <v>2430</v>
      </c>
      <c r="T467" s="175"/>
      <c r="U467" s="175"/>
      <c r="V467" s="21" t="s">
        <v>184</v>
      </c>
      <c r="W467" s="21" t="s">
        <v>184</v>
      </c>
      <c r="X467" s="1">
        <v>2</v>
      </c>
      <c r="Y467" s="176"/>
      <c r="Z467" s="86"/>
      <c r="AA467" s="86" t="s">
        <v>186</v>
      </c>
      <c r="AB467" s="1"/>
      <c r="AC467" s="123"/>
      <c r="AD467" s="218"/>
      <c r="AE467" s="218"/>
      <c r="AF467" s="219"/>
      <c r="AG467" s="220"/>
      <c r="AH467" s="221"/>
      <c r="AI467" s="221"/>
      <c r="AJ467" s="97" t="s">
        <v>203</v>
      </c>
      <c r="AK467" s="97" t="s">
        <v>190</v>
      </c>
      <c r="AL467" s="97" t="s">
        <v>190</v>
      </c>
      <c r="AM467" s="123" t="s">
        <v>2354</v>
      </c>
      <c r="AN467" s="22">
        <v>182</v>
      </c>
      <c r="AO467" s="22">
        <v>0</v>
      </c>
      <c r="AP467" s="22">
        <v>20</v>
      </c>
      <c r="AQ467" s="22">
        <v>0</v>
      </c>
      <c r="AR467" s="22">
        <v>0</v>
      </c>
      <c r="AS467" s="22">
        <v>7</v>
      </c>
      <c r="AT467" s="22">
        <v>10</v>
      </c>
      <c r="AU467" s="316">
        <f t="shared" si="78"/>
        <v>219</v>
      </c>
      <c r="AV467" s="22">
        <v>190</v>
      </c>
      <c r="AW467" s="22">
        <v>0</v>
      </c>
      <c r="AX467" s="22">
        <v>20</v>
      </c>
      <c r="AY467" s="22">
        <v>0</v>
      </c>
      <c r="AZ467" s="22">
        <v>0</v>
      </c>
      <c r="BA467" s="22">
        <v>7</v>
      </c>
      <c r="BB467" s="22">
        <v>10</v>
      </c>
      <c r="BC467" s="316">
        <f t="shared" si="79"/>
        <v>227</v>
      </c>
      <c r="BD467" s="58">
        <f t="shared" si="80"/>
        <v>8</v>
      </c>
      <c r="BE467" s="58">
        <f t="shared" si="81"/>
        <v>0</v>
      </c>
      <c r="BF467" s="58">
        <f t="shared" si="82"/>
        <v>0</v>
      </c>
      <c r="BG467" s="58">
        <f t="shared" si="83"/>
        <v>0</v>
      </c>
      <c r="BH467" s="58">
        <f t="shared" si="84"/>
        <v>0</v>
      </c>
      <c r="BI467" s="58">
        <f t="shared" si="85"/>
        <v>0</v>
      </c>
      <c r="BJ467" s="58">
        <f t="shared" si="86"/>
        <v>0</v>
      </c>
      <c r="BK467" s="58">
        <f t="shared" si="87"/>
        <v>8</v>
      </c>
    </row>
    <row r="468" spans="1:63" ht="27" customHeight="1">
      <c r="A468" s="13">
        <f t="shared" si="88"/>
        <v>466</v>
      </c>
      <c r="B468" s="14"/>
      <c r="C468" s="10">
        <v>3062</v>
      </c>
      <c r="D468" s="119" t="s">
        <v>3111</v>
      </c>
      <c r="E468" s="217" t="s">
        <v>3112</v>
      </c>
      <c r="F468" s="234" t="s">
        <v>2638</v>
      </c>
      <c r="G468" s="235" t="s">
        <v>3113</v>
      </c>
      <c r="H468" s="26" t="s">
        <v>53</v>
      </c>
      <c r="I468" s="27" t="s">
        <v>54</v>
      </c>
      <c r="J468" s="98" t="s">
        <v>209</v>
      </c>
      <c r="K468" s="28">
        <v>32569</v>
      </c>
      <c r="L468" s="82" t="s">
        <v>179</v>
      </c>
      <c r="M468" s="25">
        <v>43695</v>
      </c>
      <c r="N468" s="25"/>
      <c r="O468" s="25" t="s">
        <v>34</v>
      </c>
      <c r="P468" s="18" t="s">
        <v>15</v>
      </c>
      <c r="Q468" s="18" t="s">
        <v>181</v>
      </c>
      <c r="R468" s="13" t="s">
        <v>182</v>
      </c>
      <c r="S468" s="13" t="s">
        <v>2430</v>
      </c>
      <c r="T468" s="175"/>
      <c r="U468" s="175"/>
      <c r="V468" s="21" t="s">
        <v>184</v>
      </c>
      <c r="W468" s="21" t="s">
        <v>184</v>
      </c>
      <c r="X468" s="1"/>
      <c r="Y468" s="176" t="s">
        <v>3114</v>
      </c>
      <c r="Z468" s="86"/>
      <c r="AA468" s="86" t="s">
        <v>186</v>
      </c>
      <c r="AB468" s="1"/>
      <c r="AC468" s="123"/>
      <c r="AD468" s="218"/>
      <c r="AE468" s="218"/>
      <c r="AF468" s="219"/>
      <c r="AG468" s="220"/>
      <c r="AH468" s="221"/>
      <c r="AI468" s="221"/>
      <c r="AJ468" s="97" t="s">
        <v>203</v>
      </c>
      <c r="AK468" s="97" t="s">
        <v>190</v>
      </c>
      <c r="AL468" s="97" t="s">
        <v>190</v>
      </c>
      <c r="AM468" s="123" t="s">
        <v>2354</v>
      </c>
      <c r="AN468" s="22">
        <v>182</v>
      </c>
      <c r="AO468" s="22">
        <v>0</v>
      </c>
      <c r="AP468" s="22">
        <v>0</v>
      </c>
      <c r="AQ468" s="22">
        <v>0</v>
      </c>
      <c r="AR468" s="22">
        <v>0</v>
      </c>
      <c r="AS468" s="22">
        <v>7</v>
      </c>
      <c r="AT468" s="22">
        <v>10</v>
      </c>
      <c r="AU468" s="316">
        <f t="shared" si="78"/>
        <v>199</v>
      </c>
      <c r="AV468" s="22">
        <v>190</v>
      </c>
      <c r="AW468" s="22">
        <v>0</v>
      </c>
      <c r="AX468" s="22">
        <v>0</v>
      </c>
      <c r="AY468" s="22">
        <v>0</v>
      </c>
      <c r="AZ468" s="22">
        <v>0</v>
      </c>
      <c r="BA468" s="22">
        <v>7</v>
      </c>
      <c r="BB468" s="22">
        <v>10</v>
      </c>
      <c r="BC468" s="316">
        <f t="shared" si="79"/>
        <v>207</v>
      </c>
      <c r="BD468" s="58">
        <f t="shared" si="80"/>
        <v>8</v>
      </c>
      <c r="BE468" s="58">
        <f t="shared" si="81"/>
        <v>0</v>
      </c>
      <c r="BF468" s="58">
        <f t="shared" si="82"/>
        <v>0</v>
      </c>
      <c r="BG468" s="58">
        <f t="shared" si="83"/>
        <v>0</v>
      </c>
      <c r="BH468" s="58">
        <f t="shared" si="84"/>
        <v>0</v>
      </c>
      <c r="BI468" s="58">
        <f t="shared" si="85"/>
        <v>0</v>
      </c>
      <c r="BJ468" s="58">
        <f t="shared" si="86"/>
        <v>0</v>
      </c>
      <c r="BK468" s="58">
        <f t="shared" si="87"/>
        <v>8</v>
      </c>
    </row>
    <row r="469" spans="1:63" ht="27" customHeight="1">
      <c r="A469" s="13">
        <f t="shared" si="88"/>
        <v>467</v>
      </c>
      <c r="B469" s="14"/>
      <c r="C469" s="10">
        <v>3067</v>
      </c>
      <c r="D469" s="119" t="s">
        <v>3115</v>
      </c>
      <c r="E469" s="217" t="s">
        <v>3116</v>
      </c>
      <c r="F469" s="234" t="s">
        <v>1066</v>
      </c>
      <c r="G469" s="235" t="s">
        <v>3117</v>
      </c>
      <c r="H469" s="26" t="s">
        <v>3118</v>
      </c>
      <c r="I469" s="27" t="s">
        <v>3119</v>
      </c>
      <c r="J469" s="98" t="s">
        <v>178</v>
      </c>
      <c r="K469" s="28">
        <v>26436</v>
      </c>
      <c r="L469" s="82" t="s">
        <v>179</v>
      </c>
      <c r="M469" s="25">
        <v>43698</v>
      </c>
      <c r="N469" s="25"/>
      <c r="O469" s="25" t="s">
        <v>34</v>
      </c>
      <c r="P469" s="18" t="s">
        <v>2498</v>
      </c>
      <c r="Q469" s="18" t="s">
        <v>249</v>
      </c>
      <c r="R469" s="13" t="s">
        <v>182</v>
      </c>
      <c r="S469" s="13" t="s">
        <v>2598</v>
      </c>
      <c r="T469" s="175"/>
      <c r="U469" s="175"/>
      <c r="V469" s="21" t="s">
        <v>184</v>
      </c>
      <c r="W469" s="21" t="s">
        <v>184</v>
      </c>
      <c r="X469" s="1">
        <v>6</v>
      </c>
      <c r="Y469" s="176" t="s">
        <v>3116</v>
      </c>
      <c r="Z469" s="86"/>
      <c r="AA469" s="86" t="s">
        <v>186</v>
      </c>
      <c r="AB469" s="1"/>
      <c r="AC469" s="123"/>
      <c r="AD469" s="218"/>
      <c r="AE469" s="218"/>
      <c r="AF469" s="219"/>
      <c r="AG469" s="220"/>
      <c r="AH469" s="221"/>
      <c r="AI469" s="221"/>
      <c r="AJ469" s="97" t="s">
        <v>203</v>
      </c>
      <c r="AK469" s="97" t="s">
        <v>190</v>
      </c>
      <c r="AL469" s="97" t="s">
        <v>190</v>
      </c>
      <c r="AM469" s="123" t="s">
        <v>2354</v>
      </c>
      <c r="AN469" s="22">
        <v>182</v>
      </c>
      <c r="AO469" s="22">
        <v>0</v>
      </c>
      <c r="AP469" s="22">
        <v>20</v>
      </c>
      <c r="AQ469" s="22">
        <v>0</v>
      </c>
      <c r="AR469" s="22">
        <v>0</v>
      </c>
      <c r="AS469" s="22">
        <v>7</v>
      </c>
      <c r="AT469" s="22">
        <v>10</v>
      </c>
      <c r="AU469" s="316">
        <f t="shared" si="78"/>
        <v>219</v>
      </c>
      <c r="AV469" s="22">
        <v>190</v>
      </c>
      <c r="AW469" s="22">
        <v>0</v>
      </c>
      <c r="AX469" s="22">
        <v>20</v>
      </c>
      <c r="AY469" s="22">
        <v>0</v>
      </c>
      <c r="AZ469" s="22">
        <v>0</v>
      </c>
      <c r="BA469" s="22">
        <v>7</v>
      </c>
      <c r="BB469" s="22">
        <v>10</v>
      </c>
      <c r="BC469" s="316">
        <f t="shared" si="79"/>
        <v>227</v>
      </c>
      <c r="BD469" s="58">
        <f t="shared" si="80"/>
        <v>8</v>
      </c>
      <c r="BE469" s="58">
        <f t="shared" si="81"/>
        <v>0</v>
      </c>
      <c r="BF469" s="58">
        <f t="shared" si="82"/>
        <v>0</v>
      </c>
      <c r="BG469" s="58">
        <f t="shared" si="83"/>
        <v>0</v>
      </c>
      <c r="BH469" s="58">
        <f t="shared" si="84"/>
        <v>0</v>
      </c>
      <c r="BI469" s="58">
        <f t="shared" si="85"/>
        <v>0</v>
      </c>
      <c r="BJ469" s="58">
        <f t="shared" si="86"/>
        <v>0</v>
      </c>
      <c r="BK469" s="58">
        <f t="shared" si="87"/>
        <v>8</v>
      </c>
    </row>
    <row r="470" spans="1:63" ht="27" customHeight="1">
      <c r="A470" s="13">
        <f t="shared" si="88"/>
        <v>468</v>
      </c>
      <c r="B470" s="14"/>
      <c r="C470" s="10">
        <v>3045</v>
      </c>
      <c r="D470" s="119">
        <v>0</v>
      </c>
      <c r="E470" s="217" t="s">
        <v>3120</v>
      </c>
      <c r="F470" s="234" t="s">
        <v>407</v>
      </c>
      <c r="G470" s="235" t="s">
        <v>3121</v>
      </c>
      <c r="H470" s="26" t="s">
        <v>3122</v>
      </c>
      <c r="I470" s="27" t="s">
        <v>3123</v>
      </c>
      <c r="J470" s="98" t="s">
        <v>209</v>
      </c>
      <c r="K470" s="28">
        <v>36616</v>
      </c>
      <c r="L470" s="82" t="s">
        <v>179</v>
      </c>
      <c r="M470" s="25">
        <v>43678</v>
      </c>
      <c r="N470" s="25"/>
      <c r="O470" s="25" t="s">
        <v>80</v>
      </c>
      <c r="P470" s="18" t="s">
        <v>102</v>
      </c>
      <c r="Q470" s="18" t="s">
        <v>181</v>
      </c>
      <c r="R470" s="13" t="s">
        <v>182</v>
      </c>
      <c r="S470" s="13" t="s">
        <v>2384</v>
      </c>
      <c r="T470" s="175"/>
      <c r="U470" s="175"/>
      <c r="V470" s="21" t="s">
        <v>200</v>
      </c>
      <c r="W470" s="21" t="s">
        <v>200</v>
      </c>
      <c r="X470" s="1">
        <v>12</v>
      </c>
      <c r="Y470" s="176" t="s">
        <v>3124</v>
      </c>
      <c r="Z470" s="86" t="s">
        <v>186</v>
      </c>
      <c r="AA470" s="86"/>
      <c r="AB470" s="1"/>
      <c r="AC470" s="123"/>
      <c r="AD470" s="218"/>
      <c r="AE470" s="218"/>
      <c r="AF470" s="219"/>
      <c r="AG470" s="220"/>
      <c r="AH470" s="221"/>
      <c r="AI470" s="221"/>
      <c r="AJ470" s="97" t="s">
        <v>203</v>
      </c>
      <c r="AK470" s="97" t="s">
        <v>190</v>
      </c>
      <c r="AL470" s="97" t="s">
        <v>190</v>
      </c>
      <c r="AM470" s="123" t="s">
        <v>2349</v>
      </c>
      <c r="AN470" s="22">
        <v>182</v>
      </c>
      <c r="AO470" s="22">
        <v>0</v>
      </c>
      <c r="AP470" s="22">
        <v>0</v>
      </c>
      <c r="AQ470" s="22">
        <v>53</v>
      </c>
      <c r="AR470" s="22">
        <v>15</v>
      </c>
      <c r="AS470" s="22">
        <v>7</v>
      </c>
      <c r="AT470" s="22">
        <v>10</v>
      </c>
      <c r="AU470" s="316">
        <f t="shared" si="78"/>
        <v>267</v>
      </c>
      <c r="AV470" s="22">
        <v>190</v>
      </c>
      <c r="AW470" s="22">
        <v>0</v>
      </c>
      <c r="AX470" s="22">
        <v>0</v>
      </c>
      <c r="AY470" s="22">
        <v>53</v>
      </c>
      <c r="AZ470" s="22">
        <v>15</v>
      </c>
      <c r="BA470" s="22">
        <v>7</v>
      </c>
      <c r="BB470" s="22">
        <v>10</v>
      </c>
      <c r="BC470" s="316">
        <f t="shared" si="79"/>
        <v>275</v>
      </c>
      <c r="BD470" s="58">
        <f t="shared" si="80"/>
        <v>8</v>
      </c>
      <c r="BE470" s="58">
        <f t="shared" si="81"/>
        <v>0</v>
      </c>
      <c r="BF470" s="58">
        <f t="shared" si="82"/>
        <v>0</v>
      </c>
      <c r="BG470" s="58">
        <f t="shared" si="83"/>
        <v>0</v>
      </c>
      <c r="BH470" s="58">
        <f t="shared" si="84"/>
        <v>0</v>
      </c>
      <c r="BI470" s="58">
        <f t="shared" si="85"/>
        <v>0</v>
      </c>
      <c r="BJ470" s="58">
        <f t="shared" si="86"/>
        <v>0</v>
      </c>
      <c r="BK470" s="58">
        <f t="shared" si="87"/>
        <v>8</v>
      </c>
    </row>
    <row r="471" spans="1:63" ht="27" customHeight="1">
      <c r="A471" s="13">
        <f t="shared" si="88"/>
        <v>469</v>
      </c>
      <c r="B471" s="14"/>
      <c r="C471" s="237">
        <v>3048</v>
      </c>
      <c r="D471" s="119">
        <v>0</v>
      </c>
      <c r="E471" s="217" t="s">
        <v>296</v>
      </c>
      <c r="F471" s="234" t="s">
        <v>940</v>
      </c>
      <c r="G471" s="235" t="s">
        <v>2654</v>
      </c>
      <c r="H471" s="26" t="s">
        <v>3125</v>
      </c>
      <c r="I471" s="27" t="s">
        <v>2656</v>
      </c>
      <c r="J471" s="98" t="s">
        <v>178</v>
      </c>
      <c r="K471" s="28">
        <v>29877</v>
      </c>
      <c r="L471" s="82" t="s">
        <v>179</v>
      </c>
      <c r="M471" s="25">
        <v>43680</v>
      </c>
      <c r="N471" s="25"/>
      <c r="O471" s="25" t="s">
        <v>34</v>
      </c>
      <c r="P471" s="18" t="s">
        <v>2498</v>
      </c>
      <c r="Q471" s="18" t="s">
        <v>249</v>
      </c>
      <c r="R471" s="13" t="s">
        <v>182</v>
      </c>
      <c r="S471" s="13" t="s">
        <v>3126</v>
      </c>
      <c r="T471" s="175"/>
      <c r="U471" s="175"/>
      <c r="V471" s="21" t="s">
        <v>184</v>
      </c>
      <c r="W471" s="21" t="s">
        <v>184</v>
      </c>
      <c r="X471" s="1">
        <v>5</v>
      </c>
      <c r="Y471" s="176" t="s">
        <v>3127</v>
      </c>
      <c r="Z471" s="86" t="s">
        <v>186</v>
      </c>
      <c r="AA471" s="86"/>
      <c r="AB471" s="1"/>
      <c r="AC471" s="123"/>
      <c r="AD471" s="218"/>
      <c r="AE471" s="218"/>
      <c r="AF471" s="219"/>
      <c r="AG471" s="220"/>
      <c r="AH471" s="221"/>
      <c r="AI471" s="221"/>
      <c r="AJ471" s="97" t="s">
        <v>203</v>
      </c>
      <c r="AK471" s="97" t="s">
        <v>190</v>
      </c>
      <c r="AL471" s="97" t="s">
        <v>190</v>
      </c>
      <c r="AM471" s="123" t="s">
        <v>2349</v>
      </c>
      <c r="AN471" s="22">
        <v>182</v>
      </c>
      <c r="AO471" s="22">
        <v>0</v>
      </c>
      <c r="AP471" s="22">
        <v>20</v>
      </c>
      <c r="AQ471" s="22">
        <v>0</v>
      </c>
      <c r="AR471" s="22">
        <v>0</v>
      </c>
      <c r="AS471" s="22">
        <v>7</v>
      </c>
      <c r="AT471" s="22">
        <v>10</v>
      </c>
      <c r="AU471" s="316">
        <f t="shared" si="78"/>
        <v>219</v>
      </c>
      <c r="AV471" s="22">
        <v>190</v>
      </c>
      <c r="AW471" s="22">
        <v>0</v>
      </c>
      <c r="AX471" s="22">
        <v>20</v>
      </c>
      <c r="AY471" s="22">
        <v>0</v>
      </c>
      <c r="AZ471" s="22">
        <v>0</v>
      </c>
      <c r="BA471" s="22">
        <v>7</v>
      </c>
      <c r="BB471" s="22">
        <v>10</v>
      </c>
      <c r="BC471" s="316">
        <f t="shared" si="79"/>
        <v>227</v>
      </c>
      <c r="BD471" s="58">
        <f t="shared" si="80"/>
        <v>8</v>
      </c>
      <c r="BE471" s="58">
        <f t="shared" si="81"/>
        <v>0</v>
      </c>
      <c r="BF471" s="58">
        <f t="shared" si="82"/>
        <v>0</v>
      </c>
      <c r="BG471" s="58">
        <f t="shared" si="83"/>
        <v>0</v>
      </c>
      <c r="BH471" s="58">
        <f t="shared" si="84"/>
        <v>0</v>
      </c>
      <c r="BI471" s="58">
        <f t="shared" si="85"/>
        <v>0</v>
      </c>
      <c r="BJ471" s="58">
        <f t="shared" si="86"/>
        <v>0</v>
      </c>
      <c r="BK471" s="58">
        <f t="shared" si="87"/>
        <v>8</v>
      </c>
    </row>
    <row r="472" spans="1:63" ht="27" customHeight="1">
      <c r="A472" s="238">
        <f t="shared" si="88"/>
        <v>470</v>
      </c>
      <c r="B472" s="239"/>
      <c r="C472" s="240">
        <v>3076</v>
      </c>
      <c r="D472" s="241" t="s">
        <v>3128</v>
      </c>
      <c r="E472" s="242" t="s">
        <v>3129</v>
      </c>
      <c r="F472" s="243" t="s">
        <v>1814</v>
      </c>
      <c r="G472" s="244" t="s">
        <v>3130</v>
      </c>
      <c r="H472" s="245" t="s">
        <v>3131</v>
      </c>
      <c r="I472" s="246" t="s">
        <v>3132</v>
      </c>
      <c r="J472" s="247" t="s">
        <v>209</v>
      </c>
      <c r="K472" s="248">
        <v>31856</v>
      </c>
      <c r="L472" s="249" t="s">
        <v>179</v>
      </c>
      <c r="M472" s="250">
        <v>43711</v>
      </c>
      <c r="N472" s="250"/>
      <c r="O472" s="250" t="s">
        <v>34</v>
      </c>
      <c r="P472" s="238" t="s">
        <v>386</v>
      </c>
      <c r="Q472" s="238" t="s">
        <v>181</v>
      </c>
      <c r="R472" s="238" t="s">
        <v>182</v>
      </c>
      <c r="S472" s="238" t="s">
        <v>2359</v>
      </c>
      <c r="T472" s="251"/>
      <c r="U472" s="251"/>
      <c r="V472" s="252" t="s">
        <v>200</v>
      </c>
      <c r="W472" s="252" t="s">
        <v>200</v>
      </c>
      <c r="X472" s="252">
        <v>9</v>
      </c>
      <c r="Y472" s="253" t="s">
        <v>3133</v>
      </c>
      <c r="Z472" s="254"/>
      <c r="AA472" s="254" t="s">
        <v>186</v>
      </c>
      <c r="AB472" s="252"/>
      <c r="AC472" s="255"/>
      <c r="AD472" s="256"/>
      <c r="AE472" s="256"/>
      <c r="AF472" s="257"/>
      <c r="AG472" s="258"/>
      <c r="AH472" s="259"/>
      <c r="AI472" s="259"/>
      <c r="AJ472" s="260" t="s">
        <v>203</v>
      </c>
      <c r="AK472" s="260" t="s">
        <v>190</v>
      </c>
      <c r="AL472" s="260" t="s">
        <v>190</v>
      </c>
      <c r="AM472" s="255" t="s">
        <v>2349</v>
      </c>
      <c r="AN472" s="22">
        <v>182</v>
      </c>
      <c r="AO472" s="22">
        <v>0</v>
      </c>
      <c r="AP472" s="22">
        <v>0</v>
      </c>
      <c r="AQ472" s="22">
        <v>0</v>
      </c>
      <c r="AR472" s="22">
        <v>0</v>
      </c>
      <c r="AS472" s="22">
        <v>7</v>
      </c>
      <c r="AT472" s="22">
        <v>10</v>
      </c>
      <c r="AU472" s="316">
        <f t="shared" si="78"/>
        <v>199</v>
      </c>
      <c r="AV472" s="22">
        <v>190</v>
      </c>
      <c r="AW472" s="22">
        <v>0</v>
      </c>
      <c r="AX472" s="22">
        <v>0</v>
      </c>
      <c r="AY472" s="22">
        <v>0</v>
      </c>
      <c r="AZ472" s="22">
        <v>0</v>
      </c>
      <c r="BA472" s="22">
        <v>7</v>
      </c>
      <c r="BB472" s="22">
        <v>10</v>
      </c>
      <c r="BC472" s="316">
        <f t="shared" si="79"/>
        <v>207</v>
      </c>
      <c r="BD472" s="58">
        <f t="shared" si="80"/>
        <v>8</v>
      </c>
      <c r="BE472" s="58">
        <f t="shared" si="81"/>
        <v>0</v>
      </c>
      <c r="BF472" s="58">
        <f t="shared" si="82"/>
        <v>0</v>
      </c>
      <c r="BG472" s="58">
        <f t="shared" si="83"/>
        <v>0</v>
      </c>
      <c r="BH472" s="58">
        <f t="shared" si="84"/>
        <v>0</v>
      </c>
      <c r="BI472" s="58">
        <f t="shared" si="85"/>
        <v>0</v>
      </c>
      <c r="BJ472" s="58">
        <f t="shared" si="86"/>
        <v>0</v>
      </c>
      <c r="BK472" s="58">
        <f t="shared" si="87"/>
        <v>8</v>
      </c>
    </row>
    <row r="473" spans="1:63" ht="27" customHeight="1">
      <c r="A473" s="238">
        <f t="shared" si="88"/>
        <v>471</v>
      </c>
      <c r="B473" s="239"/>
      <c r="C473" s="239">
        <v>3083</v>
      </c>
      <c r="D473" s="241" t="s">
        <v>3134</v>
      </c>
      <c r="E473" s="242" t="s">
        <v>3135</v>
      </c>
      <c r="F473" s="243" t="s">
        <v>3038</v>
      </c>
      <c r="G473" s="244" t="s">
        <v>3136</v>
      </c>
      <c r="H473" s="245" t="s">
        <v>3137</v>
      </c>
      <c r="I473" s="246" t="s">
        <v>3138</v>
      </c>
      <c r="J473" s="247" t="s">
        <v>209</v>
      </c>
      <c r="K473" s="248">
        <v>34992</v>
      </c>
      <c r="L473" s="249" t="s">
        <v>179</v>
      </c>
      <c r="M473" s="250">
        <v>43712</v>
      </c>
      <c r="N473" s="250"/>
      <c r="O473" s="250" t="s">
        <v>34</v>
      </c>
      <c r="P473" s="238" t="s">
        <v>102</v>
      </c>
      <c r="Q473" s="238" t="s">
        <v>181</v>
      </c>
      <c r="R473" s="238" t="s">
        <v>182</v>
      </c>
      <c r="S473" s="238" t="s">
        <v>2359</v>
      </c>
      <c r="T473" s="251"/>
      <c r="U473" s="251"/>
      <c r="V473" s="252" t="s">
        <v>200</v>
      </c>
      <c r="W473" s="252" t="s">
        <v>200</v>
      </c>
      <c r="X473" s="252">
        <v>9</v>
      </c>
      <c r="Y473" s="253" t="s">
        <v>3139</v>
      </c>
      <c r="Z473" s="254" t="s">
        <v>186</v>
      </c>
      <c r="AA473" s="254"/>
      <c r="AB473" s="252"/>
      <c r="AC473" s="255"/>
      <c r="AD473" s="256"/>
      <c r="AE473" s="256"/>
      <c r="AF473" s="257"/>
      <c r="AG473" s="258"/>
      <c r="AH473" s="259"/>
      <c r="AI473" s="259"/>
      <c r="AJ473" s="260" t="s">
        <v>203</v>
      </c>
      <c r="AK473" s="260" t="s">
        <v>190</v>
      </c>
      <c r="AL473" s="260" t="s">
        <v>190</v>
      </c>
      <c r="AM473" s="255" t="s">
        <v>2349</v>
      </c>
      <c r="AN473" s="22">
        <v>182</v>
      </c>
      <c r="AO473" s="22">
        <v>0</v>
      </c>
      <c r="AP473" s="22">
        <v>143</v>
      </c>
      <c r="AQ473" s="22">
        <v>208</v>
      </c>
      <c r="AR473" s="22">
        <v>10</v>
      </c>
      <c r="AS473" s="22">
        <v>7</v>
      </c>
      <c r="AT473" s="22">
        <v>10</v>
      </c>
      <c r="AU473" s="316">
        <f t="shared" si="78"/>
        <v>560</v>
      </c>
      <c r="AV473" s="22">
        <v>190</v>
      </c>
      <c r="AW473" s="22">
        <v>0</v>
      </c>
      <c r="AX473" s="22">
        <v>143</v>
      </c>
      <c r="AY473" s="22">
        <v>208</v>
      </c>
      <c r="AZ473" s="22">
        <v>10</v>
      </c>
      <c r="BA473" s="22">
        <v>7</v>
      </c>
      <c r="BB473" s="22">
        <v>10</v>
      </c>
      <c r="BC473" s="316">
        <f t="shared" si="79"/>
        <v>568</v>
      </c>
      <c r="BD473" s="58">
        <f t="shared" si="80"/>
        <v>8</v>
      </c>
      <c r="BE473" s="58">
        <f t="shared" si="81"/>
        <v>0</v>
      </c>
      <c r="BF473" s="58">
        <f t="shared" si="82"/>
        <v>0</v>
      </c>
      <c r="BG473" s="58">
        <f t="shared" si="83"/>
        <v>0</v>
      </c>
      <c r="BH473" s="58">
        <f t="shared" si="84"/>
        <v>0</v>
      </c>
      <c r="BI473" s="58">
        <f t="shared" si="85"/>
        <v>0</v>
      </c>
      <c r="BJ473" s="58">
        <f t="shared" si="86"/>
        <v>0</v>
      </c>
      <c r="BK473" s="58">
        <f t="shared" si="87"/>
        <v>8</v>
      </c>
    </row>
    <row r="474" spans="1:63" ht="27" customHeight="1">
      <c r="A474" s="238">
        <f t="shared" si="88"/>
        <v>472</v>
      </c>
      <c r="B474" s="239"/>
      <c r="C474" s="239">
        <v>3081</v>
      </c>
      <c r="D474" s="241" t="s">
        <v>3140</v>
      </c>
      <c r="E474" s="242" t="s">
        <v>3141</v>
      </c>
      <c r="F474" s="243" t="s">
        <v>1178</v>
      </c>
      <c r="G474" s="244" t="s">
        <v>3142</v>
      </c>
      <c r="H474" s="245" t="s">
        <v>100</v>
      </c>
      <c r="I474" s="246" t="s">
        <v>3143</v>
      </c>
      <c r="J474" s="247" t="s">
        <v>178</v>
      </c>
      <c r="K474" s="248">
        <v>36809</v>
      </c>
      <c r="L474" s="249" t="s">
        <v>179</v>
      </c>
      <c r="M474" s="250">
        <v>43711</v>
      </c>
      <c r="N474" s="250"/>
      <c r="O474" s="250" t="s">
        <v>34</v>
      </c>
      <c r="P474" s="238" t="s">
        <v>102</v>
      </c>
      <c r="Q474" s="238" t="s">
        <v>181</v>
      </c>
      <c r="R474" s="238" t="s">
        <v>182</v>
      </c>
      <c r="S474" s="238" t="s">
        <v>2430</v>
      </c>
      <c r="T474" s="251"/>
      <c r="U474" s="251"/>
      <c r="V474" s="252" t="s">
        <v>200</v>
      </c>
      <c r="W474" s="252" t="s">
        <v>200</v>
      </c>
      <c r="X474" s="252">
        <v>12</v>
      </c>
      <c r="Y474" s="253" t="s">
        <v>3144</v>
      </c>
      <c r="Z474" s="254" t="s">
        <v>186</v>
      </c>
      <c r="AA474" s="254"/>
      <c r="AB474" s="252"/>
      <c r="AC474" s="255"/>
      <c r="AD474" s="256"/>
      <c r="AE474" s="256"/>
      <c r="AF474" s="257"/>
      <c r="AG474" s="258"/>
      <c r="AH474" s="259"/>
      <c r="AI474" s="259"/>
      <c r="AJ474" s="260" t="s">
        <v>203</v>
      </c>
      <c r="AK474" s="260" t="s">
        <v>190</v>
      </c>
      <c r="AL474" s="260" t="s">
        <v>190</v>
      </c>
      <c r="AM474" s="255" t="s">
        <v>2349</v>
      </c>
      <c r="AN474" s="22">
        <v>182</v>
      </c>
      <c r="AO474" s="22">
        <v>0</v>
      </c>
      <c r="AP474" s="22">
        <v>0</v>
      </c>
      <c r="AQ474" s="22">
        <v>20</v>
      </c>
      <c r="AR474" s="22">
        <v>0</v>
      </c>
      <c r="AS474" s="22">
        <v>7</v>
      </c>
      <c r="AT474" s="22">
        <v>10</v>
      </c>
      <c r="AU474" s="316">
        <f t="shared" si="78"/>
        <v>219</v>
      </c>
      <c r="AV474" s="22">
        <v>190</v>
      </c>
      <c r="AW474" s="22">
        <v>0</v>
      </c>
      <c r="AX474" s="22">
        <v>0</v>
      </c>
      <c r="AY474" s="22">
        <v>20</v>
      </c>
      <c r="AZ474" s="22">
        <v>0</v>
      </c>
      <c r="BA474" s="22">
        <v>7</v>
      </c>
      <c r="BB474" s="22">
        <v>10</v>
      </c>
      <c r="BC474" s="316">
        <f t="shared" si="79"/>
        <v>227</v>
      </c>
      <c r="BD474" s="58">
        <f t="shared" si="80"/>
        <v>8</v>
      </c>
      <c r="BE474" s="58">
        <f t="shared" si="81"/>
        <v>0</v>
      </c>
      <c r="BF474" s="58">
        <f t="shared" si="82"/>
        <v>0</v>
      </c>
      <c r="BG474" s="58">
        <f t="shared" si="83"/>
        <v>0</v>
      </c>
      <c r="BH474" s="58">
        <f t="shared" si="84"/>
        <v>0</v>
      </c>
      <c r="BI474" s="58">
        <f t="shared" si="85"/>
        <v>0</v>
      </c>
      <c r="BJ474" s="58">
        <f t="shared" si="86"/>
        <v>0</v>
      </c>
      <c r="BK474" s="58">
        <f t="shared" si="87"/>
        <v>8</v>
      </c>
    </row>
    <row r="475" spans="1:63" ht="27" customHeight="1">
      <c r="A475" s="238">
        <f t="shared" si="88"/>
        <v>473</v>
      </c>
      <c r="B475" s="239"/>
      <c r="C475" s="239">
        <v>3090</v>
      </c>
      <c r="D475" s="241" t="s">
        <v>3145</v>
      </c>
      <c r="E475" s="242" t="s">
        <v>3146</v>
      </c>
      <c r="F475" s="243" t="s">
        <v>3147</v>
      </c>
      <c r="G475" s="244" t="s">
        <v>3148</v>
      </c>
      <c r="H475" s="245" t="s">
        <v>3149</v>
      </c>
      <c r="I475" s="246" t="s">
        <v>3150</v>
      </c>
      <c r="J475" s="247" t="s">
        <v>178</v>
      </c>
      <c r="K475" s="248">
        <v>34375</v>
      </c>
      <c r="L475" s="249" t="s">
        <v>179</v>
      </c>
      <c r="M475" s="250">
        <v>43718</v>
      </c>
      <c r="N475" s="250"/>
      <c r="O475" s="250" t="s">
        <v>34</v>
      </c>
      <c r="P475" s="238" t="s">
        <v>339</v>
      </c>
      <c r="Q475" s="238" t="s">
        <v>181</v>
      </c>
      <c r="R475" s="238" t="s">
        <v>182</v>
      </c>
      <c r="S475" s="238" t="s">
        <v>2359</v>
      </c>
      <c r="T475" s="251"/>
      <c r="U475" s="251"/>
      <c r="V475" s="252" t="s">
        <v>184</v>
      </c>
      <c r="W475" s="252" t="s">
        <v>184</v>
      </c>
      <c r="X475" s="252">
        <v>5</v>
      </c>
      <c r="Y475" s="253" t="s">
        <v>3151</v>
      </c>
      <c r="Z475" s="254"/>
      <c r="AA475" s="254" t="s">
        <v>186</v>
      </c>
      <c r="AB475" s="252"/>
      <c r="AC475" s="255"/>
      <c r="AD475" s="256"/>
      <c r="AE475" s="256"/>
      <c r="AF475" s="257"/>
      <c r="AG475" s="258"/>
      <c r="AH475" s="259"/>
      <c r="AI475" s="259"/>
      <c r="AJ475" s="260" t="s">
        <v>203</v>
      </c>
      <c r="AK475" s="260" t="s">
        <v>190</v>
      </c>
      <c r="AL475" s="260" t="s">
        <v>190</v>
      </c>
      <c r="AM475" s="255" t="s">
        <v>2349</v>
      </c>
      <c r="AN475" s="22">
        <v>182</v>
      </c>
      <c r="AO475" s="22">
        <v>0</v>
      </c>
      <c r="AP475" s="22">
        <v>0</v>
      </c>
      <c r="AQ475" s="22">
        <v>0</v>
      </c>
      <c r="AR475" s="22">
        <v>0</v>
      </c>
      <c r="AS475" s="22">
        <v>7</v>
      </c>
      <c r="AT475" s="22">
        <v>10</v>
      </c>
      <c r="AU475" s="316">
        <f t="shared" si="78"/>
        <v>199</v>
      </c>
      <c r="AV475" s="22">
        <v>190</v>
      </c>
      <c r="AW475" s="22">
        <v>0</v>
      </c>
      <c r="AX475" s="22">
        <v>0</v>
      </c>
      <c r="AY475" s="22">
        <v>0</v>
      </c>
      <c r="AZ475" s="22">
        <v>0</v>
      </c>
      <c r="BA475" s="22">
        <v>7</v>
      </c>
      <c r="BB475" s="22">
        <v>10</v>
      </c>
      <c r="BC475" s="316">
        <f t="shared" si="79"/>
        <v>207</v>
      </c>
      <c r="BD475" s="58">
        <f t="shared" si="80"/>
        <v>8</v>
      </c>
      <c r="BE475" s="58">
        <f t="shared" si="81"/>
        <v>0</v>
      </c>
      <c r="BF475" s="58">
        <f t="shared" si="82"/>
        <v>0</v>
      </c>
      <c r="BG475" s="58">
        <f t="shared" si="83"/>
        <v>0</v>
      </c>
      <c r="BH475" s="58">
        <f t="shared" si="84"/>
        <v>0</v>
      </c>
      <c r="BI475" s="58">
        <f t="shared" si="85"/>
        <v>0</v>
      </c>
      <c r="BJ475" s="58">
        <f t="shared" si="86"/>
        <v>0</v>
      </c>
      <c r="BK475" s="58">
        <f t="shared" si="87"/>
        <v>8</v>
      </c>
    </row>
    <row r="476" spans="1:63" ht="27" customHeight="1">
      <c r="A476" s="238">
        <f t="shared" si="88"/>
        <v>474</v>
      </c>
      <c r="B476" s="239"/>
      <c r="C476" s="239">
        <v>3085</v>
      </c>
      <c r="D476" s="241" t="s">
        <v>3152</v>
      </c>
      <c r="E476" s="242" t="s">
        <v>3153</v>
      </c>
      <c r="F476" s="243" t="s">
        <v>2638</v>
      </c>
      <c r="G476" s="244" t="s">
        <v>2310</v>
      </c>
      <c r="H476" s="245" t="s">
        <v>43</v>
      </c>
      <c r="I476" s="246" t="s">
        <v>2841</v>
      </c>
      <c r="J476" s="247" t="s">
        <v>209</v>
      </c>
      <c r="K476" s="248">
        <v>31474</v>
      </c>
      <c r="L476" s="249" t="s">
        <v>179</v>
      </c>
      <c r="M476" s="250">
        <v>43718</v>
      </c>
      <c r="N476" s="250"/>
      <c r="O476" s="250" t="s">
        <v>34</v>
      </c>
      <c r="P476" s="238" t="s">
        <v>552</v>
      </c>
      <c r="Q476" s="238" t="s">
        <v>181</v>
      </c>
      <c r="R476" s="238" t="s">
        <v>182</v>
      </c>
      <c r="S476" s="238" t="s">
        <v>2430</v>
      </c>
      <c r="T476" s="251"/>
      <c r="U476" s="251"/>
      <c r="V476" s="252" t="s">
        <v>184</v>
      </c>
      <c r="W476" s="252" t="s">
        <v>184</v>
      </c>
      <c r="X476" s="252">
        <v>7</v>
      </c>
      <c r="Y476" s="253" t="s">
        <v>3154</v>
      </c>
      <c r="Z476" s="254" t="s">
        <v>186</v>
      </c>
      <c r="AA476" s="254"/>
      <c r="AB476" s="252"/>
      <c r="AC476" s="255"/>
      <c r="AD476" s="256"/>
      <c r="AE476" s="256"/>
      <c r="AF476" s="257"/>
      <c r="AG476" s="258"/>
      <c r="AH476" s="259"/>
      <c r="AI476" s="259"/>
      <c r="AJ476" s="260" t="s">
        <v>203</v>
      </c>
      <c r="AK476" s="260" t="s">
        <v>190</v>
      </c>
      <c r="AL476" s="260" t="s">
        <v>190</v>
      </c>
      <c r="AM476" s="255" t="s">
        <v>2349</v>
      </c>
      <c r="AN476" s="22">
        <v>182</v>
      </c>
      <c r="AO476" s="22">
        <v>0</v>
      </c>
      <c r="AP476" s="22">
        <v>20</v>
      </c>
      <c r="AQ476" s="22">
        <v>0</v>
      </c>
      <c r="AR476" s="22">
        <v>0</v>
      </c>
      <c r="AS476" s="22">
        <v>7</v>
      </c>
      <c r="AT476" s="22">
        <v>10</v>
      </c>
      <c r="AU476" s="316">
        <f t="shared" si="78"/>
        <v>219</v>
      </c>
      <c r="AV476" s="22">
        <v>190</v>
      </c>
      <c r="AW476" s="22">
        <v>0</v>
      </c>
      <c r="AX476" s="22">
        <v>20</v>
      </c>
      <c r="AY476" s="22">
        <v>0</v>
      </c>
      <c r="AZ476" s="22">
        <v>0</v>
      </c>
      <c r="BA476" s="22">
        <v>7</v>
      </c>
      <c r="BB476" s="22">
        <v>10</v>
      </c>
      <c r="BC476" s="316">
        <f t="shared" si="79"/>
        <v>227</v>
      </c>
      <c r="BD476" s="58">
        <f t="shared" si="80"/>
        <v>8</v>
      </c>
      <c r="BE476" s="58">
        <f t="shared" si="81"/>
        <v>0</v>
      </c>
      <c r="BF476" s="58">
        <f t="shared" si="82"/>
        <v>0</v>
      </c>
      <c r="BG476" s="58">
        <f t="shared" si="83"/>
        <v>0</v>
      </c>
      <c r="BH476" s="58">
        <f t="shared" si="84"/>
        <v>0</v>
      </c>
      <c r="BI476" s="58">
        <f t="shared" si="85"/>
        <v>0</v>
      </c>
      <c r="BJ476" s="58">
        <f t="shared" si="86"/>
        <v>0</v>
      </c>
      <c r="BK476" s="58">
        <f t="shared" si="87"/>
        <v>8</v>
      </c>
    </row>
    <row r="477" spans="1:63" ht="27" customHeight="1">
      <c r="A477" s="238">
        <f t="shared" si="88"/>
        <v>475</v>
      </c>
      <c r="B477" s="239"/>
      <c r="C477" s="239">
        <v>3084</v>
      </c>
      <c r="D477" s="241">
        <v>0</v>
      </c>
      <c r="E477" s="242" t="s">
        <v>3155</v>
      </c>
      <c r="F477" s="243" t="s">
        <v>3156</v>
      </c>
      <c r="G477" s="244" t="s">
        <v>3157</v>
      </c>
      <c r="H477" s="245" t="s">
        <v>55</v>
      </c>
      <c r="I477" s="246" t="s">
        <v>56</v>
      </c>
      <c r="J477" s="247" t="s">
        <v>178</v>
      </c>
      <c r="K477" s="248">
        <v>33999</v>
      </c>
      <c r="L477" s="249" t="s">
        <v>179</v>
      </c>
      <c r="M477" s="250">
        <v>43715</v>
      </c>
      <c r="N477" s="250"/>
      <c r="O477" s="250" t="s">
        <v>34</v>
      </c>
      <c r="P477" s="238" t="s">
        <v>15</v>
      </c>
      <c r="Q477" s="238" t="s">
        <v>181</v>
      </c>
      <c r="R477" s="238" t="s">
        <v>182</v>
      </c>
      <c r="S477" s="238" t="s">
        <v>2484</v>
      </c>
      <c r="T477" s="251"/>
      <c r="U477" s="251"/>
      <c r="V477" s="252" t="s">
        <v>184</v>
      </c>
      <c r="W477" s="252" t="s">
        <v>184</v>
      </c>
      <c r="X477" s="252">
        <v>5</v>
      </c>
      <c r="Y477" s="253" t="s">
        <v>3158</v>
      </c>
      <c r="Z477" s="254"/>
      <c r="AA477" s="254" t="s">
        <v>186</v>
      </c>
      <c r="AB477" s="252"/>
      <c r="AC477" s="255"/>
      <c r="AD477" s="256" t="s">
        <v>188</v>
      </c>
      <c r="AE477" s="256" t="s">
        <v>189</v>
      </c>
      <c r="AF477" s="257"/>
      <c r="AG477" s="258"/>
      <c r="AH477" s="259"/>
      <c r="AI477" s="259"/>
      <c r="AJ477" s="260" t="s">
        <v>203</v>
      </c>
      <c r="AK477" s="260" t="s">
        <v>190</v>
      </c>
      <c r="AL477" s="260" t="s">
        <v>190</v>
      </c>
      <c r="AM477" s="255" t="s">
        <v>2349</v>
      </c>
      <c r="AN477" s="22">
        <v>182</v>
      </c>
      <c r="AO477" s="22">
        <v>0</v>
      </c>
      <c r="AP477" s="22">
        <v>0</v>
      </c>
      <c r="AQ477" s="22">
        <v>0</v>
      </c>
      <c r="AR477" s="22">
        <v>0</v>
      </c>
      <c r="AS477" s="22">
        <v>7</v>
      </c>
      <c r="AT477" s="22">
        <v>10</v>
      </c>
      <c r="AU477" s="316">
        <f t="shared" si="78"/>
        <v>199</v>
      </c>
      <c r="AV477" s="22">
        <v>190</v>
      </c>
      <c r="AW477" s="22">
        <v>0</v>
      </c>
      <c r="AX477" s="22">
        <v>0</v>
      </c>
      <c r="AY477" s="22">
        <v>0</v>
      </c>
      <c r="AZ477" s="22">
        <v>0</v>
      </c>
      <c r="BA477" s="22">
        <v>7</v>
      </c>
      <c r="BB477" s="22">
        <v>10</v>
      </c>
      <c r="BC477" s="316">
        <f t="shared" si="79"/>
        <v>207</v>
      </c>
      <c r="BD477" s="58">
        <f t="shared" si="80"/>
        <v>8</v>
      </c>
      <c r="BE477" s="58">
        <f t="shared" si="81"/>
        <v>0</v>
      </c>
      <c r="BF477" s="58">
        <f t="shared" si="82"/>
        <v>0</v>
      </c>
      <c r="BG477" s="58">
        <f t="shared" si="83"/>
        <v>0</v>
      </c>
      <c r="BH477" s="58">
        <f t="shared" si="84"/>
        <v>0</v>
      </c>
      <c r="BI477" s="58">
        <f t="shared" si="85"/>
        <v>0</v>
      </c>
      <c r="BJ477" s="58">
        <f t="shared" si="86"/>
        <v>0</v>
      </c>
      <c r="BK477" s="58">
        <f t="shared" si="87"/>
        <v>8</v>
      </c>
    </row>
    <row r="478" spans="1:63" ht="27" customHeight="1">
      <c r="A478" s="238">
        <f t="shared" si="88"/>
        <v>476</v>
      </c>
      <c r="B478" s="239"/>
      <c r="C478" s="239">
        <v>3075</v>
      </c>
      <c r="D478" s="241" t="s">
        <v>3159</v>
      </c>
      <c r="E478" s="242" t="s">
        <v>3160</v>
      </c>
      <c r="F478" s="243" t="s">
        <v>3161</v>
      </c>
      <c r="G478" s="244" t="s">
        <v>3162</v>
      </c>
      <c r="H478" s="245" t="s">
        <v>3163</v>
      </c>
      <c r="I478" s="246" t="s">
        <v>3164</v>
      </c>
      <c r="J478" s="247" t="s">
        <v>178</v>
      </c>
      <c r="K478" s="248">
        <v>31202</v>
      </c>
      <c r="L478" s="249" t="s">
        <v>179</v>
      </c>
      <c r="M478" s="250">
        <v>43710</v>
      </c>
      <c r="N478" s="250"/>
      <c r="O478" s="250" t="s">
        <v>34</v>
      </c>
      <c r="P478" s="238" t="s">
        <v>265</v>
      </c>
      <c r="Q478" s="238" t="s">
        <v>181</v>
      </c>
      <c r="R478" s="238" t="s">
        <v>182</v>
      </c>
      <c r="S478" s="238" t="s">
        <v>2384</v>
      </c>
      <c r="T478" s="251"/>
      <c r="U478" s="251"/>
      <c r="V478" s="252" t="s">
        <v>184</v>
      </c>
      <c r="W478" s="252" t="s">
        <v>184</v>
      </c>
      <c r="X478" s="252">
        <v>7</v>
      </c>
      <c r="Y478" s="253" t="s">
        <v>3165</v>
      </c>
      <c r="Z478" s="254"/>
      <c r="AA478" s="254" t="s">
        <v>186</v>
      </c>
      <c r="AB478" s="252"/>
      <c r="AC478" s="255"/>
      <c r="AD478" s="256" t="s">
        <v>188</v>
      </c>
      <c r="AE478" s="256" t="s">
        <v>189</v>
      </c>
      <c r="AF478" s="257"/>
      <c r="AG478" s="258"/>
      <c r="AH478" s="259"/>
      <c r="AI478" s="259"/>
      <c r="AJ478" s="260" t="s">
        <v>203</v>
      </c>
      <c r="AK478" s="260" t="s">
        <v>190</v>
      </c>
      <c r="AL478" s="260" t="s">
        <v>190</v>
      </c>
      <c r="AM478" s="255" t="s">
        <v>3166</v>
      </c>
      <c r="AN478" s="22">
        <v>182</v>
      </c>
      <c r="AO478" s="22">
        <v>0</v>
      </c>
      <c r="AP478" s="22">
        <v>0</v>
      </c>
      <c r="AQ478" s="22">
        <v>0</v>
      </c>
      <c r="AR478" s="22">
        <v>0</v>
      </c>
      <c r="AS478" s="22">
        <v>7</v>
      </c>
      <c r="AT478" s="22">
        <v>10</v>
      </c>
      <c r="AU478" s="316">
        <f t="shared" si="78"/>
        <v>199</v>
      </c>
      <c r="AV478" s="22">
        <v>190</v>
      </c>
      <c r="AW478" s="22">
        <v>0</v>
      </c>
      <c r="AX478" s="22">
        <v>0</v>
      </c>
      <c r="AY478" s="22">
        <v>0</v>
      </c>
      <c r="AZ478" s="22">
        <v>0</v>
      </c>
      <c r="BA478" s="22">
        <v>7</v>
      </c>
      <c r="BB478" s="22">
        <v>10</v>
      </c>
      <c r="BC478" s="316">
        <f t="shared" si="79"/>
        <v>207</v>
      </c>
      <c r="BD478" s="58">
        <f t="shared" si="80"/>
        <v>8</v>
      </c>
      <c r="BE478" s="58">
        <f t="shared" si="81"/>
        <v>0</v>
      </c>
      <c r="BF478" s="58">
        <f t="shared" si="82"/>
        <v>0</v>
      </c>
      <c r="BG478" s="58">
        <f t="shared" si="83"/>
        <v>0</v>
      </c>
      <c r="BH478" s="58">
        <f t="shared" si="84"/>
        <v>0</v>
      </c>
      <c r="BI478" s="58">
        <f t="shared" si="85"/>
        <v>0</v>
      </c>
      <c r="BJ478" s="58">
        <f t="shared" si="86"/>
        <v>0</v>
      </c>
      <c r="BK478" s="58">
        <f t="shared" si="87"/>
        <v>8</v>
      </c>
    </row>
    <row r="479" spans="1:63" ht="27" customHeight="1">
      <c r="A479" s="238">
        <f t="shared" si="88"/>
        <v>477</v>
      </c>
      <c r="B479" s="239"/>
      <c r="C479" s="239">
        <v>3096</v>
      </c>
      <c r="D479" s="241" t="s">
        <v>3167</v>
      </c>
      <c r="E479" s="242" t="s">
        <v>3168</v>
      </c>
      <c r="F479" s="243" t="s">
        <v>3169</v>
      </c>
      <c r="G479" s="244" t="s">
        <v>3170</v>
      </c>
      <c r="H479" s="245" t="s">
        <v>3171</v>
      </c>
      <c r="I479" s="246" t="s">
        <v>3172</v>
      </c>
      <c r="J479" s="247" t="s">
        <v>209</v>
      </c>
      <c r="K479" s="248">
        <v>34490</v>
      </c>
      <c r="L479" s="249" t="s">
        <v>179</v>
      </c>
      <c r="M479" s="250">
        <v>43727</v>
      </c>
      <c r="N479" s="250"/>
      <c r="O479" s="250" t="s">
        <v>34</v>
      </c>
      <c r="P479" s="238" t="s">
        <v>348</v>
      </c>
      <c r="Q479" s="238" t="s">
        <v>181</v>
      </c>
      <c r="R479" s="238" t="s">
        <v>182</v>
      </c>
      <c r="S479" s="238" t="s">
        <v>2384</v>
      </c>
      <c r="T479" s="251"/>
      <c r="U479" s="251"/>
      <c r="V479" s="252" t="s">
        <v>184</v>
      </c>
      <c r="W479" s="252" t="s">
        <v>184</v>
      </c>
      <c r="X479" s="252">
        <v>12</v>
      </c>
      <c r="Y479" s="253" t="s">
        <v>3173</v>
      </c>
      <c r="Z479" s="254"/>
      <c r="AA479" s="254" t="s">
        <v>186</v>
      </c>
      <c r="AB479" s="252"/>
      <c r="AC479" s="255"/>
      <c r="AD479" s="256"/>
      <c r="AE479" s="256"/>
      <c r="AF479" s="257"/>
      <c r="AG479" s="258"/>
      <c r="AH479" s="259"/>
      <c r="AI479" s="259"/>
      <c r="AJ479" s="260" t="s">
        <v>203</v>
      </c>
      <c r="AK479" s="260" t="s">
        <v>190</v>
      </c>
      <c r="AL479" s="260" t="s">
        <v>190</v>
      </c>
      <c r="AM479" s="255" t="s">
        <v>3174</v>
      </c>
      <c r="AN479" s="22">
        <v>182</v>
      </c>
      <c r="AO479" s="22">
        <v>0</v>
      </c>
      <c r="AP479" s="22">
        <v>0</v>
      </c>
      <c r="AQ479" s="22">
        <v>0</v>
      </c>
      <c r="AR479" s="22">
        <v>0</v>
      </c>
      <c r="AS479" s="22">
        <v>7</v>
      </c>
      <c r="AT479" s="22">
        <v>10</v>
      </c>
      <c r="AU479" s="316">
        <f t="shared" si="78"/>
        <v>199</v>
      </c>
      <c r="AV479" s="22">
        <v>190</v>
      </c>
      <c r="AW479" s="22">
        <v>0</v>
      </c>
      <c r="AX479" s="22">
        <v>0</v>
      </c>
      <c r="AY479" s="22">
        <v>0</v>
      </c>
      <c r="AZ479" s="22">
        <v>0</v>
      </c>
      <c r="BA479" s="22">
        <v>7</v>
      </c>
      <c r="BB479" s="22">
        <v>10</v>
      </c>
      <c r="BC479" s="316">
        <f t="shared" si="79"/>
        <v>207</v>
      </c>
      <c r="BD479" s="58">
        <f t="shared" si="80"/>
        <v>8</v>
      </c>
      <c r="BE479" s="58">
        <f t="shared" si="81"/>
        <v>0</v>
      </c>
      <c r="BF479" s="58">
        <f t="shared" si="82"/>
        <v>0</v>
      </c>
      <c r="BG479" s="58">
        <f t="shared" si="83"/>
        <v>0</v>
      </c>
      <c r="BH479" s="58">
        <f t="shared" si="84"/>
        <v>0</v>
      </c>
      <c r="BI479" s="58">
        <f t="shared" si="85"/>
        <v>0</v>
      </c>
      <c r="BJ479" s="58">
        <f t="shared" si="86"/>
        <v>0</v>
      </c>
      <c r="BK479" s="58">
        <f t="shared" si="87"/>
        <v>8</v>
      </c>
    </row>
    <row r="480" spans="1:63" ht="27" customHeight="1">
      <c r="A480" s="238">
        <f t="shared" si="88"/>
        <v>478</v>
      </c>
      <c r="B480" s="239"/>
      <c r="C480" s="239">
        <v>3094</v>
      </c>
      <c r="D480" s="241" t="s">
        <v>3175</v>
      </c>
      <c r="E480" s="242" t="s">
        <v>3176</v>
      </c>
      <c r="F480" s="243" t="s">
        <v>195</v>
      </c>
      <c r="G480" s="244" t="s">
        <v>3177</v>
      </c>
      <c r="H480" s="245" t="s">
        <v>96</v>
      </c>
      <c r="I480" s="246" t="s">
        <v>3178</v>
      </c>
      <c r="J480" s="247" t="s">
        <v>178</v>
      </c>
      <c r="K480" s="248">
        <v>31079</v>
      </c>
      <c r="L480" s="249" t="s">
        <v>179</v>
      </c>
      <c r="M480" s="250">
        <v>43725</v>
      </c>
      <c r="N480" s="250"/>
      <c r="O480" s="250" t="s">
        <v>34</v>
      </c>
      <c r="P480" s="238" t="s">
        <v>512</v>
      </c>
      <c r="Q480" s="238" t="s">
        <v>181</v>
      </c>
      <c r="R480" s="238" t="s">
        <v>182</v>
      </c>
      <c r="S480" s="238" t="s">
        <v>2359</v>
      </c>
      <c r="T480" s="251"/>
      <c r="U480" s="251"/>
      <c r="V480" s="252" t="s">
        <v>184</v>
      </c>
      <c r="W480" s="252" t="s">
        <v>184</v>
      </c>
      <c r="X480" s="252">
        <v>2</v>
      </c>
      <c r="Y480" s="253" t="s">
        <v>3179</v>
      </c>
      <c r="Z480" s="254"/>
      <c r="AA480" s="254" t="s">
        <v>186</v>
      </c>
      <c r="AB480" s="252"/>
      <c r="AC480" s="255"/>
      <c r="AD480" s="256"/>
      <c r="AE480" s="256"/>
      <c r="AF480" s="257"/>
      <c r="AG480" s="258"/>
      <c r="AH480" s="259"/>
      <c r="AI480" s="259"/>
      <c r="AJ480" s="260" t="s">
        <v>203</v>
      </c>
      <c r="AK480" s="260" t="s">
        <v>190</v>
      </c>
      <c r="AL480" s="260" t="s">
        <v>190</v>
      </c>
      <c r="AM480" s="255" t="s">
        <v>2349</v>
      </c>
      <c r="AN480" s="22">
        <v>182</v>
      </c>
      <c r="AO480" s="22">
        <v>0</v>
      </c>
      <c r="AP480" s="22">
        <v>0</v>
      </c>
      <c r="AQ480" s="22">
        <v>0</v>
      </c>
      <c r="AR480" s="22">
        <v>0</v>
      </c>
      <c r="AS480" s="22">
        <v>7</v>
      </c>
      <c r="AT480" s="22">
        <v>10</v>
      </c>
      <c r="AU480" s="316">
        <f t="shared" si="78"/>
        <v>199</v>
      </c>
      <c r="AV480" s="22">
        <v>190</v>
      </c>
      <c r="AW480" s="22">
        <v>0</v>
      </c>
      <c r="AX480" s="22">
        <v>0</v>
      </c>
      <c r="AY480" s="22">
        <v>0</v>
      </c>
      <c r="AZ480" s="22">
        <v>0</v>
      </c>
      <c r="BA480" s="22">
        <v>7</v>
      </c>
      <c r="BB480" s="22">
        <v>10</v>
      </c>
      <c r="BC480" s="316">
        <f t="shared" si="79"/>
        <v>207</v>
      </c>
      <c r="BD480" s="58">
        <f t="shared" si="80"/>
        <v>8</v>
      </c>
      <c r="BE480" s="58">
        <f t="shared" si="81"/>
        <v>0</v>
      </c>
      <c r="BF480" s="58">
        <f t="shared" si="82"/>
        <v>0</v>
      </c>
      <c r="BG480" s="58">
        <f t="shared" si="83"/>
        <v>0</v>
      </c>
      <c r="BH480" s="58">
        <f t="shared" si="84"/>
        <v>0</v>
      </c>
      <c r="BI480" s="58">
        <f t="shared" si="85"/>
        <v>0</v>
      </c>
      <c r="BJ480" s="58">
        <f t="shared" si="86"/>
        <v>0</v>
      </c>
      <c r="BK480" s="58">
        <f t="shared" si="87"/>
        <v>8</v>
      </c>
    </row>
    <row r="481" spans="1:63" ht="27" customHeight="1">
      <c r="A481" s="238">
        <f t="shared" si="88"/>
        <v>479</v>
      </c>
      <c r="B481" s="239"/>
      <c r="C481" s="239">
        <v>3082</v>
      </c>
      <c r="D481" s="241" t="s">
        <v>3180</v>
      </c>
      <c r="E481" s="242" t="s">
        <v>3181</v>
      </c>
      <c r="F481" s="243" t="s">
        <v>3182</v>
      </c>
      <c r="G481" s="244" t="s">
        <v>1163</v>
      </c>
      <c r="H481" s="245" t="s">
        <v>3183</v>
      </c>
      <c r="I481" s="246" t="s">
        <v>3184</v>
      </c>
      <c r="J481" s="247" t="s">
        <v>178</v>
      </c>
      <c r="K481" s="248">
        <v>29596</v>
      </c>
      <c r="L481" s="249" t="s">
        <v>179</v>
      </c>
      <c r="M481" s="250">
        <v>43713</v>
      </c>
      <c r="N481" s="250"/>
      <c r="O481" s="250" t="s">
        <v>34</v>
      </c>
      <c r="P481" s="238" t="s">
        <v>309</v>
      </c>
      <c r="Q481" s="238" t="s">
        <v>181</v>
      </c>
      <c r="R481" s="238" t="s">
        <v>182</v>
      </c>
      <c r="S481" s="238" t="s">
        <v>2359</v>
      </c>
      <c r="T481" s="251"/>
      <c r="U481" s="251"/>
      <c r="V481" s="252" t="s">
        <v>200</v>
      </c>
      <c r="W481" s="252" t="s">
        <v>200</v>
      </c>
      <c r="X481" s="252">
        <v>9</v>
      </c>
      <c r="Y481" s="253" t="s">
        <v>3185</v>
      </c>
      <c r="Z481" s="254"/>
      <c r="AA481" s="254" t="s">
        <v>186</v>
      </c>
      <c r="AB481" s="252"/>
      <c r="AC481" s="255"/>
      <c r="AD481" s="256" t="s">
        <v>188</v>
      </c>
      <c r="AE481" s="256" t="s">
        <v>189</v>
      </c>
      <c r="AF481" s="257"/>
      <c r="AG481" s="258"/>
      <c r="AH481" s="259"/>
      <c r="AI481" s="259"/>
      <c r="AJ481" s="260" t="s">
        <v>203</v>
      </c>
      <c r="AK481" s="260" t="s">
        <v>190</v>
      </c>
      <c r="AL481" s="260" t="s">
        <v>190</v>
      </c>
      <c r="AM481" s="255" t="s">
        <v>2349</v>
      </c>
      <c r="AN481" s="22">
        <v>182</v>
      </c>
      <c r="AO481" s="22">
        <v>0</v>
      </c>
      <c r="AP481" s="22">
        <v>0</v>
      </c>
      <c r="AQ481" s="22">
        <v>0</v>
      </c>
      <c r="AR481" s="22">
        <v>0</v>
      </c>
      <c r="AS481" s="22">
        <v>7</v>
      </c>
      <c r="AT481" s="22">
        <v>10</v>
      </c>
      <c r="AU481" s="316">
        <f t="shared" si="78"/>
        <v>199</v>
      </c>
      <c r="AV481" s="22">
        <v>190</v>
      </c>
      <c r="AW481" s="22">
        <v>0</v>
      </c>
      <c r="AX481" s="22">
        <v>0</v>
      </c>
      <c r="AY481" s="22">
        <v>0</v>
      </c>
      <c r="AZ481" s="22">
        <v>0</v>
      </c>
      <c r="BA481" s="22">
        <v>7</v>
      </c>
      <c r="BB481" s="22">
        <v>10</v>
      </c>
      <c r="BC481" s="316">
        <f t="shared" si="79"/>
        <v>207</v>
      </c>
      <c r="BD481" s="58">
        <f t="shared" si="80"/>
        <v>8</v>
      </c>
      <c r="BE481" s="58">
        <f t="shared" si="81"/>
        <v>0</v>
      </c>
      <c r="BF481" s="58">
        <f t="shared" si="82"/>
        <v>0</v>
      </c>
      <c r="BG481" s="58">
        <f t="shared" si="83"/>
        <v>0</v>
      </c>
      <c r="BH481" s="58">
        <f t="shared" si="84"/>
        <v>0</v>
      </c>
      <c r="BI481" s="58">
        <f t="shared" si="85"/>
        <v>0</v>
      </c>
      <c r="BJ481" s="58">
        <f t="shared" si="86"/>
        <v>0</v>
      </c>
      <c r="BK481" s="58">
        <f t="shared" si="87"/>
        <v>8</v>
      </c>
    </row>
    <row r="482" spans="1:63" ht="27" customHeight="1">
      <c r="A482" s="238">
        <f t="shared" si="88"/>
        <v>480</v>
      </c>
      <c r="B482" s="239"/>
      <c r="C482" s="239">
        <v>3114</v>
      </c>
      <c r="D482" s="241">
        <v>19310192205674</v>
      </c>
      <c r="E482" s="242" t="s">
        <v>3186</v>
      </c>
      <c r="F482" s="243" t="s">
        <v>3187</v>
      </c>
      <c r="G482" s="244" t="s">
        <v>196</v>
      </c>
      <c r="H482" s="245" t="s">
        <v>3188</v>
      </c>
      <c r="I482" s="246" t="s">
        <v>3189</v>
      </c>
      <c r="J482" s="247" t="s">
        <v>209</v>
      </c>
      <c r="K482" s="248">
        <v>34303</v>
      </c>
      <c r="L482" s="249" t="s">
        <v>179</v>
      </c>
      <c r="M482" s="250">
        <v>43740</v>
      </c>
      <c r="N482" s="250"/>
      <c r="O482" s="250" t="s">
        <v>34</v>
      </c>
      <c r="P482" s="238" t="s">
        <v>15</v>
      </c>
      <c r="Q482" s="238" t="s">
        <v>181</v>
      </c>
      <c r="R482" s="238" t="s">
        <v>182</v>
      </c>
      <c r="S482" s="238" t="s">
        <v>2359</v>
      </c>
      <c r="T482" s="251"/>
      <c r="U482" s="251"/>
      <c r="V482" s="252"/>
      <c r="W482" s="252"/>
      <c r="X482" s="252">
        <v>12</v>
      </c>
      <c r="Y482" s="253"/>
      <c r="Z482" s="254"/>
      <c r="AA482" s="254" t="s">
        <v>186</v>
      </c>
      <c r="AB482" s="252"/>
      <c r="AC482" s="255"/>
      <c r="AD482" s="256"/>
      <c r="AE482" s="256"/>
      <c r="AF482" s="257"/>
      <c r="AG482" s="258"/>
      <c r="AH482" s="259"/>
      <c r="AI482" s="259"/>
      <c r="AJ482" s="260" t="s">
        <v>203</v>
      </c>
      <c r="AK482" s="260" t="s">
        <v>190</v>
      </c>
      <c r="AL482" s="260" t="s">
        <v>190</v>
      </c>
      <c r="AM482" s="255" t="s">
        <v>2349</v>
      </c>
      <c r="AN482" s="22">
        <v>182</v>
      </c>
      <c r="AO482" s="22">
        <v>0</v>
      </c>
      <c r="AP482" s="22">
        <v>0</v>
      </c>
      <c r="AQ482" s="22">
        <v>0</v>
      </c>
      <c r="AR482" s="22">
        <v>0</v>
      </c>
      <c r="AS482" s="22">
        <v>7</v>
      </c>
      <c r="AT482" s="22">
        <v>10</v>
      </c>
      <c r="AU482" s="316">
        <f t="shared" si="78"/>
        <v>199</v>
      </c>
      <c r="AV482" s="22">
        <v>190</v>
      </c>
      <c r="AW482" s="22">
        <v>0</v>
      </c>
      <c r="AX482" s="22">
        <v>0</v>
      </c>
      <c r="AY482" s="22">
        <v>0</v>
      </c>
      <c r="AZ482" s="22">
        <v>0</v>
      </c>
      <c r="BA482" s="22">
        <v>7</v>
      </c>
      <c r="BB482" s="22">
        <v>10</v>
      </c>
      <c r="BC482" s="316">
        <f t="shared" si="79"/>
        <v>207</v>
      </c>
      <c r="BD482" s="58">
        <f t="shared" si="80"/>
        <v>8</v>
      </c>
      <c r="BE482" s="58">
        <f t="shared" si="81"/>
        <v>0</v>
      </c>
      <c r="BF482" s="58">
        <f t="shared" si="82"/>
        <v>0</v>
      </c>
      <c r="BG482" s="58">
        <f t="shared" si="83"/>
        <v>0</v>
      </c>
      <c r="BH482" s="58">
        <f t="shared" si="84"/>
        <v>0</v>
      </c>
      <c r="BI482" s="58">
        <f t="shared" si="85"/>
        <v>0</v>
      </c>
      <c r="BJ482" s="58">
        <f t="shared" si="86"/>
        <v>0</v>
      </c>
      <c r="BK482" s="58">
        <f t="shared" si="87"/>
        <v>8</v>
      </c>
    </row>
    <row r="483" spans="1:63" ht="27" customHeight="1">
      <c r="A483" s="238">
        <f t="shared" si="88"/>
        <v>481</v>
      </c>
      <c r="B483" s="239"/>
      <c r="C483" s="239">
        <v>3113</v>
      </c>
      <c r="D483" s="241">
        <v>28806170788578</v>
      </c>
      <c r="E483" s="242" t="s">
        <v>3190</v>
      </c>
      <c r="F483" s="243" t="s">
        <v>2346</v>
      </c>
      <c r="G483" s="244" t="s">
        <v>2251</v>
      </c>
      <c r="H483" s="245" t="s">
        <v>3191</v>
      </c>
      <c r="I483" s="246" t="s">
        <v>3192</v>
      </c>
      <c r="J483" s="247" t="s">
        <v>178</v>
      </c>
      <c r="K483" s="248">
        <v>32174</v>
      </c>
      <c r="L483" s="249" t="s">
        <v>179</v>
      </c>
      <c r="M483" s="250">
        <v>43741</v>
      </c>
      <c r="N483" s="250"/>
      <c r="O483" s="250" t="s">
        <v>34</v>
      </c>
      <c r="P483" s="238" t="s">
        <v>348</v>
      </c>
      <c r="Q483" s="238" t="s">
        <v>181</v>
      </c>
      <c r="R483" s="238" t="s">
        <v>182</v>
      </c>
      <c r="S483" s="238" t="s">
        <v>2359</v>
      </c>
      <c r="T483" s="251"/>
      <c r="U483" s="251"/>
      <c r="V483" s="252"/>
      <c r="W483" s="252"/>
      <c r="X483" s="252">
        <v>6</v>
      </c>
      <c r="Y483" s="253"/>
      <c r="Z483" s="254" t="s">
        <v>186</v>
      </c>
      <c r="AA483" s="254"/>
      <c r="AB483" s="252"/>
      <c r="AC483" s="255"/>
      <c r="AD483" s="256"/>
      <c r="AE483" s="256"/>
      <c r="AF483" s="257"/>
      <c r="AG483" s="258"/>
      <c r="AH483" s="259"/>
      <c r="AI483" s="259"/>
      <c r="AJ483" s="260" t="s">
        <v>203</v>
      </c>
      <c r="AK483" s="260" t="s">
        <v>190</v>
      </c>
      <c r="AL483" s="260" t="s">
        <v>190</v>
      </c>
      <c r="AM483" s="255" t="s">
        <v>2349</v>
      </c>
      <c r="AN483" s="22">
        <v>182</v>
      </c>
      <c r="AO483" s="22">
        <v>0</v>
      </c>
      <c r="AP483" s="22">
        <v>0</v>
      </c>
      <c r="AQ483" s="22">
        <v>0</v>
      </c>
      <c r="AR483" s="22">
        <v>0</v>
      </c>
      <c r="AS483" s="22">
        <v>7</v>
      </c>
      <c r="AT483" s="22">
        <v>10</v>
      </c>
      <c r="AU483" s="316">
        <f t="shared" si="78"/>
        <v>199</v>
      </c>
      <c r="AV483" s="22">
        <v>190</v>
      </c>
      <c r="AW483" s="22">
        <v>0</v>
      </c>
      <c r="AX483" s="22">
        <v>0</v>
      </c>
      <c r="AY483" s="22">
        <v>0</v>
      </c>
      <c r="AZ483" s="22">
        <v>0</v>
      </c>
      <c r="BA483" s="22">
        <v>7</v>
      </c>
      <c r="BB483" s="22">
        <v>10</v>
      </c>
      <c r="BC483" s="316">
        <f t="shared" si="79"/>
        <v>207</v>
      </c>
      <c r="BD483" s="58">
        <f t="shared" si="80"/>
        <v>8</v>
      </c>
      <c r="BE483" s="58">
        <f t="shared" si="81"/>
        <v>0</v>
      </c>
      <c r="BF483" s="58">
        <f t="shared" si="82"/>
        <v>0</v>
      </c>
      <c r="BG483" s="58">
        <f t="shared" si="83"/>
        <v>0</v>
      </c>
      <c r="BH483" s="58">
        <f t="shared" si="84"/>
        <v>0</v>
      </c>
      <c r="BI483" s="58">
        <f t="shared" si="85"/>
        <v>0</v>
      </c>
      <c r="BJ483" s="58">
        <f t="shared" si="86"/>
        <v>0</v>
      </c>
      <c r="BK483" s="58">
        <f t="shared" si="87"/>
        <v>8</v>
      </c>
    </row>
    <row r="484" spans="1:63" ht="27" customHeight="1">
      <c r="A484" s="238">
        <f t="shared" si="88"/>
        <v>482</v>
      </c>
      <c r="B484" s="239"/>
      <c r="C484" s="239">
        <v>3103</v>
      </c>
      <c r="D484" s="241">
        <v>19310192202800</v>
      </c>
      <c r="E484" s="242" t="s">
        <v>3193</v>
      </c>
      <c r="F484" s="243" t="s">
        <v>1066</v>
      </c>
      <c r="G484" s="244" t="s">
        <v>2251</v>
      </c>
      <c r="H484" s="245" t="s">
        <v>3118</v>
      </c>
      <c r="I484" s="246" t="s">
        <v>3194</v>
      </c>
      <c r="J484" s="247" t="s">
        <v>209</v>
      </c>
      <c r="K484" s="248">
        <v>34011</v>
      </c>
      <c r="L484" s="249" t="s">
        <v>179</v>
      </c>
      <c r="M484" s="250">
        <v>43740</v>
      </c>
      <c r="N484" s="250"/>
      <c r="O484" s="250" t="s">
        <v>34</v>
      </c>
      <c r="P484" s="238" t="s">
        <v>561</v>
      </c>
      <c r="Q484" s="238" t="s">
        <v>181</v>
      </c>
      <c r="R484" s="238" t="s">
        <v>182</v>
      </c>
      <c r="S484" s="238" t="s">
        <v>2865</v>
      </c>
      <c r="T484" s="251"/>
      <c r="U484" s="251"/>
      <c r="V484" s="252"/>
      <c r="W484" s="252"/>
      <c r="X484" s="252">
        <v>8</v>
      </c>
      <c r="Y484" s="253"/>
      <c r="Z484" s="254" t="s">
        <v>186</v>
      </c>
      <c r="AA484" s="254"/>
      <c r="AB484" s="252"/>
      <c r="AC484" s="255"/>
      <c r="AD484" s="256"/>
      <c r="AE484" s="256"/>
      <c r="AF484" s="257"/>
      <c r="AG484" s="258"/>
      <c r="AH484" s="259"/>
      <c r="AI484" s="259"/>
      <c r="AJ484" s="260" t="s">
        <v>203</v>
      </c>
      <c r="AK484" s="260" t="s">
        <v>190</v>
      </c>
      <c r="AL484" s="260" t="s">
        <v>190</v>
      </c>
      <c r="AM484" s="255" t="s">
        <v>2349</v>
      </c>
      <c r="AN484" s="22">
        <v>182</v>
      </c>
      <c r="AO484" s="22">
        <v>0</v>
      </c>
      <c r="AP484" s="22">
        <v>0</v>
      </c>
      <c r="AQ484" s="22">
        <v>0</v>
      </c>
      <c r="AR484" s="22">
        <v>0</v>
      </c>
      <c r="AS484" s="22">
        <v>7</v>
      </c>
      <c r="AT484" s="22">
        <v>10</v>
      </c>
      <c r="AU484" s="316">
        <f t="shared" si="78"/>
        <v>199</v>
      </c>
      <c r="AV484" s="22">
        <v>190</v>
      </c>
      <c r="AW484" s="22">
        <v>0</v>
      </c>
      <c r="AX484" s="22">
        <v>0</v>
      </c>
      <c r="AY484" s="22">
        <v>0</v>
      </c>
      <c r="AZ484" s="22">
        <v>0</v>
      </c>
      <c r="BA484" s="22">
        <v>7</v>
      </c>
      <c r="BB484" s="22">
        <v>10</v>
      </c>
      <c r="BC484" s="316">
        <f t="shared" si="79"/>
        <v>207</v>
      </c>
      <c r="BD484" s="58">
        <f t="shared" si="80"/>
        <v>8</v>
      </c>
      <c r="BE484" s="58">
        <f t="shared" si="81"/>
        <v>0</v>
      </c>
      <c r="BF484" s="58">
        <f t="shared" si="82"/>
        <v>0</v>
      </c>
      <c r="BG484" s="58">
        <f t="shared" si="83"/>
        <v>0</v>
      </c>
      <c r="BH484" s="58">
        <f t="shared" si="84"/>
        <v>0</v>
      </c>
      <c r="BI484" s="58">
        <f t="shared" si="85"/>
        <v>0</v>
      </c>
      <c r="BJ484" s="58">
        <f t="shared" si="86"/>
        <v>0</v>
      </c>
      <c r="BK484" s="58">
        <f t="shared" si="87"/>
        <v>8</v>
      </c>
    </row>
    <row r="485" spans="1:63" ht="27" customHeight="1">
      <c r="A485" s="238">
        <f t="shared" si="88"/>
        <v>483</v>
      </c>
      <c r="B485" s="239"/>
      <c r="C485" s="239">
        <v>3124</v>
      </c>
      <c r="D485" s="241" t="s">
        <v>3195</v>
      </c>
      <c r="E485" s="242" t="s">
        <v>3196</v>
      </c>
      <c r="F485" s="243" t="s">
        <v>3197</v>
      </c>
      <c r="G485" s="244" t="s">
        <v>1037</v>
      </c>
      <c r="H485" s="245" t="s">
        <v>2100</v>
      </c>
      <c r="I485" s="246" t="s">
        <v>3198</v>
      </c>
      <c r="J485" s="247" t="s">
        <v>178</v>
      </c>
      <c r="K485" s="248">
        <v>36320</v>
      </c>
      <c r="L485" s="249" t="s">
        <v>179</v>
      </c>
      <c r="M485" s="250">
        <v>43743</v>
      </c>
      <c r="N485" s="250"/>
      <c r="O485" s="250" t="s">
        <v>34</v>
      </c>
      <c r="P485" s="238" t="s">
        <v>102</v>
      </c>
      <c r="Q485" s="238" t="s">
        <v>249</v>
      </c>
      <c r="R485" s="238" t="s">
        <v>182</v>
      </c>
      <c r="S485" s="238" t="s">
        <v>2359</v>
      </c>
      <c r="T485" s="251"/>
      <c r="U485" s="251"/>
      <c r="V485" s="252"/>
      <c r="W485" s="252"/>
      <c r="X485" s="252">
        <v>12</v>
      </c>
      <c r="Y485" s="253"/>
      <c r="Z485" s="254" t="s">
        <v>186</v>
      </c>
      <c r="AA485" s="254"/>
      <c r="AB485" s="252"/>
      <c r="AC485" s="255"/>
      <c r="AD485" s="256"/>
      <c r="AE485" s="256"/>
      <c r="AF485" s="257"/>
      <c r="AG485" s="258"/>
      <c r="AH485" s="259"/>
      <c r="AI485" s="259"/>
      <c r="AJ485" s="260" t="s">
        <v>203</v>
      </c>
      <c r="AK485" s="260" t="s">
        <v>190</v>
      </c>
      <c r="AL485" s="260" t="s">
        <v>190</v>
      </c>
      <c r="AM485" s="255" t="s">
        <v>2349</v>
      </c>
      <c r="AN485" s="22">
        <v>182</v>
      </c>
      <c r="AO485" s="22">
        <v>0</v>
      </c>
      <c r="AP485" s="22">
        <v>40</v>
      </c>
      <c r="AQ485" s="22">
        <v>0</v>
      </c>
      <c r="AR485" s="22">
        <v>0</v>
      </c>
      <c r="AS485" s="22">
        <v>7</v>
      </c>
      <c r="AT485" s="22">
        <v>10</v>
      </c>
      <c r="AU485" s="316">
        <f t="shared" si="78"/>
        <v>239</v>
      </c>
      <c r="AV485" s="22">
        <v>190</v>
      </c>
      <c r="AW485" s="22">
        <v>0</v>
      </c>
      <c r="AX485" s="22">
        <v>40</v>
      </c>
      <c r="AY485" s="22">
        <v>0</v>
      </c>
      <c r="AZ485" s="22">
        <v>0</v>
      </c>
      <c r="BA485" s="22">
        <v>7</v>
      </c>
      <c r="BB485" s="22">
        <v>10</v>
      </c>
      <c r="BC485" s="316">
        <f t="shared" si="79"/>
        <v>247</v>
      </c>
      <c r="BD485" s="58">
        <f t="shared" si="80"/>
        <v>8</v>
      </c>
      <c r="BE485" s="58">
        <f t="shared" si="81"/>
        <v>0</v>
      </c>
      <c r="BF485" s="58">
        <f t="shared" si="82"/>
        <v>0</v>
      </c>
      <c r="BG485" s="58">
        <f t="shared" si="83"/>
        <v>0</v>
      </c>
      <c r="BH485" s="58">
        <f t="shared" si="84"/>
        <v>0</v>
      </c>
      <c r="BI485" s="58">
        <f t="shared" si="85"/>
        <v>0</v>
      </c>
      <c r="BJ485" s="58">
        <f t="shared" si="86"/>
        <v>0</v>
      </c>
      <c r="BK485" s="58">
        <f t="shared" si="87"/>
        <v>8</v>
      </c>
    </row>
    <row r="486" spans="1:63" ht="27" customHeight="1">
      <c r="A486" s="238">
        <f t="shared" si="88"/>
        <v>484</v>
      </c>
      <c r="B486" s="239"/>
      <c r="C486" s="239">
        <v>3119</v>
      </c>
      <c r="D486" s="241" t="s">
        <v>3199</v>
      </c>
      <c r="E486" s="242" t="s">
        <v>3200</v>
      </c>
      <c r="F486" s="243" t="s">
        <v>1525</v>
      </c>
      <c r="G486" s="244" t="s">
        <v>3201</v>
      </c>
      <c r="H486" s="245" t="s">
        <v>3202</v>
      </c>
      <c r="I486" s="246" t="s">
        <v>3203</v>
      </c>
      <c r="J486" s="247" t="s">
        <v>178</v>
      </c>
      <c r="K486" s="248">
        <v>25275</v>
      </c>
      <c r="L486" s="249" t="s">
        <v>179</v>
      </c>
      <c r="M486" s="250">
        <v>43742</v>
      </c>
      <c r="N486" s="250"/>
      <c r="O486" s="250" t="s">
        <v>34</v>
      </c>
      <c r="P486" s="238" t="s">
        <v>604</v>
      </c>
      <c r="Q486" s="238" t="s">
        <v>181</v>
      </c>
      <c r="R486" s="238" t="s">
        <v>182</v>
      </c>
      <c r="S486" s="238" t="s">
        <v>2869</v>
      </c>
      <c r="T486" s="251"/>
      <c r="U486" s="251"/>
      <c r="V486" s="252"/>
      <c r="W486" s="252"/>
      <c r="X486" s="252">
        <v>6</v>
      </c>
      <c r="Y486" s="253"/>
      <c r="Z486" s="254"/>
      <c r="AA486" s="254"/>
      <c r="AB486" s="252"/>
      <c r="AC486" s="255"/>
      <c r="AD486" s="256"/>
      <c r="AE486" s="256"/>
      <c r="AF486" s="257"/>
      <c r="AG486" s="258"/>
      <c r="AH486" s="259"/>
      <c r="AI486" s="259"/>
      <c r="AJ486" s="260" t="s">
        <v>203</v>
      </c>
      <c r="AK486" s="260" t="s">
        <v>190</v>
      </c>
      <c r="AL486" s="260" t="s">
        <v>190</v>
      </c>
      <c r="AM486" s="255" t="s">
        <v>2349</v>
      </c>
      <c r="AN486" s="22">
        <v>182</v>
      </c>
      <c r="AO486" s="22">
        <v>0</v>
      </c>
      <c r="AP486" s="22">
        <v>0</v>
      </c>
      <c r="AQ486" s="22">
        <v>0</v>
      </c>
      <c r="AR486" s="22">
        <v>0</v>
      </c>
      <c r="AS486" s="22">
        <v>7</v>
      </c>
      <c r="AT486" s="22">
        <v>10</v>
      </c>
      <c r="AU486" s="316">
        <f t="shared" si="78"/>
        <v>199</v>
      </c>
      <c r="AV486" s="22">
        <v>190</v>
      </c>
      <c r="AW486" s="22">
        <v>0</v>
      </c>
      <c r="AX486" s="22">
        <v>0</v>
      </c>
      <c r="AY486" s="22">
        <v>0</v>
      </c>
      <c r="AZ486" s="22">
        <v>0</v>
      </c>
      <c r="BA486" s="22">
        <v>7</v>
      </c>
      <c r="BB486" s="22">
        <v>10</v>
      </c>
      <c r="BC486" s="316">
        <f t="shared" si="79"/>
        <v>207</v>
      </c>
      <c r="BD486" s="58">
        <f t="shared" si="80"/>
        <v>8</v>
      </c>
      <c r="BE486" s="58">
        <f t="shared" si="81"/>
        <v>0</v>
      </c>
      <c r="BF486" s="58">
        <f t="shared" si="82"/>
        <v>0</v>
      </c>
      <c r="BG486" s="58">
        <f t="shared" si="83"/>
        <v>0</v>
      </c>
      <c r="BH486" s="58">
        <f t="shared" si="84"/>
        <v>0</v>
      </c>
      <c r="BI486" s="58">
        <f t="shared" si="85"/>
        <v>0</v>
      </c>
      <c r="BJ486" s="58">
        <f t="shared" si="86"/>
        <v>0</v>
      </c>
      <c r="BK486" s="58">
        <f t="shared" si="87"/>
        <v>8</v>
      </c>
    </row>
    <row r="487" spans="1:63" ht="27" customHeight="1">
      <c r="A487" s="238">
        <f t="shared" si="88"/>
        <v>485</v>
      </c>
      <c r="B487" s="239"/>
      <c r="C487" s="239">
        <v>3109</v>
      </c>
      <c r="D487" s="241" t="s">
        <v>3204</v>
      </c>
      <c r="E487" s="242" t="s">
        <v>3205</v>
      </c>
      <c r="F487" s="243" t="s">
        <v>1066</v>
      </c>
      <c r="G487" s="244" t="s">
        <v>3206</v>
      </c>
      <c r="H487" s="245" t="s">
        <v>3118</v>
      </c>
      <c r="I487" s="246" t="s">
        <v>3207</v>
      </c>
      <c r="J487" s="247" t="s">
        <v>178</v>
      </c>
      <c r="K487" s="248">
        <v>36660</v>
      </c>
      <c r="L487" s="249" t="s">
        <v>179</v>
      </c>
      <c r="M487" s="250">
        <v>43741</v>
      </c>
      <c r="N487" s="250"/>
      <c r="O487" s="250" t="s">
        <v>34</v>
      </c>
      <c r="P487" s="238" t="s">
        <v>339</v>
      </c>
      <c r="Q487" s="238" t="s">
        <v>181</v>
      </c>
      <c r="R487" s="238" t="s">
        <v>182</v>
      </c>
      <c r="S487" s="238" t="s">
        <v>2430</v>
      </c>
      <c r="T487" s="251"/>
      <c r="U487" s="251"/>
      <c r="V487" s="252"/>
      <c r="W487" s="252"/>
      <c r="X487" s="252">
        <v>9</v>
      </c>
      <c r="Y487" s="253"/>
      <c r="Z487" s="254"/>
      <c r="AA487" s="254"/>
      <c r="AB487" s="252"/>
      <c r="AC487" s="255"/>
      <c r="AD487" s="256"/>
      <c r="AE487" s="256"/>
      <c r="AF487" s="257"/>
      <c r="AG487" s="258"/>
      <c r="AH487" s="259"/>
      <c r="AI487" s="259"/>
      <c r="AJ487" s="260" t="s">
        <v>203</v>
      </c>
      <c r="AK487" s="260" t="s">
        <v>190</v>
      </c>
      <c r="AL487" s="260" t="s">
        <v>190</v>
      </c>
      <c r="AM487" s="255" t="s">
        <v>2349</v>
      </c>
      <c r="AN487" s="22">
        <v>182</v>
      </c>
      <c r="AO487" s="22">
        <v>0</v>
      </c>
      <c r="AP487" s="22">
        <v>0</v>
      </c>
      <c r="AQ487" s="22">
        <v>0</v>
      </c>
      <c r="AR487" s="22">
        <v>0</v>
      </c>
      <c r="AS487" s="22">
        <v>7</v>
      </c>
      <c r="AT487" s="22">
        <v>10</v>
      </c>
      <c r="AU487" s="316">
        <f t="shared" si="78"/>
        <v>199</v>
      </c>
      <c r="AV487" s="22">
        <v>190</v>
      </c>
      <c r="AW487" s="22">
        <v>0</v>
      </c>
      <c r="AX487" s="22">
        <v>0</v>
      </c>
      <c r="AY487" s="22">
        <v>0</v>
      </c>
      <c r="AZ487" s="22">
        <v>0</v>
      </c>
      <c r="BA487" s="22">
        <v>7</v>
      </c>
      <c r="BB487" s="22">
        <v>10</v>
      </c>
      <c r="BC487" s="316">
        <f t="shared" si="79"/>
        <v>207</v>
      </c>
      <c r="BD487" s="58">
        <f t="shared" si="80"/>
        <v>8</v>
      </c>
      <c r="BE487" s="58">
        <f t="shared" si="81"/>
        <v>0</v>
      </c>
      <c r="BF487" s="58">
        <f t="shared" si="82"/>
        <v>0</v>
      </c>
      <c r="BG487" s="58">
        <f t="shared" si="83"/>
        <v>0</v>
      </c>
      <c r="BH487" s="58">
        <f t="shared" si="84"/>
        <v>0</v>
      </c>
      <c r="BI487" s="58">
        <f t="shared" si="85"/>
        <v>0</v>
      </c>
      <c r="BJ487" s="58">
        <f t="shared" si="86"/>
        <v>0</v>
      </c>
      <c r="BK487" s="58">
        <f t="shared" si="87"/>
        <v>8</v>
      </c>
    </row>
    <row r="488" spans="1:63" ht="27" customHeight="1">
      <c r="A488" s="238">
        <f t="shared" si="88"/>
        <v>486</v>
      </c>
      <c r="B488" s="239"/>
      <c r="C488" s="239">
        <v>3130</v>
      </c>
      <c r="D488" s="241" t="s">
        <v>3208</v>
      </c>
      <c r="E488" s="242" t="s">
        <v>3209</v>
      </c>
      <c r="F488" s="243" t="s">
        <v>1668</v>
      </c>
      <c r="G488" s="244" t="s">
        <v>3210</v>
      </c>
      <c r="H488" s="245" t="s">
        <v>3211</v>
      </c>
      <c r="I488" s="246" t="s">
        <v>3212</v>
      </c>
      <c r="J488" s="247" t="s">
        <v>178</v>
      </c>
      <c r="K488" s="248">
        <v>29345</v>
      </c>
      <c r="L488" s="249" t="s">
        <v>179</v>
      </c>
      <c r="M488" s="250">
        <v>43745</v>
      </c>
      <c r="N488" s="250"/>
      <c r="O488" s="250" t="s">
        <v>34</v>
      </c>
      <c r="P488" s="238" t="s">
        <v>552</v>
      </c>
      <c r="Q488" s="238" t="s">
        <v>181</v>
      </c>
      <c r="R488" s="238" t="s">
        <v>182</v>
      </c>
      <c r="S488" s="238" t="s">
        <v>2430</v>
      </c>
      <c r="T488" s="251"/>
      <c r="U488" s="251"/>
      <c r="V488" s="252"/>
      <c r="W488" s="252"/>
      <c r="X488" s="252">
        <v>5</v>
      </c>
      <c r="Y488" s="253"/>
      <c r="Z488" s="254"/>
      <c r="AA488" s="254"/>
      <c r="AB488" s="252"/>
      <c r="AC488" s="255"/>
      <c r="AD488" s="256"/>
      <c r="AE488" s="256"/>
      <c r="AF488" s="257"/>
      <c r="AG488" s="258"/>
      <c r="AH488" s="259"/>
      <c r="AI488" s="259"/>
      <c r="AJ488" s="260" t="s">
        <v>203</v>
      </c>
      <c r="AK488" s="260" t="s">
        <v>190</v>
      </c>
      <c r="AL488" s="260" t="s">
        <v>190</v>
      </c>
      <c r="AM488" s="255" t="s">
        <v>2349</v>
      </c>
      <c r="AN488" s="22">
        <v>182</v>
      </c>
      <c r="AO488" s="22">
        <v>0</v>
      </c>
      <c r="AP488" s="22">
        <v>0</v>
      </c>
      <c r="AQ488" s="22">
        <v>0</v>
      </c>
      <c r="AR488" s="22">
        <v>0</v>
      </c>
      <c r="AS488" s="22">
        <v>7</v>
      </c>
      <c r="AT488" s="22">
        <v>10</v>
      </c>
      <c r="AU488" s="316">
        <f t="shared" si="78"/>
        <v>199</v>
      </c>
      <c r="AV488" s="22">
        <v>190</v>
      </c>
      <c r="AW488" s="22">
        <v>0</v>
      </c>
      <c r="AX488" s="22">
        <v>0</v>
      </c>
      <c r="AY488" s="22">
        <v>0</v>
      </c>
      <c r="AZ488" s="22">
        <v>0</v>
      </c>
      <c r="BA488" s="22">
        <v>7</v>
      </c>
      <c r="BB488" s="22">
        <v>10</v>
      </c>
      <c r="BC488" s="316">
        <f t="shared" si="79"/>
        <v>207</v>
      </c>
      <c r="BD488" s="58">
        <f t="shared" si="80"/>
        <v>8</v>
      </c>
      <c r="BE488" s="58">
        <f t="shared" si="81"/>
        <v>0</v>
      </c>
      <c r="BF488" s="58">
        <f t="shared" si="82"/>
        <v>0</v>
      </c>
      <c r="BG488" s="58">
        <f t="shared" si="83"/>
        <v>0</v>
      </c>
      <c r="BH488" s="58">
        <f t="shared" si="84"/>
        <v>0</v>
      </c>
      <c r="BI488" s="58">
        <f t="shared" si="85"/>
        <v>0</v>
      </c>
      <c r="BJ488" s="58">
        <f t="shared" si="86"/>
        <v>0</v>
      </c>
      <c r="BK488" s="58">
        <f t="shared" si="87"/>
        <v>8</v>
      </c>
    </row>
    <row r="489" spans="1:63" ht="27" customHeight="1">
      <c r="A489" s="238">
        <f t="shared" si="88"/>
        <v>487</v>
      </c>
      <c r="B489" s="239"/>
      <c r="C489" s="239">
        <v>3125</v>
      </c>
      <c r="D489" s="241" t="s">
        <v>3213</v>
      </c>
      <c r="E489" s="242" t="s">
        <v>3214</v>
      </c>
      <c r="F489" s="243" t="s">
        <v>457</v>
      </c>
      <c r="G489" s="244" t="s">
        <v>2241</v>
      </c>
      <c r="H489" s="245" t="s">
        <v>3215</v>
      </c>
      <c r="I489" s="246" t="s">
        <v>2634</v>
      </c>
      <c r="J489" s="247" t="s">
        <v>178</v>
      </c>
      <c r="K489" s="248">
        <v>35889</v>
      </c>
      <c r="L489" s="249" t="s">
        <v>179</v>
      </c>
      <c r="M489" s="250">
        <v>43739</v>
      </c>
      <c r="N489" s="250"/>
      <c r="O489" s="250" t="s">
        <v>34</v>
      </c>
      <c r="P489" s="238" t="s">
        <v>227</v>
      </c>
      <c r="Q489" s="238" t="s">
        <v>181</v>
      </c>
      <c r="R489" s="238" t="s">
        <v>182</v>
      </c>
      <c r="S489" s="238" t="s">
        <v>2359</v>
      </c>
      <c r="T489" s="251"/>
      <c r="U489" s="251"/>
      <c r="V489" s="252"/>
      <c r="W489" s="252"/>
      <c r="X489" s="252">
        <v>9</v>
      </c>
      <c r="Y489" s="253"/>
      <c r="Z489" s="254"/>
      <c r="AA489" s="254"/>
      <c r="AB489" s="252"/>
      <c r="AC489" s="255"/>
      <c r="AD489" s="256"/>
      <c r="AE489" s="256"/>
      <c r="AF489" s="257"/>
      <c r="AG489" s="258"/>
      <c r="AH489" s="259"/>
      <c r="AI489" s="259"/>
      <c r="AJ489" s="260" t="s">
        <v>203</v>
      </c>
      <c r="AK489" s="260" t="s">
        <v>190</v>
      </c>
      <c r="AL489" s="260" t="s">
        <v>190</v>
      </c>
      <c r="AM489" s="255" t="s">
        <v>2349</v>
      </c>
      <c r="AN489" s="22">
        <v>182</v>
      </c>
      <c r="AO489" s="22">
        <v>0</v>
      </c>
      <c r="AP489" s="22">
        <v>0</v>
      </c>
      <c r="AQ489" s="22">
        <v>0</v>
      </c>
      <c r="AR489" s="22">
        <v>0</v>
      </c>
      <c r="AS489" s="22">
        <v>7</v>
      </c>
      <c r="AT489" s="22">
        <v>10</v>
      </c>
      <c r="AU489" s="316">
        <f t="shared" si="78"/>
        <v>199</v>
      </c>
      <c r="AV489" s="22">
        <v>190</v>
      </c>
      <c r="AW489" s="22">
        <v>0</v>
      </c>
      <c r="AX489" s="22">
        <v>0</v>
      </c>
      <c r="AY489" s="22">
        <v>0</v>
      </c>
      <c r="AZ489" s="22">
        <v>0</v>
      </c>
      <c r="BA489" s="22">
        <v>7</v>
      </c>
      <c r="BB489" s="22">
        <v>10</v>
      </c>
      <c r="BC489" s="316">
        <f t="shared" si="79"/>
        <v>207</v>
      </c>
      <c r="BD489" s="58">
        <f t="shared" si="80"/>
        <v>8</v>
      </c>
      <c r="BE489" s="58">
        <f t="shared" si="81"/>
        <v>0</v>
      </c>
      <c r="BF489" s="58">
        <f t="shared" si="82"/>
        <v>0</v>
      </c>
      <c r="BG489" s="58">
        <f t="shared" si="83"/>
        <v>0</v>
      </c>
      <c r="BH489" s="58">
        <f t="shared" si="84"/>
        <v>0</v>
      </c>
      <c r="BI489" s="58">
        <f t="shared" si="85"/>
        <v>0</v>
      </c>
      <c r="BJ489" s="58">
        <f t="shared" si="86"/>
        <v>0</v>
      </c>
      <c r="BK489" s="58">
        <f t="shared" si="87"/>
        <v>8</v>
      </c>
    </row>
    <row r="490" spans="1:63" ht="27" customHeight="1">
      <c r="A490" s="238">
        <f t="shared" si="88"/>
        <v>488</v>
      </c>
      <c r="B490" s="239"/>
      <c r="C490" s="239">
        <v>3323</v>
      </c>
      <c r="D490" s="241" t="s">
        <v>3216</v>
      </c>
      <c r="E490" s="242" t="s">
        <v>3217</v>
      </c>
      <c r="F490" s="243" t="s">
        <v>1312</v>
      </c>
      <c r="G490" s="244" t="s">
        <v>1577</v>
      </c>
      <c r="H490" s="245" t="s">
        <v>3218</v>
      </c>
      <c r="I490" s="246" t="s">
        <v>3219</v>
      </c>
      <c r="J490" s="247" t="s">
        <v>178</v>
      </c>
      <c r="K490" s="248">
        <v>36924</v>
      </c>
      <c r="L490" s="249" t="s">
        <v>179</v>
      </c>
      <c r="M490" s="250">
        <v>43746</v>
      </c>
      <c r="N490" s="250"/>
      <c r="O490" s="250" t="s">
        <v>34</v>
      </c>
      <c r="P490" s="238" t="s">
        <v>1281</v>
      </c>
      <c r="Q490" s="238" t="s">
        <v>181</v>
      </c>
      <c r="R490" s="238" t="s">
        <v>182</v>
      </c>
      <c r="S490" s="238" t="s">
        <v>2397</v>
      </c>
      <c r="T490" s="251"/>
      <c r="U490" s="251"/>
      <c r="V490" s="252"/>
      <c r="W490" s="252"/>
      <c r="X490" s="252">
        <v>10</v>
      </c>
      <c r="Y490" s="253"/>
      <c r="Z490" s="254"/>
      <c r="AA490" s="254"/>
      <c r="AB490" s="252"/>
      <c r="AC490" s="255"/>
      <c r="AD490" s="256"/>
      <c r="AE490" s="256"/>
      <c r="AF490" s="257"/>
      <c r="AG490" s="258"/>
      <c r="AH490" s="259"/>
      <c r="AI490" s="259"/>
      <c r="AJ490" s="260" t="s">
        <v>203</v>
      </c>
      <c r="AK490" s="260" t="s">
        <v>190</v>
      </c>
      <c r="AL490" s="260" t="s">
        <v>190</v>
      </c>
      <c r="AM490" s="255" t="s">
        <v>2349</v>
      </c>
      <c r="AN490" s="22">
        <v>182</v>
      </c>
      <c r="AO490" s="22">
        <v>0</v>
      </c>
      <c r="AP490" s="22">
        <v>20</v>
      </c>
      <c r="AQ490" s="22">
        <v>0</v>
      </c>
      <c r="AR490" s="22">
        <v>0</v>
      </c>
      <c r="AS490" s="22">
        <v>7</v>
      </c>
      <c r="AT490" s="22">
        <v>10</v>
      </c>
      <c r="AU490" s="316">
        <f t="shared" si="78"/>
        <v>219</v>
      </c>
      <c r="AV490" s="22">
        <v>190</v>
      </c>
      <c r="AW490" s="22">
        <v>0</v>
      </c>
      <c r="AX490" s="22">
        <v>20</v>
      </c>
      <c r="AY490" s="22">
        <v>0</v>
      </c>
      <c r="AZ490" s="22">
        <v>0</v>
      </c>
      <c r="BA490" s="22">
        <v>7</v>
      </c>
      <c r="BB490" s="22">
        <v>10</v>
      </c>
      <c r="BC490" s="316">
        <f t="shared" si="79"/>
        <v>227</v>
      </c>
      <c r="BD490" s="58">
        <f t="shared" si="80"/>
        <v>8</v>
      </c>
      <c r="BE490" s="58">
        <f t="shared" si="81"/>
        <v>0</v>
      </c>
      <c r="BF490" s="58">
        <f t="shared" si="82"/>
        <v>0</v>
      </c>
      <c r="BG490" s="58">
        <f t="shared" si="83"/>
        <v>0</v>
      </c>
      <c r="BH490" s="58">
        <f t="shared" si="84"/>
        <v>0</v>
      </c>
      <c r="BI490" s="58">
        <f t="shared" si="85"/>
        <v>0</v>
      </c>
      <c r="BJ490" s="58">
        <f t="shared" si="86"/>
        <v>0</v>
      </c>
      <c r="BK490" s="58">
        <f t="shared" si="87"/>
        <v>8</v>
      </c>
    </row>
    <row r="491" spans="1:63" ht="27" customHeight="1">
      <c r="A491" s="238">
        <f t="shared" si="88"/>
        <v>489</v>
      </c>
      <c r="B491" s="239"/>
      <c r="C491" s="239">
        <v>3115</v>
      </c>
      <c r="D491" s="241" t="s">
        <v>3220</v>
      </c>
      <c r="E491" s="242" t="s">
        <v>3221</v>
      </c>
      <c r="F491" s="243" t="s">
        <v>3222</v>
      </c>
      <c r="G491" s="244" t="s">
        <v>3223</v>
      </c>
      <c r="H491" s="245" t="s">
        <v>3224</v>
      </c>
      <c r="I491" s="246" t="s">
        <v>3225</v>
      </c>
      <c r="J491" s="247" t="s">
        <v>178</v>
      </c>
      <c r="K491" s="248">
        <v>31544</v>
      </c>
      <c r="L491" s="249" t="s">
        <v>179</v>
      </c>
      <c r="M491" s="250">
        <v>43742</v>
      </c>
      <c r="N491" s="250"/>
      <c r="O491" s="250" t="s">
        <v>34</v>
      </c>
      <c r="P491" s="238" t="s">
        <v>636</v>
      </c>
      <c r="Q491" s="238" t="s">
        <v>181</v>
      </c>
      <c r="R491" s="238" t="s">
        <v>182</v>
      </c>
      <c r="S491" s="238" t="s">
        <v>1374</v>
      </c>
      <c r="T491" s="251"/>
      <c r="U491" s="251"/>
      <c r="V491" s="252"/>
      <c r="W491" s="252"/>
      <c r="X491" s="252">
        <v>7</v>
      </c>
      <c r="Y491" s="253"/>
      <c r="Z491" s="254"/>
      <c r="AA491" s="254"/>
      <c r="AB491" s="252"/>
      <c r="AC491" s="255"/>
      <c r="AD491" s="256"/>
      <c r="AE491" s="256"/>
      <c r="AF491" s="257"/>
      <c r="AG491" s="258"/>
      <c r="AH491" s="259"/>
      <c r="AI491" s="259"/>
      <c r="AJ491" s="260" t="s">
        <v>203</v>
      </c>
      <c r="AK491" s="260" t="s">
        <v>190</v>
      </c>
      <c r="AL491" s="260" t="s">
        <v>190</v>
      </c>
      <c r="AM491" s="255" t="s">
        <v>2349</v>
      </c>
      <c r="AN491" s="22">
        <v>182</v>
      </c>
      <c r="AO491" s="22">
        <v>0</v>
      </c>
      <c r="AP491" s="22">
        <v>20</v>
      </c>
      <c r="AQ491" s="22">
        <v>0</v>
      </c>
      <c r="AR491" s="22">
        <v>0</v>
      </c>
      <c r="AS491" s="22">
        <v>7</v>
      </c>
      <c r="AT491" s="22">
        <v>10</v>
      </c>
      <c r="AU491" s="316">
        <f t="shared" si="78"/>
        <v>219</v>
      </c>
      <c r="AV491" s="22">
        <v>190</v>
      </c>
      <c r="AW491" s="22">
        <v>0</v>
      </c>
      <c r="AX491" s="22">
        <v>20</v>
      </c>
      <c r="AY491" s="22">
        <v>0</v>
      </c>
      <c r="AZ491" s="22">
        <v>0</v>
      </c>
      <c r="BA491" s="22">
        <v>7</v>
      </c>
      <c r="BB491" s="22">
        <v>10</v>
      </c>
      <c r="BC491" s="316">
        <f t="shared" si="79"/>
        <v>227</v>
      </c>
      <c r="BD491" s="58">
        <f t="shared" si="80"/>
        <v>8</v>
      </c>
      <c r="BE491" s="58">
        <f t="shared" si="81"/>
        <v>0</v>
      </c>
      <c r="BF491" s="58">
        <f t="shared" si="82"/>
        <v>0</v>
      </c>
      <c r="BG491" s="58">
        <f t="shared" si="83"/>
        <v>0</v>
      </c>
      <c r="BH491" s="58">
        <f t="shared" si="84"/>
        <v>0</v>
      </c>
      <c r="BI491" s="58">
        <f t="shared" si="85"/>
        <v>0</v>
      </c>
      <c r="BJ491" s="58">
        <f t="shared" si="86"/>
        <v>0</v>
      </c>
      <c r="BK491" s="58">
        <f t="shared" si="87"/>
        <v>8</v>
      </c>
    </row>
    <row r="492" spans="1:63" ht="27" customHeight="1">
      <c r="A492" s="238">
        <f t="shared" si="88"/>
        <v>490</v>
      </c>
      <c r="B492" s="239"/>
      <c r="C492" s="239">
        <v>3132</v>
      </c>
      <c r="D492" s="241" t="s">
        <v>3226</v>
      </c>
      <c r="E492" s="242" t="s">
        <v>3227</v>
      </c>
      <c r="F492" s="243" t="s">
        <v>2087</v>
      </c>
      <c r="G492" s="244" t="s">
        <v>831</v>
      </c>
      <c r="H492" s="245" t="s">
        <v>3228</v>
      </c>
      <c r="I492" s="246" t="s">
        <v>3229</v>
      </c>
      <c r="J492" s="247" t="s">
        <v>178</v>
      </c>
      <c r="K492" s="248">
        <v>30812</v>
      </c>
      <c r="L492" s="249" t="s">
        <v>179</v>
      </c>
      <c r="M492" s="250">
        <v>43742</v>
      </c>
      <c r="N492" s="250"/>
      <c r="O492" s="250" t="s">
        <v>34</v>
      </c>
      <c r="P492" s="238" t="s">
        <v>1281</v>
      </c>
      <c r="Q492" s="238" t="s">
        <v>181</v>
      </c>
      <c r="R492" s="238" t="s">
        <v>182</v>
      </c>
      <c r="S492" s="238" t="s">
        <v>2359</v>
      </c>
      <c r="T492" s="251"/>
      <c r="U492" s="251"/>
      <c r="V492" s="252"/>
      <c r="W492" s="252"/>
      <c r="X492" s="252">
        <v>3</v>
      </c>
      <c r="Y492" s="253"/>
      <c r="Z492" s="254"/>
      <c r="AA492" s="254"/>
      <c r="AB492" s="252"/>
      <c r="AC492" s="255"/>
      <c r="AD492" s="256"/>
      <c r="AE492" s="256"/>
      <c r="AF492" s="257"/>
      <c r="AG492" s="258"/>
      <c r="AH492" s="259"/>
      <c r="AI492" s="259"/>
      <c r="AJ492" s="260" t="s">
        <v>203</v>
      </c>
      <c r="AK492" s="260" t="s">
        <v>190</v>
      </c>
      <c r="AL492" s="260" t="s">
        <v>190</v>
      </c>
      <c r="AM492" s="255" t="s">
        <v>2349</v>
      </c>
      <c r="AN492" s="22">
        <v>182</v>
      </c>
      <c r="AO492" s="22">
        <v>0</v>
      </c>
      <c r="AP492" s="22">
        <v>20</v>
      </c>
      <c r="AQ492" s="22">
        <v>0</v>
      </c>
      <c r="AR492" s="22">
        <v>0</v>
      </c>
      <c r="AS492" s="22">
        <v>7</v>
      </c>
      <c r="AT492" s="22">
        <v>10</v>
      </c>
      <c r="AU492" s="316">
        <f t="shared" si="78"/>
        <v>219</v>
      </c>
      <c r="AV492" s="22">
        <v>190</v>
      </c>
      <c r="AW492" s="22">
        <v>0</v>
      </c>
      <c r="AX492" s="22">
        <v>20</v>
      </c>
      <c r="AY492" s="22">
        <v>0</v>
      </c>
      <c r="AZ492" s="22">
        <v>0</v>
      </c>
      <c r="BA492" s="22">
        <v>7</v>
      </c>
      <c r="BB492" s="22">
        <v>10</v>
      </c>
      <c r="BC492" s="316">
        <f t="shared" si="79"/>
        <v>227</v>
      </c>
      <c r="BD492" s="58">
        <f t="shared" si="80"/>
        <v>8</v>
      </c>
      <c r="BE492" s="58">
        <f t="shared" si="81"/>
        <v>0</v>
      </c>
      <c r="BF492" s="58">
        <f t="shared" si="82"/>
        <v>0</v>
      </c>
      <c r="BG492" s="58">
        <f t="shared" si="83"/>
        <v>0</v>
      </c>
      <c r="BH492" s="58">
        <f t="shared" si="84"/>
        <v>0</v>
      </c>
      <c r="BI492" s="58">
        <f t="shared" si="85"/>
        <v>0</v>
      </c>
      <c r="BJ492" s="58">
        <f t="shared" si="86"/>
        <v>0</v>
      </c>
      <c r="BK492" s="58">
        <f t="shared" si="87"/>
        <v>8</v>
      </c>
    </row>
    <row r="493" spans="1:63" ht="27" customHeight="1">
      <c r="A493" s="238">
        <f t="shared" si="88"/>
        <v>491</v>
      </c>
      <c r="B493" s="239"/>
      <c r="C493" s="239">
        <v>3107</v>
      </c>
      <c r="D493" s="241" t="s">
        <v>3230</v>
      </c>
      <c r="E493" s="242" t="s">
        <v>3231</v>
      </c>
      <c r="F493" s="243" t="s">
        <v>2834</v>
      </c>
      <c r="G493" s="244" t="s">
        <v>3232</v>
      </c>
      <c r="H493" s="245" t="s">
        <v>3233</v>
      </c>
      <c r="I493" s="246" t="s">
        <v>3234</v>
      </c>
      <c r="J493" s="247" t="s">
        <v>178</v>
      </c>
      <c r="K493" s="248" t="s">
        <v>3235</v>
      </c>
      <c r="L493" s="249" t="s">
        <v>179</v>
      </c>
      <c r="M493" s="250">
        <v>43741</v>
      </c>
      <c r="N493" s="250"/>
      <c r="O493" s="250" t="s">
        <v>34</v>
      </c>
      <c r="P493" s="238" t="s">
        <v>199</v>
      </c>
      <c r="Q493" s="238" t="s">
        <v>181</v>
      </c>
      <c r="R493" s="238" t="s">
        <v>182</v>
      </c>
      <c r="S493" s="238" t="s">
        <v>841</v>
      </c>
      <c r="T493" s="251"/>
      <c r="U493" s="251"/>
      <c r="V493" s="252"/>
      <c r="W493" s="252"/>
      <c r="X493" s="252">
        <v>8</v>
      </c>
      <c r="Y493" s="253"/>
      <c r="Z493" s="254"/>
      <c r="AA493" s="254"/>
      <c r="AB493" s="252"/>
      <c r="AC493" s="255"/>
      <c r="AD493" s="256"/>
      <c r="AE493" s="256"/>
      <c r="AF493" s="257"/>
      <c r="AG493" s="258"/>
      <c r="AH493" s="259"/>
      <c r="AI493" s="259"/>
      <c r="AJ493" s="260" t="s">
        <v>203</v>
      </c>
      <c r="AK493" s="260" t="s">
        <v>190</v>
      </c>
      <c r="AL493" s="260" t="s">
        <v>190</v>
      </c>
      <c r="AM493" s="255" t="s">
        <v>2349</v>
      </c>
      <c r="AN493" s="22">
        <v>182</v>
      </c>
      <c r="AO493" s="22">
        <v>0</v>
      </c>
      <c r="AP493" s="22">
        <v>0</v>
      </c>
      <c r="AQ493" s="22">
        <v>0</v>
      </c>
      <c r="AR493" s="22">
        <v>0</v>
      </c>
      <c r="AS493" s="22">
        <v>7</v>
      </c>
      <c r="AT493" s="22">
        <v>10</v>
      </c>
      <c r="AU493" s="316">
        <f t="shared" si="78"/>
        <v>199</v>
      </c>
      <c r="AV493" s="22">
        <v>190</v>
      </c>
      <c r="AW493" s="22">
        <v>0</v>
      </c>
      <c r="AX493" s="22">
        <v>0</v>
      </c>
      <c r="AY493" s="22">
        <v>0</v>
      </c>
      <c r="AZ493" s="22">
        <v>0</v>
      </c>
      <c r="BA493" s="22">
        <v>7</v>
      </c>
      <c r="BB493" s="22">
        <v>10</v>
      </c>
      <c r="BC493" s="316">
        <f t="shared" si="79"/>
        <v>207</v>
      </c>
      <c r="BD493" s="58">
        <f t="shared" si="80"/>
        <v>8</v>
      </c>
      <c r="BE493" s="58">
        <f t="shared" si="81"/>
        <v>0</v>
      </c>
      <c r="BF493" s="58">
        <f t="shared" si="82"/>
        <v>0</v>
      </c>
      <c r="BG493" s="58">
        <f t="shared" si="83"/>
        <v>0</v>
      </c>
      <c r="BH493" s="58">
        <f t="shared" si="84"/>
        <v>0</v>
      </c>
      <c r="BI493" s="58">
        <f t="shared" si="85"/>
        <v>0</v>
      </c>
      <c r="BJ493" s="58">
        <f t="shared" si="86"/>
        <v>0</v>
      </c>
      <c r="BK493" s="58">
        <f t="shared" si="87"/>
        <v>8</v>
      </c>
    </row>
    <row r="494" spans="1:63" ht="27" customHeight="1">
      <c r="A494" s="238">
        <f t="shared" si="88"/>
        <v>492</v>
      </c>
      <c r="B494" s="239"/>
      <c r="C494" s="239">
        <v>3097</v>
      </c>
      <c r="D494" s="241" t="s">
        <v>3236</v>
      </c>
      <c r="E494" s="242" t="s">
        <v>3237</v>
      </c>
      <c r="F494" s="243" t="s">
        <v>3238</v>
      </c>
      <c r="G494" s="244" t="s">
        <v>3027</v>
      </c>
      <c r="H494" s="245" t="s">
        <v>114</v>
      </c>
      <c r="I494" s="246" t="s">
        <v>115</v>
      </c>
      <c r="J494" s="247" t="s">
        <v>209</v>
      </c>
      <c r="K494" s="248">
        <v>36317</v>
      </c>
      <c r="L494" s="249" t="s">
        <v>179</v>
      </c>
      <c r="M494" s="250">
        <v>43740</v>
      </c>
      <c r="N494" s="250"/>
      <c r="O494" s="250" t="s">
        <v>34</v>
      </c>
      <c r="P494" s="238" t="s">
        <v>81</v>
      </c>
      <c r="Q494" s="238" t="s">
        <v>181</v>
      </c>
      <c r="R494" s="238" t="s">
        <v>182</v>
      </c>
      <c r="S494" s="238" t="s">
        <v>2492</v>
      </c>
      <c r="T494" s="251"/>
      <c r="U494" s="251"/>
      <c r="V494" s="252"/>
      <c r="W494" s="252"/>
      <c r="X494" s="252">
        <v>7</v>
      </c>
      <c r="Y494" s="253"/>
      <c r="Z494" s="254"/>
      <c r="AA494" s="254"/>
      <c r="AB494" s="252"/>
      <c r="AC494" s="255"/>
      <c r="AD494" s="256"/>
      <c r="AE494" s="256"/>
      <c r="AF494" s="257"/>
      <c r="AG494" s="258"/>
      <c r="AH494" s="259"/>
      <c r="AI494" s="259"/>
      <c r="AJ494" s="260" t="s">
        <v>203</v>
      </c>
      <c r="AK494" s="260" t="s">
        <v>190</v>
      </c>
      <c r="AL494" s="260" t="s">
        <v>190</v>
      </c>
      <c r="AM494" s="255" t="s">
        <v>2349</v>
      </c>
      <c r="AN494" s="22">
        <v>182</v>
      </c>
      <c r="AO494" s="22">
        <v>0</v>
      </c>
      <c r="AP494" s="22">
        <v>0</v>
      </c>
      <c r="AQ494" s="22">
        <v>0</v>
      </c>
      <c r="AR494" s="22">
        <v>0</v>
      </c>
      <c r="AS494" s="22">
        <v>7</v>
      </c>
      <c r="AT494" s="22">
        <v>10</v>
      </c>
      <c r="AU494" s="316">
        <f t="shared" si="78"/>
        <v>199</v>
      </c>
      <c r="AV494" s="22">
        <v>190</v>
      </c>
      <c r="AW494" s="22">
        <v>0</v>
      </c>
      <c r="AX494" s="22">
        <v>0</v>
      </c>
      <c r="AY494" s="22">
        <v>0</v>
      </c>
      <c r="AZ494" s="22">
        <v>0</v>
      </c>
      <c r="BA494" s="22">
        <v>7</v>
      </c>
      <c r="BB494" s="22">
        <v>10</v>
      </c>
      <c r="BC494" s="316">
        <f t="shared" si="79"/>
        <v>207</v>
      </c>
      <c r="BD494" s="58">
        <f t="shared" si="80"/>
        <v>8</v>
      </c>
      <c r="BE494" s="58">
        <f t="shared" si="81"/>
        <v>0</v>
      </c>
      <c r="BF494" s="58">
        <f t="shared" si="82"/>
        <v>0</v>
      </c>
      <c r="BG494" s="58">
        <f t="shared" si="83"/>
        <v>0</v>
      </c>
      <c r="BH494" s="58">
        <f t="shared" si="84"/>
        <v>0</v>
      </c>
      <c r="BI494" s="58">
        <f t="shared" si="85"/>
        <v>0</v>
      </c>
      <c r="BJ494" s="58">
        <f t="shared" si="86"/>
        <v>0</v>
      </c>
      <c r="BK494" s="58">
        <f t="shared" si="87"/>
        <v>8</v>
      </c>
    </row>
    <row r="495" spans="1:63" ht="27" customHeight="1">
      <c r="A495" s="238">
        <f t="shared" si="88"/>
        <v>493</v>
      </c>
      <c r="B495" s="239"/>
      <c r="C495" s="239">
        <v>3135</v>
      </c>
      <c r="D495" s="241" t="s">
        <v>3239</v>
      </c>
      <c r="E495" s="242" t="s">
        <v>3240</v>
      </c>
      <c r="F495" s="243" t="s">
        <v>881</v>
      </c>
      <c r="G495" s="244" t="s">
        <v>1809</v>
      </c>
      <c r="H495" s="245" t="s">
        <v>3241</v>
      </c>
      <c r="I495" s="246" t="s">
        <v>3242</v>
      </c>
      <c r="J495" s="247" t="s">
        <v>178</v>
      </c>
      <c r="K495" s="248">
        <v>33696</v>
      </c>
      <c r="L495" s="249" t="s">
        <v>179</v>
      </c>
      <c r="M495" s="250">
        <v>43743</v>
      </c>
      <c r="N495" s="250"/>
      <c r="O495" s="250" t="s">
        <v>34</v>
      </c>
      <c r="P495" s="238" t="s">
        <v>604</v>
      </c>
      <c r="Q495" s="238" t="s">
        <v>181</v>
      </c>
      <c r="R495" s="238" t="s">
        <v>182</v>
      </c>
      <c r="S495" s="238" t="s">
        <v>2430</v>
      </c>
      <c r="T495" s="251"/>
      <c r="U495" s="251"/>
      <c r="V495" s="252"/>
      <c r="W495" s="252"/>
      <c r="X495" s="252">
        <v>10</v>
      </c>
      <c r="Y495" s="253"/>
      <c r="Z495" s="254"/>
      <c r="AA495" s="254"/>
      <c r="AB495" s="252"/>
      <c r="AC495" s="255"/>
      <c r="AD495" s="256"/>
      <c r="AE495" s="256"/>
      <c r="AF495" s="257"/>
      <c r="AG495" s="258"/>
      <c r="AH495" s="259"/>
      <c r="AI495" s="259"/>
      <c r="AJ495" s="260" t="s">
        <v>203</v>
      </c>
      <c r="AK495" s="260" t="s">
        <v>190</v>
      </c>
      <c r="AL495" s="260" t="s">
        <v>190</v>
      </c>
      <c r="AM495" s="255" t="s">
        <v>2349</v>
      </c>
      <c r="AN495" s="22">
        <v>182</v>
      </c>
      <c r="AO495" s="22">
        <v>0</v>
      </c>
      <c r="AP495" s="22">
        <v>0</v>
      </c>
      <c r="AQ495" s="22">
        <v>0</v>
      </c>
      <c r="AR495" s="22">
        <v>0</v>
      </c>
      <c r="AS495" s="22">
        <v>7</v>
      </c>
      <c r="AT495" s="22">
        <v>10</v>
      </c>
      <c r="AU495" s="316">
        <f t="shared" si="78"/>
        <v>199</v>
      </c>
      <c r="AV495" s="22">
        <v>190</v>
      </c>
      <c r="AW495" s="22">
        <v>0</v>
      </c>
      <c r="AX495" s="22">
        <v>0</v>
      </c>
      <c r="AY495" s="22">
        <v>0</v>
      </c>
      <c r="AZ495" s="22">
        <v>0</v>
      </c>
      <c r="BA495" s="22">
        <v>7</v>
      </c>
      <c r="BB495" s="22">
        <v>10</v>
      </c>
      <c r="BC495" s="316">
        <f t="shared" si="79"/>
        <v>207</v>
      </c>
      <c r="BD495" s="58">
        <f t="shared" si="80"/>
        <v>8</v>
      </c>
      <c r="BE495" s="58">
        <f t="shared" si="81"/>
        <v>0</v>
      </c>
      <c r="BF495" s="58">
        <f t="shared" si="82"/>
        <v>0</v>
      </c>
      <c r="BG495" s="58">
        <f t="shared" si="83"/>
        <v>0</v>
      </c>
      <c r="BH495" s="58">
        <f t="shared" si="84"/>
        <v>0</v>
      </c>
      <c r="BI495" s="58">
        <f t="shared" si="85"/>
        <v>0</v>
      </c>
      <c r="BJ495" s="58">
        <f t="shared" si="86"/>
        <v>0</v>
      </c>
      <c r="BK495" s="58">
        <f t="shared" si="87"/>
        <v>8</v>
      </c>
    </row>
    <row r="496" spans="1:63" ht="27" customHeight="1">
      <c r="A496" s="238">
        <f t="shared" si="88"/>
        <v>494</v>
      </c>
      <c r="B496" s="239"/>
      <c r="C496" s="239">
        <v>3134</v>
      </c>
      <c r="D496" s="241" t="s">
        <v>3243</v>
      </c>
      <c r="E496" s="242" t="s">
        <v>3244</v>
      </c>
      <c r="F496" s="243" t="s">
        <v>1904</v>
      </c>
      <c r="G496" s="244" t="s">
        <v>1254</v>
      </c>
      <c r="H496" s="245" t="s">
        <v>3245</v>
      </c>
      <c r="I496" s="246" t="s">
        <v>2497</v>
      </c>
      <c r="J496" s="247" t="s">
        <v>178</v>
      </c>
      <c r="K496" s="248">
        <v>31413</v>
      </c>
      <c r="L496" s="249" t="s">
        <v>179</v>
      </c>
      <c r="M496" s="250">
        <v>43745</v>
      </c>
      <c r="N496" s="250"/>
      <c r="O496" s="250" t="s">
        <v>34</v>
      </c>
      <c r="P496" s="238" t="s">
        <v>386</v>
      </c>
      <c r="Q496" s="238" t="s">
        <v>181</v>
      </c>
      <c r="R496" s="238" t="s">
        <v>182</v>
      </c>
      <c r="S496" s="238" t="s">
        <v>2359</v>
      </c>
      <c r="T496" s="251"/>
      <c r="U496" s="251"/>
      <c r="V496" s="252"/>
      <c r="W496" s="252"/>
      <c r="X496" s="252">
        <v>7</v>
      </c>
      <c r="Y496" s="253"/>
      <c r="Z496" s="254"/>
      <c r="AA496" s="254"/>
      <c r="AB496" s="252"/>
      <c r="AC496" s="255"/>
      <c r="AD496" s="256"/>
      <c r="AE496" s="256"/>
      <c r="AF496" s="257"/>
      <c r="AG496" s="258"/>
      <c r="AH496" s="259"/>
      <c r="AI496" s="259"/>
      <c r="AJ496" s="260" t="s">
        <v>203</v>
      </c>
      <c r="AK496" s="260" t="s">
        <v>190</v>
      </c>
      <c r="AL496" s="260" t="s">
        <v>190</v>
      </c>
      <c r="AM496" s="255" t="s">
        <v>2349</v>
      </c>
      <c r="AN496" s="22">
        <v>182</v>
      </c>
      <c r="AO496" s="22">
        <v>0</v>
      </c>
      <c r="AP496" s="22">
        <v>0</v>
      </c>
      <c r="AQ496" s="22">
        <v>0</v>
      </c>
      <c r="AR496" s="22">
        <v>0</v>
      </c>
      <c r="AS496" s="22">
        <v>7</v>
      </c>
      <c r="AT496" s="22">
        <v>10</v>
      </c>
      <c r="AU496" s="316">
        <f t="shared" si="78"/>
        <v>199</v>
      </c>
      <c r="AV496" s="22">
        <v>190</v>
      </c>
      <c r="AW496" s="22">
        <v>0</v>
      </c>
      <c r="AX496" s="22">
        <v>0</v>
      </c>
      <c r="AY496" s="22">
        <v>0</v>
      </c>
      <c r="AZ496" s="22">
        <v>0</v>
      </c>
      <c r="BA496" s="22">
        <v>7</v>
      </c>
      <c r="BB496" s="22">
        <v>10</v>
      </c>
      <c r="BC496" s="316">
        <f t="shared" si="79"/>
        <v>207</v>
      </c>
      <c r="BD496" s="58">
        <f t="shared" si="80"/>
        <v>8</v>
      </c>
      <c r="BE496" s="58">
        <f t="shared" si="81"/>
        <v>0</v>
      </c>
      <c r="BF496" s="58">
        <f t="shared" si="82"/>
        <v>0</v>
      </c>
      <c r="BG496" s="58">
        <f t="shared" si="83"/>
        <v>0</v>
      </c>
      <c r="BH496" s="58">
        <f t="shared" si="84"/>
        <v>0</v>
      </c>
      <c r="BI496" s="58">
        <f t="shared" si="85"/>
        <v>0</v>
      </c>
      <c r="BJ496" s="58">
        <f t="shared" si="86"/>
        <v>0</v>
      </c>
      <c r="BK496" s="58">
        <f t="shared" si="87"/>
        <v>8</v>
      </c>
    </row>
    <row r="497" spans="1:63" ht="27" customHeight="1">
      <c r="A497" s="238">
        <f t="shared" si="88"/>
        <v>495</v>
      </c>
      <c r="B497" s="239"/>
      <c r="C497" s="239">
        <v>3133</v>
      </c>
      <c r="D497" s="241" t="s">
        <v>3246</v>
      </c>
      <c r="E497" s="242" t="s">
        <v>3247</v>
      </c>
      <c r="F497" s="243" t="s">
        <v>3248</v>
      </c>
      <c r="G497" s="244" t="s">
        <v>3249</v>
      </c>
      <c r="H497" s="245" t="s">
        <v>2113</v>
      </c>
      <c r="I497" s="246" t="s">
        <v>3250</v>
      </c>
      <c r="J497" s="247" t="s">
        <v>178</v>
      </c>
      <c r="K497" s="248">
        <v>30812</v>
      </c>
      <c r="L497" s="249" t="s">
        <v>179</v>
      </c>
      <c r="M497" s="250">
        <v>43743</v>
      </c>
      <c r="N497" s="250"/>
      <c r="O497" s="250" t="s">
        <v>34</v>
      </c>
      <c r="P497" s="238" t="s">
        <v>339</v>
      </c>
      <c r="Q497" s="238" t="s">
        <v>181</v>
      </c>
      <c r="R497" s="238" t="s">
        <v>182</v>
      </c>
      <c r="S497" s="238" t="s">
        <v>2430</v>
      </c>
      <c r="T497" s="251"/>
      <c r="U497" s="251"/>
      <c r="V497" s="252"/>
      <c r="W497" s="252"/>
      <c r="X497" s="252">
        <v>9</v>
      </c>
      <c r="Y497" s="253"/>
      <c r="Z497" s="254"/>
      <c r="AA497" s="254"/>
      <c r="AB497" s="252"/>
      <c r="AC497" s="255"/>
      <c r="AD497" s="256"/>
      <c r="AE497" s="256"/>
      <c r="AF497" s="257"/>
      <c r="AG497" s="258"/>
      <c r="AH497" s="259"/>
      <c r="AI497" s="259"/>
      <c r="AJ497" s="260" t="s">
        <v>203</v>
      </c>
      <c r="AK497" s="260" t="s">
        <v>190</v>
      </c>
      <c r="AL497" s="260" t="s">
        <v>190</v>
      </c>
      <c r="AM497" s="255" t="s">
        <v>2349</v>
      </c>
      <c r="AN497" s="22">
        <v>182</v>
      </c>
      <c r="AO497" s="22">
        <v>0</v>
      </c>
      <c r="AP497" s="22">
        <v>0</v>
      </c>
      <c r="AQ497" s="22">
        <v>0</v>
      </c>
      <c r="AR497" s="22">
        <v>0</v>
      </c>
      <c r="AS497" s="22">
        <v>7</v>
      </c>
      <c r="AT497" s="22">
        <v>10</v>
      </c>
      <c r="AU497" s="316">
        <f t="shared" si="78"/>
        <v>199</v>
      </c>
      <c r="AV497" s="22">
        <v>190</v>
      </c>
      <c r="AW497" s="22">
        <v>0</v>
      </c>
      <c r="AX497" s="22">
        <v>0</v>
      </c>
      <c r="AY497" s="22">
        <v>0</v>
      </c>
      <c r="AZ497" s="22">
        <v>0</v>
      </c>
      <c r="BA497" s="22">
        <v>7</v>
      </c>
      <c r="BB497" s="22">
        <v>10</v>
      </c>
      <c r="BC497" s="316">
        <f t="shared" si="79"/>
        <v>207</v>
      </c>
      <c r="BD497" s="58">
        <f t="shared" si="80"/>
        <v>8</v>
      </c>
      <c r="BE497" s="58">
        <f t="shared" si="81"/>
        <v>0</v>
      </c>
      <c r="BF497" s="58">
        <f t="shared" si="82"/>
        <v>0</v>
      </c>
      <c r="BG497" s="58">
        <f t="shared" si="83"/>
        <v>0</v>
      </c>
      <c r="BH497" s="58">
        <f t="shared" si="84"/>
        <v>0</v>
      </c>
      <c r="BI497" s="58">
        <f t="shared" si="85"/>
        <v>0</v>
      </c>
      <c r="BJ497" s="58">
        <f t="shared" si="86"/>
        <v>0</v>
      </c>
      <c r="BK497" s="58">
        <f t="shared" si="87"/>
        <v>8</v>
      </c>
    </row>
    <row r="498" spans="1:63" ht="27" customHeight="1">
      <c r="A498" s="238">
        <f t="shared" si="88"/>
        <v>496</v>
      </c>
      <c r="B498" s="239"/>
      <c r="C498" s="239">
        <v>3337</v>
      </c>
      <c r="D498" s="241" t="s">
        <v>3251</v>
      </c>
      <c r="E498" s="242" t="s">
        <v>3252</v>
      </c>
      <c r="F498" s="243" t="s">
        <v>1297</v>
      </c>
      <c r="G498" s="244" t="s">
        <v>2176</v>
      </c>
      <c r="H498" s="245" t="s">
        <v>3253</v>
      </c>
      <c r="I498" s="246" t="s">
        <v>3254</v>
      </c>
      <c r="J498" s="247" t="s">
        <v>178</v>
      </c>
      <c r="K498" s="248">
        <v>33642</v>
      </c>
      <c r="L498" s="249" t="s">
        <v>179</v>
      </c>
      <c r="M498" s="250">
        <v>43749</v>
      </c>
      <c r="N498" s="250"/>
      <c r="O498" s="250" t="s">
        <v>34</v>
      </c>
      <c r="P498" s="238" t="s">
        <v>309</v>
      </c>
      <c r="Q498" s="238" t="s">
        <v>181</v>
      </c>
      <c r="R498" s="238" t="s">
        <v>182</v>
      </c>
      <c r="S498" s="238" t="s">
        <v>2430</v>
      </c>
      <c r="T498" s="251"/>
      <c r="U498" s="251"/>
      <c r="V498" s="252"/>
      <c r="W498" s="252"/>
      <c r="X498" s="252">
        <v>9</v>
      </c>
      <c r="Y498" s="253"/>
      <c r="Z498" s="254"/>
      <c r="AA498" s="254" t="s">
        <v>186</v>
      </c>
      <c r="AB498" s="252"/>
      <c r="AC498" s="255"/>
      <c r="AD498" s="256"/>
      <c r="AE498" s="256"/>
      <c r="AF498" s="257"/>
      <c r="AG498" s="258"/>
      <c r="AH498" s="259"/>
      <c r="AI498" s="259"/>
      <c r="AJ498" s="260" t="s">
        <v>203</v>
      </c>
      <c r="AK498" s="260" t="s">
        <v>190</v>
      </c>
      <c r="AL498" s="260" t="s">
        <v>190</v>
      </c>
      <c r="AM498" s="255" t="s">
        <v>2349</v>
      </c>
      <c r="AN498" s="22">
        <v>182</v>
      </c>
      <c r="AO498" s="22">
        <v>0</v>
      </c>
      <c r="AP498" s="22">
        <v>0</v>
      </c>
      <c r="AQ498" s="22">
        <v>0</v>
      </c>
      <c r="AR498" s="22">
        <v>0</v>
      </c>
      <c r="AS498" s="22">
        <v>7</v>
      </c>
      <c r="AT498" s="22">
        <v>10</v>
      </c>
      <c r="AU498" s="316">
        <f t="shared" si="78"/>
        <v>199</v>
      </c>
      <c r="AV498" s="22">
        <v>190</v>
      </c>
      <c r="AW498" s="22">
        <v>0</v>
      </c>
      <c r="AX498" s="22">
        <v>0</v>
      </c>
      <c r="AY498" s="22">
        <v>0</v>
      </c>
      <c r="AZ498" s="22">
        <v>0</v>
      </c>
      <c r="BA498" s="22">
        <v>7</v>
      </c>
      <c r="BB498" s="22">
        <v>10</v>
      </c>
      <c r="BC498" s="316">
        <f t="shared" si="79"/>
        <v>207</v>
      </c>
      <c r="BD498" s="58">
        <f t="shared" si="80"/>
        <v>8</v>
      </c>
      <c r="BE498" s="58">
        <f t="shared" si="81"/>
        <v>0</v>
      </c>
      <c r="BF498" s="58">
        <f t="shared" si="82"/>
        <v>0</v>
      </c>
      <c r="BG498" s="58">
        <f t="shared" si="83"/>
        <v>0</v>
      </c>
      <c r="BH498" s="58">
        <f t="shared" si="84"/>
        <v>0</v>
      </c>
      <c r="BI498" s="58">
        <f t="shared" si="85"/>
        <v>0</v>
      </c>
      <c r="BJ498" s="58">
        <f t="shared" si="86"/>
        <v>0</v>
      </c>
      <c r="BK498" s="58">
        <f t="shared" si="87"/>
        <v>8</v>
      </c>
    </row>
    <row r="499" spans="1:63" ht="27" customHeight="1">
      <c r="A499" s="238">
        <f t="shared" si="88"/>
        <v>497</v>
      </c>
      <c r="B499" s="239"/>
      <c r="C499" s="239">
        <v>3344</v>
      </c>
      <c r="D499" s="241" t="s">
        <v>3255</v>
      </c>
      <c r="E499" s="242" t="s">
        <v>3256</v>
      </c>
      <c r="F499" s="243" t="s">
        <v>3066</v>
      </c>
      <c r="G499" s="244" t="s">
        <v>3210</v>
      </c>
      <c r="H499" s="245" t="s">
        <v>57</v>
      </c>
      <c r="I499" s="246" t="s">
        <v>58</v>
      </c>
      <c r="J499" s="247" t="s">
        <v>209</v>
      </c>
      <c r="K499" s="248">
        <v>35043</v>
      </c>
      <c r="L499" s="249" t="s">
        <v>179</v>
      </c>
      <c r="M499" s="250">
        <v>43750</v>
      </c>
      <c r="N499" s="250"/>
      <c r="O499" s="250" t="s">
        <v>34</v>
      </c>
      <c r="P499" s="238" t="s">
        <v>15</v>
      </c>
      <c r="Q499" s="238" t="s">
        <v>181</v>
      </c>
      <c r="R499" s="238" t="s">
        <v>182</v>
      </c>
      <c r="S499" s="238" t="s">
        <v>2505</v>
      </c>
      <c r="T499" s="251"/>
      <c r="U499" s="251"/>
      <c r="V499" s="252"/>
      <c r="W499" s="252"/>
      <c r="X499" s="252">
        <v>6</v>
      </c>
      <c r="Y499" s="253"/>
      <c r="Z499" s="254" t="s">
        <v>186</v>
      </c>
      <c r="AA499" s="254"/>
      <c r="AB499" s="252"/>
      <c r="AC499" s="255"/>
      <c r="AD499" s="256"/>
      <c r="AE499" s="256"/>
      <c r="AF499" s="257"/>
      <c r="AG499" s="258"/>
      <c r="AH499" s="259"/>
      <c r="AI499" s="259"/>
      <c r="AJ499" s="260" t="s">
        <v>203</v>
      </c>
      <c r="AK499" s="260" t="s">
        <v>190</v>
      </c>
      <c r="AL499" s="260" t="s">
        <v>190</v>
      </c>
      <c r="AM499" s="255" t="s">
        <v>2349</v>
      </c>
      <c r="AN499" s="22">
        <v>182</v>
      </c>
      <c r="AO499" s="22">
        <v>0</v>
      </c>
      <c r="AP499" s="22">
        <v>0</v>
      </c>
      <c r="AQ499" s="22">
        <v>0</v>
      </c>
      <c r="AR499" s="22">
        <v>0</v>
      </c>
      <c r="AS499" s="22">
        <v>7</v>
      </c>
      <c r="AT499" s="22">
        <v>10</v>
      </c>
      <c r="AU499" s="316">
        <f t="shared" si="78"/>
        <v>199</v>
      </c>
      <c r="AV499" s="22">
        <v>190</v>
      </c>
      <c r="AW499" s="22">
        <v>0</v>
      </c>
      <c r="AX499" s="22">
        <v>0</v>
      </c>
      <c r="AY499" s="22">
        <v>0</v>
      </c>
      <c r="AZ499" s="22">
        <v>0</v>
      </c>
      <c r="BA499" s="22">
        <v>7</v>
      </c>
      <c r="BB499" s="22">
        <v>10</v>
      </c>
      <c r="BC499" s="316">
        <f t="shared" si="79"/>
        <v>207</v>
      </c>
      <c r="BD499" s="58">
        <f t="shared" si="80"/>
        <v>8</v>
      </c>
      <c r="BE499" s="58">
        <f t="shared" si="81"/>
        <v>0</v>
      </c>
      <c r="BF499" s="58">
        <f t="shared" si="82"/>
        <v>0</v>
      </c>
      <c r="BG499" s="58">
        <f t="shared" si="83"/>
        <v>0</v>
      </c>
      <c r="BH499" s="58">
        <f t="shared" si="84"/>
        <v>0</v>
      </c>
      <c r="BI499" s="58">
        <f t="shared" si="85"/>
        <v>0</v>
      </c>
      <c r="BJ499" s="58">
        <f t="shared" si="86"/>
        <v>0</v>
      </c>
      <c r="BK499" s="58">
        <f t="shared" si="87"/>
        <v>8</v>
      </c>
    </row>
    <row r="500" spans="1:63" ht="27" customHeight="1">
      <c r="A500" s="238">
        <f t="shared" si="88"/>
        <v>498</v>
      </c>
      <c r="B500" s="239"/>
      <c r="C500" s="239">
        <v>3343</v>
      </c>
      <c r="D500" s="241" t="s">
        <v>3257</v>
      </c>
      <c r="E500" s="242" t="s">
        <v>3258</v>
      </c>
      <c r="F500" s="243" t="s">
        <v>1710</v>
      </c>
      <c r="G500" s="244" t="s">
        <v>237</v>
      </c>
      <c r="H500" s="245" t="s">
        <v>59</v>
      </c>
      <c r="I500" s="246" t="s">
        <v>60</v>
      </c>
      <c r="J500" s="247" t="s">
        <v>209</v>
      </c>
      <c r="K500" s="248">
        <v>36946</v>
      </c>
      <c r="L500" s="249" t="s">
        <v>179</v>
      </c>
      <c r="M500" s="250">
        <v>43750</v>
      </c>
      <c r="N500" s="250"/>
      <c r="O500" s="250" t="s">
        <v>34</v>
      </c>
      <c r="P500" s="238" t="s">
        <v>15</v>
      </c>
      <c r="Q500" s="238" t="s">
        <v>181</v>
      </c>
      <c r="R500" s="238" t="s">
        <v>182</v>
      </c>
      <c r="S500" s="238" t="s">
        <v>2505</v>
      </c>
      <c r="T500" s="251"/>
      <c r="U500" s="251"/>
      <c r="V500" s="252"/>
      <c r="W500" s="252"/>
      <c r="X500" s="252">
        <v>6</v>
      </c>
      <c r="Y500" s="253"/>
      <c r="Z500" s="254" t="s">
        <v>186</v>
      </c>
      <c r="AA500" s="254"/>
      <c r="AB500" s="252"/>
      <c r="AC500" s="255"/>
      <c r="AD500" s="256"/>
      <c r="AE500" s="256"/>
      <c r="AF500" s="257"/>
      <c r="AG500" s="258"/>
      <c r="AH500" s="259"/>
      <c r="AI500" s="259"/>
      <c r="AJ500" s="260" t="s">
        <v>203</v>
      </c>
      <c r="AK500" s="260" t="s">
        <v>190</v>
      </c>
      <c r="AL500" s="260" t="s">
        <v>190</v>
      </c>
      <c r="AM500" s="255" t="s">
        <v>2349</v>
      </c>
      <c r="AN500" s="22">
        <v>182</v>
      </c>
      <c r="AO500" s="22">
        <v>0</v>
      </c>
      <c r="AP500" s="22">
        <v>0</v>
      </c>
      <c r="AQ500" s="22">
        <v>0</v>
      </c>
      <c r="AR500" s="22">
        <v>0</v>
      </c>
      <c r="AS500" s="22">
        <v>7</v>
      </c>
      <c r="AT500" s="22">
        <v>10</v>
      </c>
      <c r="AU500" s="316">
        <f t="shared" si="78"/>
        <v>199</v>
      </c>
      <c r="AV500" s="22">
        <v>190</v>
      </c>
      <c r="AW500" s="22">
        <v>0</v>
      </c>
      <c r="AX500" s="22">
        <v>0</v>
      </c>
      <c r="AY500" s="22">
        <v>0</v>
      </c>
      <c r="AZ500" s="22">
        <v>0</v>
      </c>
      <c r="BA500" s="22">
        <v>7</v>
      </c>
      <c r="BB500" s="22">
        <v>10</v>
      </c>
      <c r="BC500" s="316">
        <f t="shared" si="79"/>
        <v>207</v>
      </c>
      <c r="BD500" s="58">
        <f t="shared" si="80"/>
        <v>8</v>
      </c>
      <c r="BE500" s="58">
        <f t="shared" si="81"/>
        <v>0</v>
      </c>
      <c r="BF500" s="58">
        <f t="shared" si="82"/>
        <v>0</v>
      </c>
      <c r="BG500" s="58">
        <f t="shared" si="83"/>
        <v>0</v>
      </c>
      <c r="BH500" s="58">
        <f t="shared" si="84"/>
        <v>0</v>
      </c>
      <c r="BI500" s="58">
        <f t="shared" si="85"/>
        <v>0</v>
      </c>
      <c r="BJ500" s="58">
        <f t="shared" si="86"/>
        <v>0</v>
      </c>
      <c r="BK500" s="58">
        <f t="shared" si="87"/>
        <v>8</v>
      </c>
    </row>
    <row r="501" spans="1:63" ht="27" customHeight="1">
      <c r="A501" s="238">
        <f t="shared" si="88"/>
        <v>499</v>
      </c>
      <c r="B501" s="239"/>
      <c r="C501" s="239">
        <v>3325</v>
      </c>
      <c r="D501" s="241">
        <v>0</v>
      </c>
      <c r="E501" s="242" t="s">
        <v>3259</v>
      </c>
      <c r="F501" s="243" t="s">
        <v>3260</v>
      </c>
      <c r="G501" s="244" t="s">
        <v>1828</v>
      </c>
      <c r="H501" s="245" t="s">
        <v>116</v>
      </c>
      <c r="I501" s="246" t="s">
        <v>49</v>
      </c>
      <c r="J501" s="247" t="s">
        <v>209</v>
      </c>
      <c r="K501" s="248">
        <v>32988</v>
      </c>
      <c r="L501" s="249" t="s">
        <v>179</v>
      </c>
      <c r="M501" s="250">
        <v>43747</v>
      </c>
      <c r="N501" s="250"/>
      <c r="O501" s="250" t="s">
        <v>34</v>
      </c>
      <c r="P501" s="238" t="s">
        <v>81</v>
      </c>
      <c r="Q501" s="238" t="s">
        <v>181</v>
      </c>
      <c r="R501" s="238" t="s">
        <v>182</v>
      </c>
      <c r="S501" s="238" t="s">
        <v>1551</v>
      </c>
      <c r="T501" s="251"/>
      <c r="U501" s="251"/>
      <c r="V501" s="252"/>
      <c r="W501" s="252"/>
      <c r="X501" s="252">
        <v>5</v>
      </c>
      <c r="Y501" s="253"/>
      <c r="Z501" s="254"/>
      <c r="AA501" s="254" t="s">
        <v>186</v>
      </c>
      <c r="AB501" s="252"/>
      <c r="AC501" s="255"/>
      <c r="AD501" s="256" t="s">
        <v>188</v>
      </c>
      <c r="AE501" s="256"/>
      <c r="AF501" s="257"/>
      <c r="AG501" s="258"/>
      <c r="AH501" s="259"/>
      <c r="AI501" s="259"/>
      <c r="AJ501" s="260" t="s">
        <v>203</v>
      </c>
      <c r="AK501" s="260" t="s">
        <v>190</v>
      </c>
      <c r="AL501" s="260" t="s">
        <v>190</v>
      </c>
      <c r="AM501" s="255" t="s">
        <v>2349</v>
      </c>
      <c r="AN501" s="22">
        <v>182</v>
      </c>
      <c r="AO501" s="22">
        <v>0</v>
      </c>
      <c r="AP501" s="22">
        <v>0</v>
      </c>
      <c r="AQ501" s="22">
        <v>0</v>
      </c>
      <c r="AR501" s="22">
        <v>0</v>
      </c>
      <c r="AS501" s="22">
        <v>7</v>
      </c>
      <c r="AT501" s="22">
        <v>10</v>
      </c>
      <c r="AU501" s="316">
        <f t="shared" si="78"/>
        <v>199</v>
      </c>
      <c r="AV501" s="22">
        <v>190</v>
      </c>
      <c r="AW501" s="22">
        <v>0</v>
      </c>
      <c r="AX501" s="22">
        <v>0</v>
      </c>
      <c r="AY501" s="22">
        <v>0</v>
      </c>
      <c r="AZ501" s="22">
        <v>0</v>
      </c>
      <c r="BA501" s="22">
        <v>7</v>
      </c>
      <c r="BB501" s="22">
        <v>10</v>
      </c>
      <c r="BC501" s="316">
        <f t="shared" si="79"/>
        <v>207</v>
      </c>
      <c r="BD501" s="58">
        <f t="shared" si="80"/>
        <v>8</v>
      </c>
      <c r="BE501" s="58">
        <f t="shared" si="81"/>
        <v>0</v>
      </c>
      <c r="BF501" s="58">
        <f t="shared" si="82"/>
        <v>0</v>
      </c>
      <c r="BG501" s="58">
        <f t="shared" si="83"/>
        <v>0</v>
      </c>
      <c r="BH501" s="58">
        <f t="shared" si="84"/>
        <v>0</v>
      </c>
      <c r="BI501" s="58">
        <f t="shared" si="85"/>
        <v>0</v>
      </c>
      <c r="BJ501" s="58">
        <f t="shared" si="86"/>
        <v>0</v>
      </c>
      <c r="BK501" s="58">
        <f t="shared" si="87"/>
        <v>8</v>
      </c>
    </row>
    <row r="502" spans="1:63" ht="27" customHeight="1">
      <c r="A502" s="238">
        <f t="shared" si="88"/>
        <v>500</v>
      </c>
      <c r="B502" s="239"/>
      <c r="C502" s="239">
        <v>3334</v>
      </c>
      <c r="D502" s="241" t="s">
        <v>3261</v>
      </c>
      <c r="E502" s="242" t="s">
        <v>3262</v>
      </c>
      <c r="F502" s="243" t="s">
        <v>1171</v>
      </c>
      <c r="G502" s="244" t="s">
        <v>2234</v>
      </c>
      <c r="H502" s="245" t="s">
        <v>3263</v>
      </c>
      <c r="I502" s="246" t="s">
        <v>3264</v>
      </c>
      <c r="J502" s="247" t="s">
        <v>209</v>
      </c>
      <c r="K502" s="248">
        <v>33666</v>
      </c>
      <c r="L502" s="249" t="s">
        <v>179</v>
      </c>
      <c r="M502" s="250">
        <v>43748</v>
      </c>
      <c r="N502" s="250"/>
      <c r="O502" s="250" t="s">
        <v>34</v>
      </c>
      <c r="P502" s="238" t="s">
        <v>561</v>
      </c>
      <c r="Q502" s="238" t="s">
        <v>181</v>
      </c>
      <c r="R502" s="238" t="s">
        <v>182</v>
      </c>
      <c r="S502" s="238" t="s">
        <v>2359</v>
      </c>
      <c r="T502" s="251"/>
      <c r="U502" s="251"/>
      <c r="V502" s="252"/>
      <c r="W502" s="252"/>
      <c r="X502" s="252">
        <v>11</v>
      </c>
      <c r="Y502" s="253"/>
      <c r="Z502" s="254" t="s">
        <v>186</v>
      </c>
      <c r="AA502" s="254"/>
      <c r="AB502" s="252"/>
      <c r="AC502" s="255"/>
      <c r="AD502" s="256"/>
      <c r="AE502" s="256"/>
      <c r="AF502" s="257"/>
      <c r="AG502" s="258"/>
      <c r="AH502" s="259"/>
      <c r="AI502" s="259"/>
      <c r="AJ502" s="260" t="s">
        <v>203</v>
      </c>
      <c r="AK502" s="260" t="s">
        <v>190</v>
      </c>
      <c r="AL502" s="260" t="s">
        <v>190</v>
      </c>
      <c r="AM502" s="255" t="s">
        <v>2349</v>
      </c>
      <c r="AN502" s="22">
        <v>182</v>
      </c>
      <c r="AO502" s="22">
        <v>0</v>
      </c>
      <c r="AP502" s="22">
        <v>0</v>
      </c>
      <c r="AQ502" s="22">
        <v>0</v>
      </c>
      <c r="AR502" s="22">
        <v>0</v>
      </c>
      <c r="AS502" s="22">
        <v>7</v>
      </c>
      <c r="AT502" s="22">
        <v>10</v>
      </c>
      <c r="AU502" s="316">
        <f t="shared" si="78"/>
        <v>199</v>
      </c>
      <c r="AV502" s="22">
        <v>190</v>
      </c>
      <c r="AW502" s="22">
        <v>0</v>
      </c>
      <c r="AX502" s="22">
        <v>0</v>
      </c>
      <c r="AY502" s="22">
        <v>0</v>
      </c>
      <c r="AZ502" s="22">
        <v>0</v>
      </c>
      <c r="BA502" s="22">
        <v>7</v>
      </c>
      <c r="BB502" s="22">
        <v>10</v>
      </c>
      <c r="BC502" s="316">
        <f t="shared" si="79"/>
        <v>207</v>
      </c>
      <c r="BD502" s="58">
        <f t="shared" si="80"/>
        <v>8</v>
      </c>
      <c r="BE502" s="58">
        <f t="shared" si="81"/>
        <v>0</v>
      </c>
      <c r="BF502" s="58">
        <f t="shared" si="82"/>
        <v>0</v>
      </c>
      <c r="BG502" s="58">
        <f t="shared" si="83"/>
        <v>0</v>
      </c>
      <c r="BH502" s="58">
        <f t="shared" si="84"/>
        <v>0</v>
      </c>
      <c r="BI502" s="58">
        <f t="shared" si="85"/>
        <v>0</v>
      </c>
      <c r="BJ502" s="58">
        <f t="shared" si="86"/>
        <v>0</v>
      </c>
      <c r="BK502" s="58">
        <f t="shared" si="87"/>
        <v>8</v>
      </c>
    </row>
    <row r="503" spans="1:63" ht="27" customHeight="1">
      <c r="A503" s="238">
        <f t="shared" si="88"/>
        <v>501</v>
      </c>
      <c r="B503" s="239"/>
      <c r="C503" s="239">
        <v>3345</v>
      </c>
      <c r="D503" s="241" t="s">
        <v>3265</v>
      </c>
      <c r="E503" s="242" t="s">
        <v>3266</v>
      </c>
      <c r="F503" s="243" t="s">
        <v>3267</v>
      </c>
      <c r="G503" s="244" t="s">
        <v>1155</v>
      </c>
      <c r="H503" s="245" t="s">
        <v>3268</v>
      </c>
      <c r="I503" s="246" t="s">
        <v>2588</v>
      </c>
      <c r="J503" s="247" t="s">
        <v>178</v>
      </c>
      <c r="K503" s="248">
        <v>33489</v>
      </c>
      <c r="L503" s="249" t="s">
        <v>179</v>
      </c>
      <c r="M503" s="250">
        <v>43750</v>
      </c>
      <c r="N503" s="250"/>
      <c r="O503" s="250" t="s">
        <v>34</v>
      </c>
      <c r="P503" s="238" t="s">
        <v>27</v>
      </c>
      <c r="Q503" s="238" t="s">
        <v>181</v>
      </c>
      <c r="R503" s="238" t="s">
        <v>182</v>
      </c>
      <c r="S503" s="238" t="s">
        <v>2397</v>
      </c>
      <c r="T503" s="251"/>
      <c r="U503" s="251"/>
      <c r="V503" s="252"/>
      <c r="W503" s="252"/>
      <c r="X503" s="252">
        <v>4</v>
      </c>
      <c r="Y503" s="253"/>
      <c r="Z503" s="254"/>
      <c r="AA503" s="254" t="s">
        <v>186</v>
      </c>
      <c r="AB503" s="252"/>
      <c r="AC503" s="255"/>
      <c r="AD503" s="256" t="s">
        <v>188</v>
      </c>
      <c r="AE503" s="256" t="s">
        <v>188</v>
      </c>
      <c r="AF503" s="257" t="s">
        <v>188</v>
      </c>
      <c r="AG503" s="258"/>
      <c r="AH503" s="259"/>
      <c r="AI503" s="259"/>
      <c r="AJ503" s="260" t="s">
        <v>203</v>
      </c>
      <c r="AK503" s="260" t="s">
        <v>190</v>
      </c>
      <c r="AL503" s="260" t="s">
        <v>190</v>
      </c>
      <c r="AM503" s="255" t="s">
        <v>2349</v>
      </c>
      <c r="AN503" s="22">
        <v>182</v>
      </c>
      <c r="AO503" s="22">
        <v>0</v>
      </c>
      <c r="AP503" s="22">
        <v>0</v>
      </c>
      <c r="AQ503" s="22">
        <v>0</v>
      </c>
      <c r="AR503" s="22">
        <v>0</v>
      </c>
      <c r="AS503" s="22">
        <v>7</v>
      </c>
      <c r="AT503" s="22">
        <v>10</v>
      </c>
      <c r="AU503" s="316">
        <f t="shared" si="78"/>
        <v>199</v>
      </c>
      <c r="AV503" s="22">
        <v>190</v>
      </c>
      <c r="AW503" s="22">
        <v>0</v>
      </c>
      <c r="AX503" s="22">
        <v>0</v>
      </c>
      <c r="AY503" s="22">
        <v>0</v>
      </c>
      <c r="AZ503" s="22">
        <v>0</v>
      </c>
      <c r="BA503" s="22">
        <v>7</v>
      </c>
      <c r="BB503" s="22">
        <v>10</v>
      </c>
      <c r="BC503" s="316">
        <f t="shared" si="79"/>
        <v>207</v>
      </c>
      <c r="BD503" s="58">
        <f t="shared" si="80"/>
        <v>8</v>
      </c>
      <c r="BE503" s="58">
        <f t="shared" si="81"/>
        <v>0</v>
      </c>
      <c r="BF503" s="58">
        <f t="shared" si="82"/>
        <v>0</v>
      </c>
      <c r="BG503" s="58">
        <f t="shared" si="83"/>
        <v>0</v>
      </c>
      <c r="BH503" s="58">
        <f t="shared" si="84"/>
        <v>0</v>
      </c>
      <c r="BI503" s="58">
        <f t="shared" si="85"/>
        <v>0</v>
      </c>
      <c r="BJ503" s="58">
        <f t="shared" si="86"/>
        <v>0</v>
      </c>
      <c r="BK503" s="58">
        <f t="shared" si="87"/>
        <v>8</v>
      </c>
    </row>
    <row r="504" spans="1:63" ht="27" customHeight="1">
      <c r="A504" s="238">
        <f t="shared" si="88"/>
        <v>502</v>
      </c>
      <c r="B504" s="239"/>
      <c r="C504" s="239">
        <v>3349</v>
      </c>
      <c r="D504" s="241" t="s">
        <v>3269</v>
      </c>
      <c r="E504" s="242" t="s">
        <v>3270</v>
      </c>
      <c r="F504" s="243" t="s">
        <v>557</v>
      </c>
      <c r="G504" s="244" t="s">
        <v>1675</v>
      </c>
      <c r="H504" s="245" t="s">
        <v>2332</v>
      </c>
      <c r="I504" s="246" t="s">
        <v>3271</v>
      </c>
      <c r="J504" s="247" t="s">
        <v>178</v>
      </c>
      <c r="K504" s="248">
        <v>35373</v>
      </c>
      <c r="L504" s="249" t="s">
        <v>179</v>
      </c>
      <c r="M504" s="250">
        <v>43754</v>
      </c>
      <c r="N504" s="250"/>
      <c r="O504" s="250" t="s">
        <v>34</v>
      </c>
      <c r="P504" s="238" t="s">
        <v>292</v>
      </c>
      <c r="Q504" s="238" t="s">
        <v>181</v>
      </c>
      <c r="R504" s="238" t="s">
        <v>182</v>
      </c>
      <c r="S504" s="238" t="s">
        <v>2384</v>
      </c>
      <c r="T504" s="251"/>
      <c r="U504" s="251"/>
      <c r="V504" s="252"/>
      <c r="W504" s="252"/>
      <c r="X504" s="252">
        <v>7</v>
      </c>
      <c r="Y504" s="253"/>
      <c r="Z504" s="254"/>
      <c r="AA504" s="254" t="s">
        <v>186</v>
      </c>
      <c r="AB504" s="252"/>
      <c r="AC504" s="255"/>
      <c r="AD504" s="256"/>
      <c r="AE504" s="256"/>
      <c r="AF504" s="257"/>
      <c r="AG504" s="258"/>
      <c r="AH504" s="259"/>
      <c r="AI504" s="259"/>
      <c r="AJ504" s="260" t="s">
        <v>203</v>
      </c>
      <c r="AK504" s="260" t="s">
        <v>190</v>
      </c>
      <c r="AL504" s="260" t="s">
        <v>190</v>
      </c>
      <c r="AM504" s="255" t="s">
        <v>2349</v>
      </c>
      <c r="AN504" s="22">
        <v>182</v>
      </c>
      <c r="AO504" s="22">
        <v>0</v>
      </c>
      <c r="AP504" s="22">
        <v>0</v>
      </c>
      <c r="AQ504" s="22">
        <v>0</v>
      </c>
      <c r="AR504" s="22">
        <v>0</v>
      </c>
      <c r="AS504" s="22">
        <v>7</v>
      </c>
      <c r="AT504" s="22">
        <v>10</v>
      </c>
      <c r="AU504" s="316">
        <f t="shared" si="78"/>
        <v>199</v>
      </c>
      <c r="AV504" s="22">
        <v>190</v>
      </c>
      <c r="AW504" s="22">
        <v>0</v>
      </c>
      <c r="AX504" s="22">
        <v>0</v>
      </c>
      <c r="AY504" s="22">
        <v>0</v>
      </c>
      <c r="AZ504" s="22">
        <v>0</v>
      </c>
      <c r="BA504" s="22">
        <v>7</v>
      </c>
      <c r="BB504" s="22">
        <v>10</v>
      </c>
      <c r="BC504" s="316">
        <f t="shared" si="79"/>
        <v>207</v>
      </c>
      <c r="BD504" s="58">
        <f t="shared" si="80"/>
        <v>8</v>
      </c>
      <c r="BE504" s="58">
        <f t="shared" si="81"/>
        <v>0</v>
      </c>
      <c r="BF504" s="58">
        <f t="shared" si="82"/>
        <v>0</v>
      </c>
      <c r="BG504" s="58">
        <f t="shared" si="83"/>
        <v>0</v>
      </c>
      <c r="BH504" s="58">
        <f t="shared" si="84"/>
        <v>0</v>
      </c>
      <c r="BI504" s="58">
        <f t="shared" si="85"/>
        <v>0</v>
      </c>
      <c r="BJ504" s="58">
        <f t="shared" si="86"/>
        <v>0</v>
      </c>
      <c r="BK504" s="58">
        <f t="shared" si="87"/>
        <v>8</v>
      </c>
    </row>
    <row r="505" spans="1:63" ht="27" customHeight="1">
      <c r="A505" s="238">
        <f t="shared" si="88"/>
        <v>503</v>
      </c>
      <c r="B505" s="239"/>
      <c r="C505" s="239">
        <v>3379</v>
      </c>
      <c r="D505" s="241" t="s">
        <v>3272</v>
      </c>
      <c r="E505" s="242" t="s">
        <v>3273</v>
      </c>
      <c r="F505" s="243" t="s">
        <v>1383</v>
      </c>
      <c r="G505" s="244" t="s">
        <v>1298</v>
      </c>
      <c r="H505" s="245" t="s">
        <v>3274</v>
      </c>
      <c r="I505" s="246" t="s">
        <v>2137</v>
      </c>
      <c r="J505" s="247" t="s">
        <v>178</v>
      </c>
      <c r="K505" s="248">
        <v>28895</v>
      </c>
      <c r="L505" s="249" t="s">
        <v>179</v>
      </c>
      <c r="M505" s="250">
        <v>43747</v>
      </c>
      <c r="N505" s="250"/>
      <c r="O505" s="250" t="s">
        <v>34</v>
      </c>
      <c r="P505" s="238" t="s">
        <v>199</v>
      </c>
      <c r="Q505" s="238" t="s">
        <v>181</v>
      </c>
      <c r="R505" s="238" t="s">
        <v>182</v>
      </c>
      <c r="S505" s="238" t="s">
        <v>2430</v>
      </c>
      <c r="T505" s="251"/>
      <c r="U505" s="251"/>
      <c r="V505" s="252"/>
      <c r="W505" s="252"/>
      <c r="X505" s="252">
        <v>5</v>
      </c>
      <c r="Y505" s="253"/>
      <c r="Z505" s="254"/>
      <c r="AA505" s="254" t="s">
        <v>186</v>
      </c>
      <c r="AB505" s="252"/>
      <c r="AC505" s="255"/>
      <c r="AD505" s="256"/>
      <c r="AE505" s="256"/>
      <c r="AF505" s="257"/>
      <c r="AG505" s="258"/>
      <c r="AH505" s="259"/>
      <c r="AI505" s="259"/>
      <c r="AJ505" s="260" t="s">
        <v>203</v>
      </c>
      <c r="AK505" s="260" t="s">
        <v>190</v>
      </c>
      <c r="AL505" s="260" t="s">
        <v>190</v>
      </c>
      <c r="AM505" s="255" t="s">
        <v>2349</v>
      </c>
      <c r="AN505" s="22">
        <v>182</v>
      </c>
      <c r="AO505" s="22">
        <v>0</v>
      </c>
      <c r="AP505" s="22">
        <v>201</v>
      </c>
      <c r="AQ505" s="22">
        <v>0</v>
      </c>
      <c r="AR505" s="22">
        <v>0</v>
      </c>
      <c r="AS505" s="22">
        <v>7</v>
      </c>
      <c r="AT505" s="22">
        <v>10</v>
      </c>
      <c r="AU505" s="316">
        <f t="shared" si="78"/>
        <v>400</v>
      </c>
      <c r="AV505" s="22">
        <v>190</v>
      </c>
      <c r="AW505" s="22">
        <v>0</v>
      </c>
      <c r="AX505" s="22">
        <v>201</v>
      </c>
      <c r="AY505" s="22">
        <v>0</v>
      </c>
      <c r="AZ505" s="22">
        <v>0</v>
      </c>
      <c r="BA505" s="22">
        <v>7</v>
      </c>
      <c r="BB505" s="22">
        <v>10</v>
      </c>
      <c r="BC505" s="316">
        <f t="shared" si="79"/>
        <v>408</v>
      </c>
      <c r="BD505" s="58">
        <f t="shared" si="80"/>
        <v>8</v>
      </c>
      <c r="BE505" s="58">
        <f t="shared" si="81"/>
        <v>0</v>
      </c>
      <c r="BF505" s="58">
        <f t="shared" si="82"/>
        <v>0</v>
      </c>
      <c r="BG505" s="58">
        <f t="shared" si="83"/>
        <v>0</v>
      </c>
      <c r="BH505" s="58">
        <f t="shared" si="84"/>
        <v>0</v>
      </c>
      <c r="BI505" s="58">
        <f t="shared" si="85"/>
        <v>0</v>
      </c>
      <c r="BJ505" s="58">
        <f t="shared" si="86"/>
        <v>0</v>
      </c>
      <c r="BK505" s="58">
        <f t="shared" si="87"/>
        <v>8</v>
      </c>
    </row>
    <row r="506" spans="1:63" ht="27" customHeight="1">
      <c r="A506" s="238">
        <f t="shared" si="88"/>
        <v>504</v>
      </c>
      <c r="B506" s="239"/>
      <c r="C506" s="239">
        <v>3375</v>
      </c>
      <c r="D506" s="241" t="s">
        <v>3275</v>
      </c>
      <c r="E506" s="242" t="s">
        <v>3276</v>
      </c>
      <c r="F506" s="243" t="s">
        <v>904</v>
      </c>
      <c r="G506" s="244" t="s">
        <v>1124</v>
      </c>
      <c r="H506" s="245" t="s">
        <v>2207</v>
      </c>
      <c r="I506" s="246" t="s">
        <v>3277</v>
      </c>
      <c r="J506" s="247" t="s">
        <v>178</v>
      </c>
      <c r="K506" s="248">
        <v>23477</v>
      </c>
      <c r="L506" s="249" t="s">
        <v>179</v>
      </c>
      <c r="M506" s="250">
        <v>43753</v>
      </c>
      <c r="N506" s="250"/>
      <c r="O506" s="250" t="s">
        <v>34</v>
      </c>
      <c r="P506" s="238" t="s">
        <v>402</v>
      </c>
      <c r="Q506" s="238" t="s">
        <v>181</v>
      </c>
      <c r="R506" s="238" t="s">
        <v>182</v>
      </c>
      <c r="S506" s="238" t="s">
        <v>2430</v>
      </c>
      <c r="T506" s="251"/>
      <c r="U506" s="251"/>
      <c r="V506" s="252"/>
      <c r="W506" s="252"/>
      <c r="X506" s="252">
        <v>6</v>
      </c>
      <c r="Y506" s="253"/>
      <c r="Z506" s="254"/>
      <c r="AA506" s="254" t="s">
        <v>186</v>
      </c>
      <c r="AB506" s="252"/>
      <c r="AC506" s="255"/>
      <c r="AD506" s="256"/>
      <c r="AE506" s="256"/>
      <c r="AF506" s="257"/>
      <c r="AG506" s="258"/>
      <c r="AH506" s="259"/>
      <c r="AI506" s="259"/>
      <c r="AJ506" s="260" t="s">
        <v>203</v>
      </c>
      <c r="AK506" s="260" t="s">
        <v>190</v>
      </c>
      <c r="AL506" s="260" t="s">
        <v>190</v>
      </c>
      <c r="AM506" s="255" t="s">
        <v>2349</v>
      </c>
      <c r="AN506" s="22">
        <v>182</v>
      </c>
      <c r="AO506" s="22">
        <v>0</v>
      </c>
      <c r="AP506" s="22">
        <v>0</v>
      </c>
      <c r="AQ506" s="22">
        <v>0</v>
      </c>
      <c r="AR506" s="22">
        <v>0</v>
      </c>
      <c r="AS506" s="22">
        <v>7</v>
      </c>
      <c r="AT506" s="22">
        <v>10</v>
      </c>
      <c r="AU506" s="316">
        <f t="shared" si="78"/>
        <v>199</v>
      </c>
      <c r="AV506" s="22">
        <v>190</v>
      </c>
      <c r="AW506" s="22">
        <v>0</v>
      </c>
      <c r="AX506" s="22">
        <v>0</v>
      </c>
      <c r="AY506" s="22">
        <v>0</v>
      </c>
      <c r="AZ506" s="22">
        <v>0</v>
      </c>
      <c r="BA506" s="22">
        <v>7</v>
      </c>
      <c r="BB506" s="22">
        <v>10</v>
      </c>
      <c r="BC506" s="316">
        <f t="shared" si="79"/>
        <v>207</v>
      </c>
      <c r="BD506" s="58">
        <f t="shared" si="80"/>
        <v>8</v>
      </c>
      <c r="BE506" s="58">
        <f t="shared" si="81"/>
        <v>0</v>
      </c>
      <c r="BF506" s="58">
        <f t="shared" si="82"/>
        <v>0</v>
      </c>
      <c r="BG506" s="58">
        <f t="shared" si="83"/>
        <v>0</v>
      </c>
      <c r="BH506" s="58">
        <f t="shared" si="84"/>
        <v>0</v>
      </c>
      <c r="BI506" s="58">
        <f t="shared" si="85"/>
        <v>0</v>
      </c>
      <c r="BJ506" s="58">
        <f t="shared" si="86"/>
        <v>0</v>
      </c>
      <c r="BK506" s="58">
        <f t="shared" si="87"/>
        <v>8</v>
      </c>
    </row>
    <row r="507" spans="1:63" ht="27" customHeight="1">
      <c r="A507" s="238">
        <f t="shared" si="88"/>
        <v>505</v>
      </c>
      <c r="B507" s="239"/>
      <c r="C507" s="239">
        <v>3371</v>
      </c>
      <c r="D507" s="241" t="s">
        <v>3278</v>
      </c>
      <c r="E507" s="242" t="s">
        <v>3279</v>
      </c>
      <c r="F507" s="243" t="s">
        <v>1423</v>
      </c>
      <c r="G507" s="244" t="s">
        <v>3280</v>
      </c>
      <c r="H507" s="245" t="s">
        <v>3281</v>
      </c>
      <c r="I507" s="246" t="s">
        <v>3282</v>
      </c>
      <c r="J507" s="247" t="s">
        <v>178</v>
      </c>
      <c r="K507" s="248">
        <v>33843</v>
      </c>
      <c r="L507" s="249" t="s">
        <v>179</v>
      </c>
      <c r="M507" s="250">
        <v>43755</v>
      </c>
      <c r="N507" s="250"/>
      <c r="O507" s="250" t="s">
        <v>34</v>
      </c>
      <c r="P507" s="238" t="s">
        <v>265</v>
      </c>
      <c r="Q507" s="238" t="s">
        <v>181</v>
      </c>
      <c r="R507" s="238" t="s">
        <v>182</v>
      </c>
      <c r="S507" s="238" t="s">
        <v>2397</v>
      </c>
      <c r="T507" s="251"/>
      <c r="U507" s="251"/>
      <c r="V507" s="252"/>
      <c r="W507" s="252"/>
      <c r="X507" s="252">
        <v>7</v>
      </c>
      <c r="Y507" s="253"/>
      <c r="Z507" s="254"/>
      <c r="AA507" s="254" t="s">
        <v>186</v>
      </c>
      <c r="AB507" s="252"/>
      <c r="AC507" s="255"/>
      <c r="AD507" s="256" t="s">
        <v>188</v>
      </c>
      <c r="AE507" s="256"/>
      <c r="AF507" s="257"/>
      <c r="AG507" s="258"/>
      <c r="AH507" s="259"/>
      <c r="AI507" s="259"/>
      <c r="AJ507" s="260" t="s">
        <v>203</v>
      </c>
      <c r="AK507" s="260" t="s">
        <v>190</v>
      </c>
      <c r="AL507" s="260" t="s">
        <v>190</v>
      </c>
      <c r="AM507" s="255" t="s">
        <v>2349</v>
      </c>
      <c r="AN507" s="22">
        <v>182</v>
      </c>
      <c r="AO507" s="22">
        <v>0</v>
      </c>
      <c r="AP507" s="22">
        <v>0</v>
      </c>
      <c r="AQ507" s="22">
        <v>0</v>
      </c>
      <c r="AR507" s="22">
        <v>0</v>
      </c>
      <c r="AS507" s="22">
        <v>7</v>
      </c>
      <c r="AT507" s="22">
        <v>10</v>
      </c>
      <c r="AU507" s="316">
        <f t="shared" si="78"/>
        <v>199</v>
      </c>
      <c r="AV507" s="22">
        <v>190</v>
      </c>
      <c r="AW507" s="22">
        <v>0</v>
      </c>
      <c r="AX507" s="22">
        <v>0</v>
      </c>
      <c r="AY507" s="22">
        <v>0</v>
      </c>
      <c r="AZ507" s="22">
        <v>0</v>
      </c>
      <c r="BA507" s="22">
        <v>7</v>
      </c>
      <c r="BB507" s="22">
        <v>10</v>
      </c>
      <c r="BC507" s="316">
        <f t="shared" si="79"/>
        <v>207</v>
      </c>
      <c r="BD507" s="58">
        <f t="shared" si="80"/>
        <v>8</v>
      </c>
      <c r="BE507" s="58">
        <f t="shared" si="81"/>
        <v>0</v>
      </c>
      <c r="BF507" s="58">
        <f t="shared" si="82"/>
        <v>0</v>
      </c>
      <c r="BG507" s="58">
        <f t="shared" si="83"/>
        <v>0</v>
      </c>
      <c r="BH507" s="58">
        <f t="shared" si="84"/>
        <v>0</v>
      </c>
      <c r="BI507" s="58">
        <f t="shared" si="85"/>
        <v>0</v>
      </c>
      <c r="BJ507" s="58">
        <f t="shared" si="86"/>
        <v>0</v>
      </c>
      <c r="BK507" s="58">
        <f t="shared" si="87"/>
        <v>8</v>
      </c>
    </row>
    <row r="508" spans="1:63" ht="27" customHeight="1">
      <c r="A508" s="238">
        <f t="shared" si="88"/>
        <v>506</v>
      </c>
      <c r="B508" s="239"/>
      <c r="C508" s="239">
        <v>3374</v>
      </c>
      <c r="D508" s="241" t="s">
        <v>3283</v>
      </c>
      <c r="E508" s="242" t="s">
        <v>3284</v>
      </c>
      <c r="F508" s="243" t="s">
        <v>3285</v>
      </c>
      <c r="G508" s="244" t="s">
        <v>451</v>
      </c>
      <c r="H508" s="245" t="s">
        <v>3286</v>
      </c>
      <c r="I508" s="246" t="s">
        <v>3287</v>
      </c>
      <c r="J508" s="247" t="s">
        <v>178</v>
      </c>
      <c r="K508" s="248">
        <v>29788</v>
      </c>
      <c r="L508" s="249" t="s">
        <v>179</v>
      </c>
      <c r="M508" s="250">
        <v>43755</v>
      </c>
      <c r="N508" s="250"/>
      <c r="O508" s="250" t="s">
        <v>34</v>
      </c>
      <c r="P508" s="238" t="s">
        <v>402</v>
      </c>
      <c r="Q508" s="238" t="s">
        <v>181</v>
      </c>
      <c r="R508" s="238" t="s">
        <v>182</v>
      </c>
      <c r="S508" s="238" t="s">
        <v>2359</v>
      </c>
      <c r="T508" s="251"/>
      <c r="U508" s="251"/>
      <c r="V508" s="252"/>
      <c r="W508" s="252"/>
      <c r="X508" s="252">
        <v>5</v>
      </c>
      <c r="Y508" s="253"/>
      <c r="Z508" s="254"/>
      <c r="AA508" s="254" t="s">
        <v>186</v>
      </c>
      <c r="AB508" s="252"/>
      <c r="AC508" s="255"/>
      <c r="AD508" s="256" t="s">
        <v>188</v>
      </c>
      <c r="AE508" s="256" t="s">
        <v>188</v>
      </c>
      <c r="AF508" s="257" t="s">
        <v>188</v>
      </c>
      <c r="AG508" s="258"/>
      <c r="AH508" s="259"/>
      <c r="AI508" s="259"/>
      <c r="AJ508" s="260" t="s">
        <v>203</v>
      </c>
      <c r="AK508" s="260" t="s">
        <v>190</v>
      </c>
      <c r="AL508" s="260" t="s">
        <v>190</v>
      </c>
      <c r="AM508" s="255" t="s">
        <v>2349</v>
      </c>
      <c r="AN508" s="22">
        <v>182</v>
      </c>
      <c r="AO508" s="22">
        <v>0</v>
      </c>
      <c r="AP508" s="22">
        <v>0</v>
      </c>
      <c r="AQ508" s="22">
        <v>0</v>
      </c>
      <c r="AR508" s="22">
        <v>0</v>
      </c>
      <c r="AS508" s="22">
        <v>7</v>
      </c>
      <c r="AT508" s="22">
        <v>10</v>
      </c>
      <c r="AU508" s="316">
        <f t="shared" si="78"/>
        <v>199</v>
      </c>
      <c r="AV508" s="22">
        <v>190</v>
      </c>
      <c r="AW508" s="22">
        <v>0</v>
      </c>
      <c r="AX508" s="22">
        <v>0</v>
      </c>
      <c r="AY508" s="22">
        <v>0</v>
      </c>
      <c r="AZ508" s="22">
        <v>0</v>
      </c>
      <c r="BA508" s="22">
        <v>7</v>
      </c>
      <c r="BB508" s="22">
        <v>10</v>
      </c>
      <c r="BC508" s="316">
        <f t="shared" si="79"/>
        <v>207</v>
      </c>
      <c r="BD508" s="58">
        <f t="shared" si="80"/>
        <v>8</v>
      </c>
      <c r="BE508" s="58">
        <f t="shared" si="81"/>
        <v>0</v>
      </c>
      <c r="BF508" s="58">
        <f t="shared" si="82"/>
        <v>0</v>
      </c>
      <c r="BG508" s="58">
        <f t="shared" si="83"/>
        <v>0</v>
      </c>
      <c r="BH508" s="58">
        <f t="shared" si="84"/>
        <v>0</v>
      </c>
      <c r="BI508" s="58">
        <f t="shared" si="85"/>
        <v>0</v>
      </c>
      <c r="BJ508" s="58">
        <f t="shared" si="86"/>
        <v>0</v>
      </c>
      <c r="BK508" s="58">
        <f t="shared" si="87"/>
        <v>8</v>
      </c>
    </row>
    <row r="509" spans="1:63" ht="27" customHeight="1">
      <c r="A509" s="238">
        <f t="shared" si="88"/>
        <v>507</v>
      </c>
      <c r="B509" s="239"/>
      <c r="C509" s="239">
        <v>3370</v>
      </c>
      <c r="D509" s="241" t="s">
        <v>3288</v>
      </c>
      <c r="E509" s="242" t="s">
        <v>3289</v>
      </c>
      <c r="F509" s="243" t="s">
        <v>1423</v>
      </c>
      <c r="G509" s="244" t="s">
        <v>3290</v>
      </c>
      <c r="H509" s="245" t="s">
        <v>3281</v>
      </c>
      <c r="I509" s="246" t="s">
        <v>3291</v>
      </c>
      <c r="J509" s="247" t="s">
        <v>178</v>
      </c>
      <c r="K509" s="248">
        <v>30480</v>
      </c>
      <c r="L509" s="249" t="s">
        <v>179</v>
      </c>
      <c r="M509" s="250">
        <v>43755</v>
      </c>
      <c r="N509" s="250"/>
      <c r="O509" s="250" t="s">
        <v>34</v>
      </c>
      <c r="P509" s="238" t="s">
        <v>265</v>
      </c>
      <c r="Q509" s="238" t="s">
        <v>181</v>
      </c>
      <c r="R509" s="238" t="s">
        <v>182</v>
      </c>
      <c r="S509" s="238" t="s">
        <v>2397</v>
      </c>
      <c r="T509" s="251"/>
      <c r="U509" s="251"/>
      <c r="V509" s="252"/>
      <c r="W509" s="252"/>
      <c r="X509" s="252">
        <v>4</v>
      </c>
      <c r="Y509" s="253"/>
      <c r="Z509" s="254"/>
      <c r="AA509" s="254" t="s">
        <v>186</v>
      </c>
      <c r="AB509" s="252"/>
      <c r="AC509" s="255"/>
      <c r="AD509" s="256"/>
      <c r="AE509" s="256"/>
      <c r="AF509" s="257"/>
      <c r="AG509" s="258"/>
      <c r="AH509" s="259"/>
      <c r="AI509" s="259"/>
      <c r="AJ509" s="260" t="s">
        <v>203</v>
      </c>
      <c r="AK509" s="260" t="s">
        <v>190</v>
      </c>
      <c r="AL509" s="260" t="s">
        <v>190</v>
      </c>
      <c r="AM509" s="255" t="s">
        <v>2349</v>
      </c>
      <c r="AN509" s="22">
        <v>182</v>
      </c>
      <c r="AO509" s="22">
        <v>0</v>
      </c>
      <c r="AP509" s="22">
        <v>0</v>
      </c>
      <c r="AQ509" s="22">
        <v>0</v>
      </c>
      <c r="AR509" s="22">
        <v>0</v>
      </c>
      <c r="AS509" s="22">
        <v>7</v>
      </c>
      <c r="AT509" s="22">
        <v>10</v>
      </c>
      <c r="AU509" s="316">
        <f t="shared" si="78"/>
        <v>199</v>
      </c>
      <c r="AV509" s="22">
        <v>190</v>
      </c>
      <c r="AW509" s="22">
        <v>0</v>
      </c>
      <c r="AX509" s="22">
        <v>0</v>
      </c>
      <c r="AY509" s="22">
        <v>0</v>
      </c>
      <c r="AZ509" s="22">
        <v>0</v>
      </c>
      <c r="BA509" s="22">
        <v>7</v>
      </c>
      <c r="BB509" s="22">
        <v>10</v>
      </c>
      <c r="BC509" s="316">
        <f t="shared" si="79"/>
        <v>207</v>
      </c>
      <c r="BD509" s="58">
        <f t="shared" si="80"/>
        <v>8</v>
      </c>
      <c r="BE509" s="58">
        <f t="shared" si="81"/>
        <v>0</v>
      </c>
      <c r="BF509" s="58">
        <f t="shared" si="82"/>
        <v>0</v>
      </c>
      <c r="BG509" s="58">
        <f t="shared" si="83"/>
        <v>0</v>
      </c>
      <c r="BH509" s="58">
        <f t="shared" si="84"/>
        <v>0</v>
      </c>
      <c r="BI509" s="58">
        <f t="shared" si="85"/>
        <v>0</v>
      </c>
      <c r="BJ509" s="58">
        <f t="shared" si="86"/>
        <v>0</v>
      </c>
      <c r="BK509" s="58">
        <f t="shared" si="87"/>
        <v>8</v>
      </c>
    </row>
    <row r="510" spans="1:63" ht="27" customHeight="1">
      <c r="A510" s="238">
        <f t="shared" si="88"/>
        <v>508</v>
      </c>
      <c r="B510" s="239"/>
      <c r="C510" s="239">
        <v>3319</v>
      </c>
      <c r="D510" s="241" t="s">
        <v>3292</v>
      </c>
      <c r="E510" s="242" t="s">
        <v>3293</v>
      </c>
      <c r="F510" s="243" t="s">
        <v>2262</v>
      </c>
      <c r="G510" s="244" t="s">
        <v>2069</v>
      </c>
      <c r="H510" s="245" t="s">
        <v>2264</v>
      </c>
      <c r="I510" s="246" t="s">
        <v>3294</v>
      </c>
      <c r="J510" s="247" t="s">
        <v>178</v>
      </c>
      <c r="K510" s="248">
        <v>36541</v>
      </c>
      <c r="L510" s="249" t="s">
        <v>179</v>
      </c>
      <c r="M510" s="250">
        <v>43745</v>
      </c>
      <c r="N510" s="250"/>
      <c r="O510" s="250" t="s">
        <v>34</v>
      </c>
      <c r="P510" s="238" t="s">
        <v>27</v>
      </c>
      <c r="Q510" s="238" t="s">
        <v>181</v>
      </c>
      <c r="R510" s="238" t="s">
        <v>182</v>
      </c>
      <c r="S510" s="238" t="s">
        <v>2430</v>
      </c>
      <c r="T510" s="251"/>
      <c r="U510" s="251"/>
      <c r="V510" s="252"/>
      <c r="W510" s="252"/>
      <c r="X510" s="252">
        <v>8</v>
      </c>
      <c r="Y510" s="253"/>
      <c r="Z510" s="254" t="s">
        <v>186</v>
      </c>
      <c r="AA510" s="254"/>
      <c r="AB510" s="252"/>
      <c r="AC510" s="255"/>
      <c r="AD510" s="256"/>
      <c r="AE510" s="256"/>
      <c r="AF510" s="257"/>
      <c r="AG510" s="258"/>
      <c r="AH510" s="259"/>
      <c r="AI510" s="259"/>
      <c r="AJ510" s="260" t="s">
        <v>203</v>
      </c>
      <c r="AK510" s="260" t="s">
        <v>190</v>
      </c>
      <c r="AL510" s="260" t="s">
        <v>190</v>
      </c>
      <c r="AM510" s="255" t="s">
        <v>2349</v>
      </c>
      <c r="AN510" s="22">
        <v>182</v>
      </c>
      <c r="AO510" s="22">
        <v>0</v>
      </c>
      <c r="AP510" s="22">
        <v>0</v>
      </c>
      <c r="AQ510" s="22">
        <v>0</v>
      </c>
      <c r="AR510" s="22">
        <v>0</v>
      </c>
      <c r="AS510" s="22">
        <v>7</v>
      </c>
      <c r="AT510" s="22">
        <v>10</v>
      </c>
      <c r="AU510" s="316">
        <f t="shared" si="78"/>
        <v>199</v>
      </c>
      <c r="AV510" s="22">
        <v>190</v>
      </c>
      <c r="AW510" s="22">
        <v>0</v>
      </c>
      <c r="AX510" s="22">
        <v>0</v>
      </c>
      <c r="AY510" s="22">
        <v>0</v>
      </c>
      <c r="AZ510" s="22">
        <v>0</v>
      </c>
      <c r="BA510" s="22">
        <v>7</v>
      </c>
      <c r="BB510" s="22">
        <v>10</v>
      </c>
      <c r="BC510" s="316">
        <f t="shared" si="79"/>
        <v>207</v>
      </c>
      <c r="BD510" s="58">
        <f t="shared" si="80"/>
        <v>8</v>
      </c>
      <c r="BE510" s="58">
        <f t="shared" si="81"/>
        <v>0</v>
      </c>
      <c r="BF510" s="58">
        <f t="shared" si="82"/>
        <v>0</v>
      </c>
      <c r="BG510" s="58">
        <f t="shared" si="83"/>
        <v>0</v>
      </c>
      <c r="BH510" s="58">
        <f t="shared" si="84"/>
        <v>0</v>
      </c>
      <c r="BI510" s="58">
        <f t="shared" si="85"/>
        <v>0</v>
      </c>
      <c r="BJ510" s="58">
        <f t="shared" si="86"/>
        <v>0</v>
      </c>
      <c r="BK510" s="58">
        <f t="shared" si="87"/>
        <v>8</v>
      </c>
    </row>
    <row r="511" spans="1:63" ht="27" customHeight="1">
      <c r="A511" s="238">
        <f t="shared" si="88"/>
        <v>509</v>
      </c>
      <c r="B511" s="239"/>
      <c r="C511" s="239">
        <v>3384</v>
      </c>
      <c r="D511" s="241" t="s">
        <v>3295</v>
      </c>
      <c r="E511" s="242" t="s">
        <v>3296</v>
      </c>
      <c r="F511" s="243" t="s">
        <v>675</v>
      </c>
      <c r="G511" s="244" t="s">
        <v>3297</v>
      </c>
      <c r="H511" s="245" t="s">
        <v>3298</v>
      </c>
      <c r="I511" s="246" t="s">
        <v>3299</v>
      </c>
      <c r="J511" s="247" t="s">
        <v>178</v>
      </c>
      <c r="K511" s="248">
        <v>28401</v>
      </c>
      <c r="L511" s="249" t="s">
        <v>179</v>
      </c>
      <c r="M511" s="250">
        <v>43756</v>
      </c>
      <c r="N511" s="250"/>
      <c r="O511" s="250" t="s">
        <v>34</v>
      </c>
      <c r="P511" s="238" t="s">
        <v>1085</v>
      </c>
      <c r="Q511" s="238" t="s">
        <v>181</v>
      </c>
      <c r="R511" s="238" t="s">
        <v>182</v>
      </c>
      <c r="S511" s="238" t="s">
        <v>2430</v>
      </c>
      <c r="T511" s="251"/>
      <c r="U511" s="251"/>
      <c r="V511" s="252"/>
      <c r="W511" s="252"/>
      <c r="X511" s="252">
        <v>0</v>
      </c>
      <c r="Y511" s="253"/>
      <c r="Z511" s="254"/>
      <c r="AA511" s="254" t="s">
        <v>186</v>
      </c>
      <c r="AB511" s="252"/>
      <c r="AC511" s="255"/>
      <c r="AD511" s="256"/>
      <c r="AE511" s="256"/>
      <c r="AF511" s="257"/>
      <c r="AG511" s="258"/>
      <c r="AH511" s="259"/>
      <c r="AI511" s="259"/>
      <c r="AJ511" s="260" t="s">
        <v>203</v>
      </c>
      <c r="AK511" s="260" t="s">
        <v>190</v>
      </c>
      <c r="AL511" s="260" t="s">
        <v>190</v>
      </c>
      <c r="AM511" s="255" t="s">
        <v>2349</v>
      </c>
      <c r="AN511" s="22">
        <v>182</v>
      </c>
      <c r="AO511" s="22">
        <v>0</v>
      </c>
      <c r="AP511" s="22">
        <v>0</v>
      </c>
      <c r="AQ511" s="22">
        <v>0</v>
      </c>
      <c r="AR511" s="22">
        <v>0</v>
      </c>
      <c r="AS511" s="22">
        <v>7</v>
      </c>
      <c r="AT511" s="22">
        <v>10</v>
      </c>
      <c r="AU511" s="316">
        <f t="shared" si="78"/>
        <v>199</v>
      </c>
      <c r="AV511" s="22">
        <v>190</v>
      </c>
      <c r="AW511" s="22">
        <v>0</v>
      </c>
      <c r="AX511" s="22">
        <v>0</v>
      </c>
      <c r="AY511" s="22">
        <v>0</v>
      </c>
      <c r="AZ511" s="22">
        <v>0</v>
      </c>
      <c r="BA511" s="22">
        <v>7</v>
      </c>
      <c r="BB511" s="22">
        <v>10</v>
      </c>
      <c r="BC511" s="316">
        <f t="shared" si="79"/>
        <v>207</v>
      </c>
      <c r="BD511" s="58">
        <f t="shared" si="80"/>
        <v>8</v>
      </c>
      <c r="BE511" s="58">
        <f t="shared" si="81"/>
        <v>0</v>
      </c>
      <c r="BF511" s="58">
        <f t="shared" si="82"/>
        <v>0</v>
      </c>
      <c r="BG511" s="58">
        <f t="shared" si="83"/>
        <v>0</v>
      </c>
      <c r="BH511" s="58">
        <f t="shared" si="84"/>
        <v>0</v>
      </c>
      <c r="BI511" s="58">
        <f t="shared" si="85"/>
        <v>0</v>
      </c>
      <c r="BJ511" s="58">
        <f t="shared" si="86"/>
        <v>0</v>
      </c>
      <c r="BK511" s="58">
        <f t="shared" si="87"/>
        <v>8</v>
      </c>
    </row>
    <row r="512" spans="1:63" ht="27" customHeight="1">
      <c r="A512" s="238">
        <f t="shared" si="88"/>
        <v>510</v>
      </c>
      <c r="B512" s="239"/>
      <c r="C512" s="239">
        <v>3390</v>
      </c>
      <c r="D512" s="241" t="s">
        <v>3300</v>
      </c>
      <c r="E512" s="242" t="s">
        <v>3301</v>
      </c>
      <c r="F512" s="243" t="s">
        <v>1416</v>
      </c>
      <c r="G512" s="244" t="s">
        <v>3302</v>
      </c>
      <c r="H512" s="245" t="s">
        <v>3303</v>
      </c>
      <c r="I512" s="246" t="s">
        <v>3304</v>
      </c>
      <c r="J512" s="247" t="s">
        <v>178</v>
      </c>
      <c r="K512" s="248">
        <v>33374</v>
      </c>
      <c r="L512" s="249" t="s">
        <v>179</v>
      </c>
      <c r="M512" s="250">
        <v>43713</v>
      </c>
      <c r="N512" s="250"/>
      <c r="O512" s="250" t="s">
        <v>34</v>
      </c>
      <c r="P512" s="238" t="s">
        <v>27</v>
      </c>
      <c r="Q512" s="238" t="s">
        <v>181</v>
      </c>
      <c r="R512" s="238" t="s">
        <v>182</v>
      </c>
      <c r="S512" s="238" t="s">
        <v>2505</v>
      </c>
      <c r="T512" s="251"/>
      <c r="U512" s="251"/>
      <c r="V512" s="252"/>
      <c r="W512" s="252"/>
      <c r="X512" s="252">
        <v>4</v>
      </c>
      <c r="Y512" s="253" t="s">
        <v>3305</v>
      </c>
      <c r="Z512" s="254"/>
      <c r="AA512" s="254" t="s">
        <v>186</v>
      </c>
      <c r="AB512" s="254"/>
      <c r="AC512" s="255"/>
      <c r="AD512" s="256"/>
      <c r="AE512" s="256"/>
      <c r="AF512" s="257"/>
      <c r="AG512" s="258"/>
      <c r="AH512" s="259"/>
      <c r="AI512" s="259"/>
      <c r="AJ512" s="260" t="s">
        <v>203</v>
      </c>
      <c r="AK512" s="260" t="s">
        <v>190</v>
      </c>
      <c r="AL512" s="260" t="s">
        <v>190</v>
      </c>
      <c r="AM512" s="255" t="s">
        <v>2349</v>
      </c>
      <c r="AN512" s="22">
        <v>182</v>
      </c>
      <c r="AO512" s="22">
        <v>0</v>
      </c>
      <c r="AP512" s="22">
        <v>0</v>
      </c>
      <c r="AQ512" s="22">
        <v>0</v>
      </c>
      <c r="AR512" s="22">
        <v>0</v>
      </c>
      <c r="AS512" s="22">
        <v>7</v>
      </c>
      <c r="AT512" s="22">
        <v>10</v>
      </c>
      <c r="AU512" s="316">
        <f t="shared" si="78"/>
        <v>199</v>
      </c>
      <c r="AV512" s="22">
        <v>190</v>
      </c>
      <c r="AW512" s="22">
        <v>0</v>
      </c>
      <c r="AX512" s="22">
        <v>0</v>
      </c>
      <c r="AY512" s="22">
        <v>0</v>
      </c>
      <c r="AZ512" s="22">
        <v>0</v>
      </c>
      <c r="BA512" s="22">
        <v>7</v>
      </c>
      <c r="BB512" s="22">
        <v>10</v>
      </c>
      <c r="BC512" s="316">
        <f t="shared" si="79"/>
        <v>207</v>
      </c>
      <c r="BD512" s="58">
        <f t="shared" si="80"/>
        <v>8</v>
      </c>
      <c r="BE512" s="58">
        <f t="shared" si="81"/>
        <v>0</v>
      </c>
      <c r="BF512" s="58">
        <f t="shared" si="82"/>
        <v>0</v>
      </c>
      <c r="BG512" s="58">
        <f t="shared" si="83"/>
        <v>0</v>
      </c>
      <c r="BH512" s="58">
        <f t="shared" si="84"/>
        <v>0</v>
      </c>
      <c r="BI512" s="58">
        <f t="shared" si="85"/>
        <v>0</v>
      </c>
      <c r="BJ512" s="58">
        <f t="shared" si="86"/>
        <v>0</v>
      </c>
      <c r="BK512" s="58">
        <f t="shared" si="87"/>
        <v>8</v>
      </c>
    </row>
    <row r="513" spans="1:63" ht="27" customHeight="1">
      <c r="A513" s="238">
        <f t="shared" si="88"/>
        <v>511</v>
      </c>
      <c r="B513" s="239"/>
      <c r="C513" s="239">
        <v>3369</v>
      </c>
      <c r="D513" s="241" t="s">
        <v>3306</v>
      </c>
      <c r="E513" s="242" t="s">
        <v>3307</v>
      </c>
      <c r="F513" s="243" t="s">
        <v>830</v>
      </c>
      <c r="G513" s="244" t="s">
        <v>1124</v>
      </c>
      <c r="H513" s="245" t="s">
        <v>2213</v>
      </c>
      <c r="I513" s="246" t="s">
        <v>3277</v>
      </c>
      <c r="J513" s="247" t="s">
        <v>178</v>
      </c>
      <c r="K513" s="248">
        <v>30788</v>
      </c>
      <c r="L513" s="249" t="s">
        <v>179</v>
      </c>
      <c r="M513" s="250">
        <v>43755</v>
      </c>
      <c r="N513" s="250"/>
      <c r="O513" s="250" t="s">
        <v>34</v>
      </c>
      <c r="P513" s="238" t="s">
        <v>402</v>
      </c>
      <c r="Q513" s="238" t="s">
        <v>181</v>
      </c>
      <c r="R513" s="238" t="s">
        <v>182</v>
      </c>
      <c r="S513" s="238" t="s">
        <v>2430</v>
      </c>
      <c r="T513" s="251"/>
      <c r="U513" s="251"/>
      <c r="V513" s="252"/>
      <c r="W513" s="252"/>
      <c r="X513" s="252">
        <v>2</v>
      </c>
      <c r="Y513" s="253" t="s">
        <v>3308</v>
      </c>
      <c r="Z513" s="254" t="s">
        <v>186</v>
      </c>
      <c r="AA513" s="254"/>
      <c r="AB513" s="261"/>
      <c r="AC513" s="255"/>
      <c r="AD513" s="256"/>
      <c r="AE513" s="256"/>
      <c r="AF513" s="257"/>
      <c r="AG513" s="258"/>
      <c r="AH513" s="259"/>
      <c r="AI513" s="259"/>
      <c r="AJ513" s="260" t="s">
        <v>203</v>
      </c>
      <c r="AK513" s="260" t="s">
        <v>190</v>
      </c>
      <c r="AL513" s="260" t="s">
        <v>190</v>
      </c>
      <c r="AM513" s="255" t="s">
        <v>2349</v>
      </c>
      <c r="AN513" s="22">
        <v>182</v>
      </c>
      <c r="AO513" s="22">
        <v>0</v>
      </c>
      <c r="AP513" s="22">
        <v>0</v>
      </c>
      <c r="AQ513" s="22">
        <v>0</v>
      </c>
      <c r="AR513" s="22">
        <v>0</v>
      </c>
      <c r="AS513" s="22">
        <v>7</v>
      </c>
      <c r="AT513" s="22">
        <v>10</v>
      </c>
      <c r="AU513" s="316">
        <f t="shared" si="78"/>
        <v>199</v>
      </c>
      <c r="AV513" s="22">
        <v>190</v>
      </c>
      <c r="AW513" s="22">
        <v>0</v>
      </c>
      <c r="AX513" s="22">
        <v>0</v>
      </c>
      <c r="AY513" s="22">
        <v>0</v>
      </c>
      <c r="AZ513" s="22">
        <v>0</v>
      </c>
      <c r="BA513" s="22">
        <v>7</v>
      </c>
      <c r="BB513" s="22">
        <v>10</v>
      </c>
      <c r="BC513" s="316">
        <f t="shared" si="79"/>
        <v>207</v>
      </c>
      <c r="BD513" s="58">
        <f t="shared" si="80"/>
        <v>8</v>
      </c>
      <c r="BE513" s="58">
        <f t="shared" si="81"/>
        <v>0</v>
      </c>
      <c r="BF513" s="58">
        <f t="shared" si="82"/>
        <v>0</v>
      </c>
      <c r="BG513" s="58">
        <f t="shared" si="83"/>
        <v>0</v>
      </c>
      <c r="BH513" s="58">
        <f t="shared" si="84"/>
        <v>0</v>
      </c>
      <c r="BI513" s="58">
        <f t="shared" si="85"/>
        <v>0</v>
      </c>
      <c r="BJ513" s="58">
        <f t="shared" si="86"/>
        <v>0</v>
      </c>
      <c r="BK513" s="58">
        <f t="shared" si="87"/>
        <v>8</v>
      </c>
    </row>
    <row r="514" spans="1:63" ht="27" customHeight="1">
      <c r="A514" s="238">
        <f t="shared" si="88"/>
        <v>512</v>
      </c>
      <c r="B514" s="239"/>
      <c r="C514" s="239">
        <v>3382</v>
      </c>
      <c r="D514" s="241"/>
      <c r="E514" s="242" t="s">
        <v>3309</v>
      </c>
      <c r="F514" s="243" t="s">
        <v>3156</v>
      </c>
      <c r="G514" s="244" t="s">
        <v>2021</v>
      </c>
      <c r="H514" s="245" t="s">
        <v>3310</v>
      </c>
      <c r="I514" s="246" t="s">
        <v>308</v>
      </c>
      <c r="J514" s="247" t="s">
        <v>178</v>
      </c>
      <c r="K514" s="248">
        <v>33344</v>
      </c>
      <c r="L514" s="249" t="s">
        <v>179</v>
      </c>
      <c r="M514" s="250">
        <v>43755</v>
      </c>
      <c r="N514" s="250"/>
      <c r="O514" s="250" t="s">
        <v>34</v>
      </c>
      <c r="P514" s="238" t="s">
        <v>1343</v>
      </c>
      <c r="Q514" s="238" t="s">
        <v>181</v>
      </c>
      <c r="R514" s="238" t="s">
        <v>182</v>
      </c>
      <c r="S514" s="238" t="s">
        <v>2484</v>
      </c>
      <c r="T514" s="251"/>
      <c r="U514" s="251"/>
      <c r="V514" s="252"/>
      <c r="W514" s="252"/>
      <c r="X514" s="252">
        <v>6</v>
      </c>
      <c r="Y514" s="253" t="s">
        <v>3311</v>
      </c>
      <c r="Z514" s="254"/>
      <c r="AA514" s="254" t="s">
        <v>186</v>
      </c>
      <c r="AB514" s="254"/>
      <c r="AC514" s="255"/>
      <c r="AD514" s="256" t="s">
        <v>189</v>
      </c>
      <c r="AE514" s="256" t="s">
        <v>189</v>
      </c>
      <c r="AF514" s="257"/>
      <c r="AG514" s="258"/>
      <c r="AH514" s="259"/>
      <c r="AI514" s="259"/>
      <c r="AJ514" s="260" t="s">
        <v>203</v>
      </c>
      <c r="AK514" s="260" t="s">
        <v>190</v>
      </c>
      <c r="AL514" s="260" t="s">
        <v>190</v>
      </c>
      <c r="AM514" s="255" t="s">
        <v>2349</v>
      </c>
      <c r="AN514" s="22">
        <v>182</v>
      </c>
      <c r="AO514" s="22">
        <v>0</v>
      </c>
      <c r="AP514" s="22">
        <v>0</v>
      </c>
      <c r="AQ514" s="22">
        <v>0</v>
      </c>
      <c r="AR514" s="22">
        <v>0</v>
      </c>
      <c r="AS514" s="22">
        <v>7</v>
      </c>
      <c r="AT514" s="22">
        <v>10</v>
      </c>
      <c r="AU514" s="316">
        <f t="shared" si="78"/>
        <v>199</v>
      </c>
      <c r="AV514" s="22">
        <v>190</v>
      </c>
      <c r="AW514" s="22">
        <v>0</v>
      </c>
      <c r="AX514" s="22">
        <v>0</v>
      </c>
      <c r="AY514" s="22">
        <v>0</v>
      </c>
      <c r="AZ514" s="22">
        <v>0</v>
      </c>
      <c r="BA514" s="22">
        <v>7</v>
      </c>
      <c r="BB514" s="22">
        <v>10</v>
      </c>
      <c r="BC514" s="316">
        <f t="shared" si="79"/>
        <v>207</v>
      </c>
      <c r="BD514" s="58">
        <f t="shared" si="80"/>
        <v>8</v>
      </c>
      <c r="BE514" s="58">
        <f t="shared" si="81"/>
        <v>0</v>
      </c>
      <c r="BF514" s="58">
        <f t="shared" si="82"/>
        <v>0</v>
      </c>
      <c r="BG514" s="58">
        <f t="shared" si="83"/>
        <v>0</v>
      </c>
      <c r="BH514" s="58">
        <f t="shared" si="84"/>
        <v>0</v>
      </c>
      <c r="BI514" s="58">
        <f t="shared" si="85"/>
        <v>0</v>
      </c>
      <c r="BJ514" s="58">
        <f t="shared" si="86"/>
        <v>0</v>
      </c>
      <c r="BK514" s="58">
        <f t="shared" si="87"/>
        <v>8</v>
      </c>
    </row>
    <row r="515" spans="1:63" ht="27" customHeight="1">
      <c r="A515" s="238">
        <f t="shared" si="88"/>
        <v>513</v>
      </c>
      <c r="B515" s="239"/>
      <c r="C515" s="239">
        <v>3388</v>
      </c>
      <c r="D515" s="241">
        <v>282110192215695</v>
      </c>
      <c r="E515" s="242" t="s">
        <v>3312</v>
      </c>
      <c r="F515" s="243" t="s">
        <v>963</v>
      </c>
      <c r="G515" s="244" t="s">
        <v>2268</v>
      </c>
      <c r="H515" s="245" t="s">
        <v>3313</v>
      </c>
      <c r="I515" s="246" t="s">
        <v>2127</v>
      </c>
      <c r="J515" s="247" t="s">
        <v>178</v>
      </c>
      <c r="K515" s="248">
        <v>30142</v>
      </c>
      <c r="L515" s="249" t="s">
        <v>179</v>
      </c>
      <c r="M515" s="250">
        <v>43760</v>
      </c>
      <c r="N515" s="250"/>
      <c r="O515" s="250" t="s">
        <v>34</v>
      </c>
      <c r="P515" s="238" t="s">
        <v>227</v>
      </c>
      <c r="Q515" s="238" t="s">
        <v>181</v>
      </c>
      <c r="R515" s="238" t="s">
        <v>182</v>
      </c>
      <c r="S515" s="238" t="s">
        <v>2359</v>
      </c>
      <c r="T515" s="251"/>
      <c r="U515" s="251"/>
      <c r="V515" s="252"/>
      <c r="W515" s="252"/>
      <c r="X515" s="252">
        <v>7</v>
      </c>
      <c r="Y515" s="253" t="s">
        <v>3314</v>
      </c>
      <c r="Z515" s="254"/>
      <c r="AA515" s="254" t="s">
        <v>186</v>
      </c>
      <c r="AB515" s="254"/>
      <c r="AC515" s="255"/>
      <c r="AD515" s="256" t="s">
        <v>189</v>
      </c>
      <c r="AE515" s="256" t="s">
        <v>189</v>
      </c>
      <c r="AF515" s="257"/>
      <c r="AG515" s="258"/>
      <c r="AH515" s="259"/>
      <c r="AI515" s="259"/>
      <c r="AJ515" s="260" t="s">
        <v>203</v>
      </c>
      <c r="AK515" s="260" t="s">
        <v>190</v>
      </c>
      <c r="AL515" s="260" t="s">
        <v>190</v>
      </c>
      <c r="AM515" s="255" t="s">
        <v>2349</v>
      </c>
      <c r="AN515" s="22">
        <v>182</v>
      </c>
      <c r="AO515" s="22">
        <v>0</v>
      </c>
      <c r="AP515" s="22">
        <v>0</v>
      </c>
      <c r="AQ515" s="22">
        <v>0</v>
      </c>
      <c r="AR515" s="22">
        <v>0</v>
      </c>
      <c r="AS515" s="22">
        <v>7</v>
      </c>
      <c r="AT515" s="22">
        <v>10</v>
      </c>
      <c r="AU515" s="316">
        <f t="shared" si="78"/>
        <v>199</v>
      </c>
      <c r="AV515" s="22">
        <v>190</v>
      </c>
      <c r="AW515" s="22">
        <v>0</v>
      </c>
      <c r="AX515" s="22">
        <v>0</v>
      </c>
      <c r="AY515" s="22">
        <v>0</v>
      </c>
      <c r="AZ515" s="22">
        <v>0</v>
      </c>
      <c r="BA515" s="22">
        <v>7</v>
      </c>
      <c r="BB515" s="22">
        <v>10</v>
      </c>
      <c r="BC515" s="316">
        <f t="shared" si="79"/>
        <v>207</v>
      </c>
      <c r="BD515" s="58">
        <f t="shared" si="80"/>
        <v>8</v>
      </c>
      <c r="BE515" s="58">
        <f t="shared" si="81"/>
        <v>0</v>
      </c>
      <c r="BF515" s="58">
        <f t="shared" si="82"/>
        <v>0</v>
      </c>
      <c r="BG515" s="58">
        <f t="shared" si="83"/>
        <v>0</v>
      </c>
      <c r="BH515" s="58">
        <f t="shared" si="84"/>
        <v>0</v>
      </c>
      <c r="BI515" s="58">
        <f t="shared" si="85"/>
        <v>0</v>
      </c>
      <c r="BJ515" s="58">
        <f t="shared" si="86"/>
        <v>0</v>
      </c>
      <c r="BK515" s="58">
        <f t="shared" si="87"/>
        <v>8</v>
      </c>
    </row>
    <row r="516" spans="1:63" ht="27" customHeight="1">
      <c r="A516" s="238">
        <f t="shared" si="88"/>
        <v>514</v>
      </c>
      <c r="B516" s="239"/>
      <c r="C516" s="239">
        <v>3385</v>
      </c>
      <c r="D516" s="241" t="s">
        <v>3315</v>
      </c>
      <c r="E516" s="242" t="s">
        <v>3316</v>
      </c>
      <c r="F516" s="243" t="s">
        <v>3317</v>
      </c>
      <c r="G516" s="244" t="s">
        <v>3318</v>
      </c>
      <c r="H516" s="245" t="s">
        <v>3319</v>
      </c>
      <c r="I516" s="246" t="s">
        <v>3320</v>
      </c>
      <c r="J516" s="247" t="s">
        <v>178</v>
      </c>
      <c r="K516" s="248">
        <v>31846</v>
      </c>
      <c r="L516" s="249" t="s">
        <v>179</v>
      </c>
      <c r="M516" s="250">
        <v>43760</v>
      </c>
      <c r="N516" s="250"/>
      <c r="O516" s="250" t="s">
        <v>34</v>
      </c>
      <c r="P516" s="238" t="s">
        <v>1085</v>
      </c>
      <c r="Q516" s="238" t="s">
        <v>181</v>
      </c>
      <c r="R516" s="238" t="s">
        <v>182</v>
      </c>
      <c r="S516" s="238" t="s">
        <v>2359</v>
      </c>
      <c r="T516" s="251"/>
      <c r="U516" s="251"/>
      <c r="V516" s="252"/>
      <c r="W516" s="252"/>
      <c r="X516" s="252"/>
      <c r="Y516" s="253"/>
      <c r="Z516" s="254" t="s">
        <v>186</v>
      </c>
      <c r="AA516" s="254"/>
      <c r="AB516" s="252"/>
      <c r="AC516" s="255"/>
      <c r="AD516" s="256"/>
      <c r="AE516" s="256"/>
      <c r="AF516" s="257"/>
      <c r="AG516" s="258"/>
      <c r="AH516" s="259"/>
      <c r="AI516" s="259"/>
      <c r="AJ516" s="260" t="s">
        <v>203</v>
      </c>
      <c r="AK516" s="260" t="s">
        <v>190</v>
      </c>
      <c r="AL516" s="260" t="s">
        <v>190</v>
      </c>
      <c r="AM516" s="255" t="s">
        <v>2349</v>
      </c>
      <c r="AN516" s="22">
        <v>182</v>
      </c>
      <c r="AO516" s="22">
        <v>0</v>
      </c>
      <c r="AP516" s="22">
        <v>0</v>
      </c>
      <c r="AQ516" s="22">
        <v>0</v>
      </c>
      <c r="AR516" s="22">
        <v>0</v>
      </c>
      <c r="AS516" s="22">
        <v>7</v>
      </c>
      <c r="AT516" s="22">
        <v>10</v>
      </c>
      <c r="AU516" s="316">
        <f t="shared" ref="AU516:AU579" si="89">SUM(AN516:AT516)</f>
        <v>199</v>
      </c>
      <c r="AV516" s="22">
        <v>190</v>
      </c>
      <c r="AW516" s="22">
        <v>0</v>
      </c>
      <c r="AX516" s="22">
        <v>0</v>
      </c>
      <c r="AY516" s="22">
        <v>0</v>
      </c>
      <c r="AZ516" s="22">
        <v>0</v>
      </c>
      <c r="BA516" s="22">
        <v>7</v>
      </c>
      <c r="BB516" s="22">
        <v>10</v>
      </c>
      <c r="BC516" s="316">
        <f t="shared" ref="BC516:BC579" si="90">SUM(AV516:BB516)</f>
        <v>207</v>
      </c>
      <c r="BD516" s="58">
        <f t="shared" ref="BD516:BD579" si="91">AV516-AN516</f>
        <v>8</v>
      </c>
      <c r="BE516" s="58">
        <f t="shared" ref="BE516:BE579" si="92">AW516-AO516</f>
        <v>0</v>
      </c>
      <c r="BF516" s="58">
        <f t="shared" ref="BF516:BF579" si="93">AX516-AP516</f>
        <v>0</v>
      </c>
      <c r="BG516" s="58">
        <f t="shared" ref="BG516:BG579" si="94">AY516-AQ516</f>
        <v>0</v>
      </c>
      <c r="BH516" s="58">
        <f t="shared" ref="BH516:BH579" si="95">AZ516-AR516</f>
        <v>0</v>
      </c>
      <c r="BI516" s="58">
        <f t="shared" ref="BI516:BI579" si="96">BA516-AS516</f>
        <v>0</v>
      </c>
      <c r="BJ516" s="58">
        <f t="shared" ref="BJ516:BJ579" si="97">BB516-AT516</f>
        <v>0</v>
      </c>
      <c r="BK516" s="58">
        <f t="shared" ref="BK516:BK579" si="98">BC516-AU516</f>
        <v>8</v>
      </c>
    </row>
    <row r="517" spans="1:63" ht="27" customHeight="1">
      <c r="A517" s="238">
        <f t="shared" ref="A517:A580" si="99">1+A516</f>
        <v>515</v>
      </c>
      <c r="B517" s="239"/>
      <c r="C517" s="239">
        <v>3392</v>
      </c>
      <c r="D517" s="241" t="s">
        <v>3321</v>
      </c>
      <c r="E517" s="242" t="s">
        <v>3322</v>
      </c>
      <c r="F517" s="243" t="s">
        <v>1178</v>
      </c>
      <c r="G517" s="244" t="s">
        <v>1789</v>
      </c>
      <c r="H517" s="245" t="s">
        <v>3323</v>
      </c>
      <c r="I517" s="246" t="s">
        <v>3324</v>
      </c>
      <c r="J517" s="247" t="s">
        <v>178</v>
      </c>
      <c r="K517" s="248">
        <v>32527</v>
      </c>
      <c r="L517" s="249" t="s">
        <v>179</v>
      </c>
      <c r="M517" s="250">
        <v>43760</v>
      </c>
      <c r="N517" s="250"/>
      <c r="O517" s="250" t="s">
        <v>34</v>
      </c>
      <c r="P517" s="238" t="s">
        <v>512</v>
      </c>
      <c r="Q517" s="238" t="s">
        <v>181</v>
      </c>
      <c r="R517" s="238" t="s">
        <v>182</v>
      </c>
      <c r="S517" s="238" t="s">
        <v>2359</v>
      </c>
      <c r="T517" s="251"/>
      <c r="U517" s="251"/>
      <c r="V517" s="252"/>
      <c r="W517" s="252"/>
      <c r="X517" s="252">
        <v>8</v>
      </c>
      <c r="Y517" s="253" t="s">
        <v>3325</v>
      </c>
      <c r="Z517" s="254"/>
      <c r="AA517" s="254" t="s">
        <v>186</v>
      </c>
      <c r="AB517" s="252"/>
      <c r="AC517" s="255"/>
      <c r="AD517" s="256" t="s">
        <v>189</v>
      </c>
      <c r="AE517" s="256"/>
      <c r="AF517" s="257"/>
      <c r="AG517" s="258"/>
      <c r="AH517" s="259"/>
      <c r="AI517" s="259"/>
      <c r="AJ517" s="260" t="s">
        <v>203</v>
      </c>
      <c r="AK517" s="260" t="s">
        <v>190</v>
      </c>
      <c r="AL517" s="260" t="s">
        <v>190</v>
      </c>
      <c r="AM517" s="255" t="s">
        <v>2349</v>
      </c>
      <c r="AN517" s="22">
        <v>182</v>
      </c>
      <c r="AO517" s="22">
        <v>0</v>
      </c>
      <c r="AP517" s="22">
        <v>0</v>
      </c>
      <c r="AQ517" s="22">
        <v>0</v>
      </c>
      <c r="AR517" s="22">
        <v>0</v>
      </c>
      <c r="AS517" s="22">
        <v>7</v>
      </c>
      <c r="AT517" s="22">
        <v>10</v>
      </c>
      <c r="AU517" s="316">
        <f t="shared" si="89"/>
        <v>199</v>
      </c>
      <c r="AV517" s="22">
        <v>190</v>
      </c>
      <c r="AW517" s="22">
        <v>0</v>
      </c>
      <c r="AX517" s="22">
        <v>0</v>
      </c>
      <c r="AY517" s="22">
        <v>0</v>
      </c>
      <c r="AZ517" s="22">
        <v>0</v>
      </c>
      <c r="BA517" s="22">
        <v>7</v>
      </c>
      <c r="BB517" s="22">
        <v>10</v>
      </c>
      <c r="BC517" s="316">
        <f t="shared" si="90"/>
        <v>207</v>
      </c>
      <c r="BD517" s="58">
        <f t="shared" si="91"/>
        <v>8</v>
      </c>
      <c r="BE517" s="58">
        <f t="shared" si="92"/>
        <v>0</v>
      </c>
      <c r="BF517" s="58">
        <f t="shared" si="93"/>
        <v>0</v>
      </c>
      <c r="BG517" s="58">
        <f t="shared" si="94"/>
        <v>0</v>
      </c>
      <c r="BH517" s="58">
        <f t="shared" si="95"/>
        <v>0</v>
      </c>
      <c r="BI517" s="58">
        <f t="shared" si="96"/>
        <v>0</v>
      </c>
      <c r="BJ517" s="58">
        <f t="shared" si="97"/>
        <v>0</v>
      </c>
      <c r="BK517" s="58">
        <f t="shared" si="98"/>
        <v>8</v>
      </c>
    </row>
    <row r="518" spans="1:63" ht="27" customHeight="1">
      <c r="A518" s="238">
        <f t="shared" si="99"/>
        <v>516</v>
      </c>
      <c r="B518" s="239"/>
      <c r="C518" s="239">
        <v>3378</v>
      </c>
      <c r="D518" s="241" t="s">
        <v>3326</v>
      </c>
      <c r="E518" s="242" t="s">
        <v>3327</v>
      </c>
      <c r="F518" s="243" t="s">
        <v>3328</v>
      </c>
      <c r="G518" s="244" t="s">
        <v>336</v>
      </c>
      <c r="H518" s="245" t="s">
        <v>3329</v>
      </c>
      <c r="I518" s="246" t="s">
        <v>338</v>
      </c>
      <c r="J518" s="247" t="s">
        <v>178</v>
      </c>
      <c r="K518" s="248">
        <v>31506</v>
      </c>
      <c r="L518" s="249" t="s">
        <v>179</v>
      </c>
      <c r="M518" s="250">
        <v>43755</v>
      </c>
      <c r="N518" s="250"/>
      <c r="O518" s="250" t="s">
        <v>34</v>
      </c>
      <c r="P518" s="238" t="s">
        <v>27</v>
      </c>
      <c r="Q518" s="238" t="s">
        <v>181</v>
      </c>
      <c r="R518" s="238" t="s">
        <v>182</v>
      </c>
      <c r="S518" s="238" t="s">
        <v>1551</v>
      </c>
      <c r="T518" s="251"/>
      <c r="U518" s="251"/>
      <c r="V518" s="252"/>
      <c r="W518" s="252"/>
      <c r="X518" s="252">
        <v>6</v>
      </c>
      <c r="Y518" s="253" t="s">
        <v>3330</v>
      </c>
      <c r="Z518" s="254"/>
      <c r="AA518" s="254" t="s">
        <v>186</v>
      </c>
      <c r="AB518" s="252"/>
      <c r="AC518" s="255"/>
      <c r="AD518" s="256" t="s">
        <v>188</v>
      </c>
      <c r="AE518" s="256" t="s">
        <v>188</v>
      </c>
      <c r="AF518" s="257"/>
      <c r="AG518" s="258"/>
      <c r="AH518" s="259"/>
      <c r="AI518" s="259"/>
      <c r="AJ518" s="260" t="s">
        <v>203</v>
      </c>
      <c r="AK518" s="260" t="s">
        <v>190</v>
      </c>
      <c r="AL518" s="260" t="s">
        <v>190</v>
      </c>
      <c r="AM518" s="255" t="s">
        <v>2349</v>
      </c>
      <c r="AN518" s="22">
        <v>182</v>
      </c>
      <c r="AO518" s="22">
        <v>0</v>
      </c>
      <c r="AP518" s="22">
        <v>0</v>
      </c>
      <c r="AQ518" s="22">
        <v>0</v>
      </c>
      <c r="AR518" s="22">
        <v>0</v>
      </c>
      <c r="AS518" s="22">
        <v>7</v>
      </c>
      <c r="AT518" s="22">
        <v>10</v>
      </c>
      <c r="AU518" s="316">
        <f t="shared" si="89"/>
        <v>199</v>
      </c>
      <c r="AV518" s="22">
        <v>190</v>
      </c>
      <c r="AW518" s="22">
        <v>0</v>
      </c>
      <c r="AX518" s="22">
        <v>0</v>
      </c>
      <c r="AY518" s="22">
        <v>0</v>
      </c>
      <c r="AZ518" s="22">
        <v>0</v>
      </c>
      <c r="BA518" s="22">
        <v>7</v>
      </c>
      <c r="BB518" s="22">
        <v>10</v>
      </c>
      <c r="BC518" s="316">
        <f t="shared" si="90"/>
        <v>207</v>
      </c>
      <c r="BD518" s="58">
        <f t="shared" si="91"/>
        <v>8</v>
      </c>
      <c r="BE518" s="58">
        <f t="shared" si="92"/>
        <v>0</v>
      </c>
      <c r="BF518" s="58">
        <f t="shared" si="93"/>
        <v>0</v>
      </c>
      <c r="BG518" s="58">
        <f t="shared" si="94"/>
        <v>0</v>
      </c>
      <c r="BH518" s="58">
        <f t="shared" si="95"/>
        <v>0</v>
      </c>
      <c r="BI518" s="58">
        <f t="shared" si="96"/>
        <v>0</v>
      </c>
      <c r="BJ518" s="58">
        <f t="shared" si="97"/>
        <v>0</v>
      </c>
      <c r="BK518" s="58">
        <f t="shared" si="98"/>
        <v>8</v>
      </c>
    </row>
    <row r="519" spans="1:63" ht="27" customHeight="1">
      <c r="A519" s="238">
        <f t="shared" si="99"/>
        <v>517</v>
      </c>
      <c r="B519" s="239"/>
      <c r="C519" s="239">
        <v>3399</v>
      </c>
      <c r="D519" s="241" t="s">
        <v>3331</v>
      </c>
      <c r="E519" s="242" t="s">
        <v>3332</v>
      </c>
      <c r="F519" s="243" t="s">
        <v>881</v>
      </c>
      <c r="G519" s="244" t="s">
        <v>3333</v>
      </c>
      <c r="H519" s="245" t="s">
        <v>3241</v>
      </c>
      <c r="I519" s="246" t="s">
        <v>3334</v>
      </c>
      <c r="J519" s="247" t="s">
        <v>178</v>
      </c>
      <c r="K519" s="248">
        <v>27834</v>
      </c>
      <c r="L519" s="249" t="s">
        <v>179</v>
      </c>
      <c r="M519" s="250">
        <v>43760</v>
      </c>
      <c r="N519" s="250"/>
      <c r="O519" s="250" t="s">
        <v>34</v>
      </c>
      <c r="P519" s="238" t="s">
        <v>512</v>
      </c>
      <c r="Q519" s="238" t="s">
        <v>181</v>
      </c>
      <c r="R519" s="238" t="s">
        <v>182</v>
      </c>
      <c r="S519" s="238" t="s">
        <v>2598</v>
      </c>
      <c r="T519" s="251"/>
      <c r="U519" s="251"/>
      <c r="V519" s="252"/>
      <c r="W519" s="252"/>
      <c r="X519" s="252"/>
      <c r="Y519" s="253" t="s">
        <v>3335</v>
      </c>
      <c r="Z519" s="254"/>
      <c r="AA519" s="254" t="s">
        <v>186</v>
      </c>
      <c r="AB519" s="252"/>
      <c r="AC519" s="255"/>
      <c r="AD519" s="256" t="s">
        <v>188</v>
      </c>
      <c r="AE519" s="256" t="s">
        <v>188</v>
      </c>
      <c r="AF519" s="257"/>
      <c r="AG519" s="258"/>
      <c r="AH519" s="259"/>
      <c r="AI519" s="259"/>
      <c r="AJ519" s="260" t="s">
        <v>203</v>
      </c>
      <c r="AK519" s="260" t="s">
        <v>190</v>
      </c>
      <c r="AL519" s="260" t="s">
        <v>190</v>
      </c>
      <c r="AM519" s="255" t="s">
        <v>2349</v>
      </c>
      <c r="AN519" s="22">
        <v>182</v>
      </c>
      <c r="AO519" s="22">
        <v>0</v>
      </c>
      <c r="AP519" s="22">
        <v>0</v>
      </c>
      <c r="AQ519" s="22">
        <v>0</v>
      </c>
      <c r="AR519" s="22">
        <v>0</v>
      </c>
      <c r="AS519" s="22">
        <v>7</v>
      </c>
      <c r="AT519" s="22">
        <v>10</v>
      </c>
      <c r="AU519" s="316">
        <f t="shared" si="89"/>
        <v>199</v>
      </c>
      <c r="AV519" s="22">
        <v>190</v>
      </c>
      <c r="AW519" s="22">
        <v>0</v>
      </c>
      <c r="AX519" s="22">
        <v>0</v>
      </c>
      <c r="AY519" s="22">
        <v>0</v>
      </c>
      <c r="AZ519" s="22">
        <v>0</v>
      </c>
      <c r="BA519" s="22">
        <v>7</v>
      </c>
      <c r="BB519" s="22">
        <v>10</v>
      </c>
      <c r="BC519" s="316">
        <f t="shared" si="90"/>
        <v>207</v>
      </c>
      <c r="BD519" s="58">
        <f t="shared" si="91"/>
        <v>8</v>
      </c>
      <c r="BE519" s="58">
        <f t="shared" si="92"/>
        <v>0</v>
      </c>
      <c r="BF519" s="58">
        <f t="shared" si="93"/>
        <v>0</v>
      </c>
      <c r="BG519" s="58">
        <f t="shared" si="94"/>
        <v>0</v>
      </c>
      <c r="BH519" s="58">
        <f t="shared" si="95"/>
        <v>0</v>
      </c>
      <c r="BI519" s="58">
        <f t="shared" si="96"/>
        <v>0</v>
      </c>
      <c r="BJ519" s="58">
        <f t="shared" si="97"/>
        <v>0</v>
      </c>
      <c r="BK519" s="58">
        <f t="shared" si="98"/>
        <v>8</v>
      </c>
    </row>
    <row r="520" spans="1:63" ht="27" customHeight="1">
      <c r="A520" s="238">
        <f t="shared" si="99"/>
        <v>518</v>
      </c>
      <c r="B520" s="239"/>
      <c r="C520" s="239">
        <v>3393</v>
      </c>
      <c r="D520" s="241" t="s">
        <v>3336</v>
      </c>
      <c r="E520" s="242" t="s">
        <v>3337</v>
      </c>
      <c r="F520" s="243" t="s">
        <v>1178</v>
      </c>
      <c r="G520" s="244" t="s">
        <v>135</v>
      </c>
      <c r="H520" s="245" t="s">
        <v>3323</v>
      </c>
      <c r="I520" s="246" t="s">
        <v>3338</v>
      </c>
      <c r="J520" s="247" t="s">
        <v>178</v>
      </c>
      <c r="K520" s="248">
        <v>29952</v>
      </c>
      <c r="L520" s="249" t="s">
        <v>179</v>
      </c>
      <c r="M520" s="250">
        <v>43760</v>
      </c>
      <c r="N520" s="250"/>
      <c r="O520" s="250" t="s">
        <v>34</v>
      </c>
      <c r="P520" s="238" t="s">
        <v>512</v>
      </c>
      <c r="Q520" s="238" t="s">
        <v>181</v>
      </c>
      <c r="R520" s="238" t="s">
        <v>182</v>
      </c>
      <c r="S520" s="238" t="s">
        <v>2359</v>
      </c>
      <c r="T520" s="251"/>
      <c r="U520" s="251"/>
      <c r="V520" s="252"/>
      <c r="W520" s="252"/>
      <c r="X520" s="252">
        <v>4</v>
      </c>
      <c r="Y520" s="253" t="s">
        <v>3339</v>
      </c>
      <c r="Z520" s="254"/>
      <c r="AA520" s="254" t="s">
        <v>186</v>
      </c>
      <c r="AB520" s="252"/>
      <c r="AC520" s="255"/>
      <c r="AD520" s="256" t="s">
        <v>188</v>
      </c>
      <c r="AE520" s="256" t="s">
        <v>188</v>
      </c>
      <c r="AF520" s="257"/>
      <c r="AG520" s="258"/>
      <c r="AH520" s="259"/>
      <c r="AI520" s="259"/>
      <c r="AJ520" s="260" t="s">
        <v>203</v>
      </c>
      <c r="AK520" s="260" t="s">
        <v>190</v>
      </c>
      <c r="AL520" s="260" t="s">
        <v>190</v>
      </c>
      <c r="AM520" s="255" t="s">
        <v>2349</v>
      </c>
      <c r="AN520" s="22">
        <v>182</v>
      </c>
      <c r="AO520" s="22">
        <v>0</v>
      </c>
      <c r="AP520" s="22">
        <v>0</v>
      </c>
      <c r="AQ520" s="22">
        <v>0</v>
      </c>
      <c r="AR520" s="22">
        <v>0</v>
      </c>
      <c r="AS520" s="22">
        <v>7</v>
      </c>
      <c r="AT520" s="22">
        <v>10</v>
      </c>
      <c r="AU520" s="316">
        <f t="shared" si="89"/>
        <v>199</v>
      </c>
      <c r="AV520" s="22">
        <v>190</v>
      </c>
      <c r="AW520" s="22">
        <v>0</v>
      </c>
      <c r="AX520" s="22">
        <v>0</v>
      </c>
      <c r="AY520" s="22">
        <v>0</v>
      </c>
      <c r="AZ520" s="22">
        <v>0</v>
      </c>
      <c r="BA520" s="22">
        <v>7</v>
      </c>
      <c r="BB520" s="22">
        <v>10</v>
      </c>
      <c r="BC520" s="316">
        <f t="shared" si="90"/>
        <v>207</v>
      </c>
      <c r="BD520" s="58">
        <f t="shared" si="91"/>
        <v>8</v>
      </c>
      <c r="BE520" s="58">
        <f t="shared" si="92"/>
        <v>0</v>
      </c>
      <c r="BF520" s="58">
        <f t="shared" si="93"/>
        <v>0</v>
      </c>
      <c r="BG520" s="58">
        <f t="shared" si="94"/>
        <v>0</v>
      </c>
      <c r="BH520" s="58">
        <f t="shared" si="95"/>
        <v>0</v>
      </c>
      <c r="BI520" s="58">
        <f t="shared" si="96"/>
        <v>0</v>
      </c>
      <c r="BJ520" s="58">
        <f t="shared" si="97"/>
        <v>0</v>
      </c>
      <c r="BK520" s="58">
        <f t="shared" si="98"/>
        <v>8</v>
      </c>
    </row>
    <row r="521" spans="1:63" ht="27" customHeight="1">
      <c r="A521" s="238">
        <f t="shared" si="99"/>
        <v>519</v>
      </c>
      <c r="B521" s="239"/>
      <c r="C521" s="239">
        <v>3386</v>
      </c>
      <c r="D521" s="241" t="s">
        <v>3340</v>
      </c>
      <c r="E521" s="242" t="s">
        <v>3341</v>
      </c>
      <c r="F521" s="243" t="s">
        <v>2931</v>
      </c>
      <c r="G521" s="244" t="s">
        <v>2069</v>
      </c>
      <c r="H521" s="245" t="s">
        <v>2932</v>
      </c>
      <c r="I521" s="246" t="s">
        <v>3294</v>
      </c>
      <c r="J521" s="247" t="s">
        <v>178</v>
      </c>
      <c r="K521" s="248">
        <v>30399</v>
      </c>
      <c r="L521" s="249" t="s">
        <v>179</v>
      </c>
      <c r="M521" s="250">
        <v>43759</v>
      </c>
      <c r="N521" s="250"/>
      <c r="O521" s="250" t="s">
        <v>34</v>
      </c>
      <c r="P521" s="238" t="s">
        <v>309</v>
      </c>
      <c r="Q521" s="238" t="s">
        <v>181</v>
      </c>
      <c r="R521" s="238" t="s">
        <v>182</v>
      </c>
      <c r="S521" s="238" t="s">
        <v>2598</v>
      </c>
      <c r="T521" s="251"/>
      <c r="U521" s="251"/>
      <c r="V521" s="252"/>
      <c r="W521" s="252"/>
      <c r="X521" s="252"/>
      <c r="Y521" s="253"/>
      <c r="Z521" s="254"/>
      <c r="AA521" s="254" t="s">
        <v>186</v>
      </c>
      <c r="AB521" s="252"/>
      <c r="AC521" s="255"/>
      <c r="AD521" s="256"/>
      <c r="AE521" s="256"/>
      <c r="AF521" s="257"/>
      <c r="AG521" s="258"/>
      <c r="AH521" s="259"/>
      <c r="AI521" s="259"/>
      <c r="AJ521" s="260" t="s">
        <v>203</v>
      </c>
      <c r="AK521" s="260" t="s">
        <v>190</v>
      </c>
      <c r="AL521" s="260" t="s">
        <v>190</v>
      </c>
      <c r="AM521" s="255" t="s">
        <v>2349</v>
      </c>
      <c r="AN521" s="22">
        <v>177</v>
      </c>
      <c r="AO521" s="22">
        <v>0</v>
      </c>
      <c r="AP521" s="22">
        <v>0</v>
      </c>
      <c r="AQ521" s="22">
        <v>0</v>
      </c>
      <c r="AR521" s="22">
        <v>0</v>
      </c>
      <c r="AS521" s="22">
        <v>7</v>
      </c>
      <c r="AT521" s="22">
        <v>10</v>
      </c>
      <c r="AU521" s="316">
        <f t="shared" si="89"/>
        <v>194</v>
      </c>
      <c r="AV521" s="22">
        <v>185</v>
      </c>
      <c r="AW521" s="22">
        <v>0</v>
      </c>
      <c r="AX521" s="22">
        <v>0</v>
      </c>
      <c r="AY521" s="22">
        <v>0</v>
      </c>
      <c r="AZ521" s="22">
        <v>0</v>
      </c>
      <c r="BA521" s="22">
        <v>7</v>
      </c>
      <c r="BB521" s="22">
        <v>10</v>
      </c>
      <c r="BC521" s="316">
        <f t="shared" si="90"/>
        <v>202</v>
      </c>
      <c r="BD521" s="58">
        <f t="shared" si="91"/>
        <v>8</v>
      </c>
      <c r="BE521" s="58">
        <f t="shared" si="92"/>
        <v>0</v>
      </c>
      <c r="BF521" s="58">
        <f t="shared" si="93"/>
        <v>0</v>
      </c>
      <c r="BG521" s="58">
        <f t="shared" si="94"/>
        <v>0</v>
      </c>
      <c r="BH521" s="58">
        <f t="shared" si="95"/>
        <v>0</v>
      </c>
      <c r="BI521" s="58">
        <f t="shared" si="96"/>
        <v>0</v>
      </c>
      <c r="BJ521" s="58">
        <f t="shared" si="97"/>
        <v>0</v>
      </c>
      <c r="BK521" s="58">
        <f t="shared" si="98"/>
        <v>8</v>
      </c>
    </row>
    <row r="522" spans="1:63" ht="27" customHeight="1">
      <c r="A522" s="238">
        <f t="shared" si="99"/>
        <v>520</v>
      </c>
      <c r="B522" s="239"/>
      <c r="C522" s="239">
        <v>3396</v>
      </c>
      <c r="D522" s="241" t="s">
        <v>3342</v>
      </c>
      <c r="E522" s="242" t="s">
        <v>3343</v>
      </c>
      <c r="F522" s="243" t="s">
        <v>2059</v>
      </c>
      <c r="G522" s="244" t="s">
        <v>3344</v>
      </c>
      <c r="H522" s="245" t="s">
        <v>3345</v>
      </c>
      <c r="I522" s="246" t="s">
        <v>3346</v>
      </c>
      <c r="J522" s="247" t="s">
        <v>178</v>
      </c>
      <c r="K522" s="248">
        <v>25973</v>
      </c>
      <c r="L522" s="249" t="s">
        <v>179</v>
      </c>
      <c r="M522" s="250">
        <v>43760</v>
      </c>
      <c r="N522" s="250"/>
      <c r="O522" s="250" t="s">
        <v>34</v>
      </c>
      <c r="P522" s="238" t="s">
        <v>265</v>
      </c>
      <c r="Q522" s="238" t="s">
        <v>181</v>
      </c>
      <c r="R522" s="238" t="s">
        <v>182</v>
      </c>
      <c r="S522" s="238" t="s">
        <v>2505</v>
      </c>
      <c r="T522" s="251"/>
      <c r="U522" s="251"/>
      <c r="V522" s="252"/>
      <c r="W522" s="252"/>
      <c r="X522" s="252"/>
      <c r="Y522" s="253"/>
      <c r="Z522" s="254"/>
      <c r="AA522" s="254" t="s">
        <v>186</v>
      </c>
      <c r="AB522" s="252"/>
      <c r="AC522" s="255"/>
      <c r="AD522" s="256" t="s">
        <v>188</v>
      </c>
      <c r="AE522" s="256" t="s">
        <v>188</v>
      </c>
      <c r="AF522" s="257"/>
      <c r="AG522" s="258"/>
      <c r="AH522" s="259"/>
      <c r="AI522" s="259"/>
      <c r="AJ522" s="260" t="s">
        <v>203</v>
      </c>
      <c r="AK522" s="260" t="s">
        <v>190</v>
      </c>
      <c r="AL522" s="260" t="s">
        <v>190</v>
      </c>
      <c r="AM522" s="255" t="s">
        <v>2349</v>
      </c>
      <c r="AN522" s="22">
        <v>182</v>
      </c>
      <c r="AO522" s="22">
        <v>0</v>
      </c>
      <c r="AP522" s="22">
        <v>0</v>
      </c>
      <c r="AQ522" s="22">
        <v>0</v>
      </c>
      <c r="AR522" s="22">
        <v>0</v>
      </c>
      <c r="AS522" s="22">
        <v>7</v>
      </c>
      <c r="AT522" s="22">
        <v>10</v>
      </c>
      <c r="AU522" s="316">
        <f t="shared" si="89"/>
        <v>199</v>
      </c>
      <c r="AV522" s="22">
        <v>190</v>
      </c>
      <c r="AW522" s="22">
        <v>0</v>
      </c>
      <c r="AX522" s="22">
        <v>0</v>
      </c>
      <c r="AY522" s="22">
        <v>0</v>
      </c>
      <c r="AZ522" s="22">
        <v>0</v>
      </c>
      <c r="BA522" s="22">
        <v>7</v>
      </c>
      <c r="BB522" s="22">
        <v>10</v>
      </c>
      <c r="BC522" s="316">
        <f t="shared" si="90"/>
        <v>207</v>
      </c>
      <c r="BD522" s="58">
        <f t="shared" si="91"/>
        <v>8</v>
      </c>
      <c r="BE522" s="58">
        <f t="shared" si="92"/>
        <v>0</v>
      </c>
      <c r="BF522" s="58">
        <f t="shared" si="93"/>
        <v>0</v>
      </c>
      <c r="BG522" s="58">
        <f t="shared" si="94"/>
        <v>0</v>
      </c>
      <c r="BH522" s="58">
        <f t="shared" si="95"/>
        <v>0</v>
      </c>
      <c r="BI522" s="58">
        <f t="shared" si="96"/>
        <v>0</v>
      </c>
      <c r="BJ522" s="58">
        <f t="shared" si="97"/>
        <v>0</v>
      </c>
      <c r="BK522" s="58">
        <f t="shared" si="98"/>
        <v>8</v>
      </c>
    </row>
    <row r="523" spans="1:63" ht="27" customHeight="1">
      <c r="A523" s="238">
        <f t="shared" si="99"/>
        <v>521</v>
      </c>
      <c r="B523" s="239"/>
      <c r="C523" s="239">
        <v>3402</v>
      </c>
      <c r="D523" s="241" t="s">
        <v>3347</v>
      </c>
      <c r="E523" s="242" t="s">
        <v>3348</v>
      </c>
      <c r="F523" s="243" t="s">
        <v>3349</v>
      </c>
      <c r="G523" s="244" t="s">
        <v>3350</v>
      </c>
      <c r="H523" s="245" t="s">
        <v>3351</v>
      </c>
      <c r="I523" s="246" t="s">
        <v>3352</v>
      </c>
      <c r="J523" s="247" t="s">
        <v>178</v>
      </c>
      <c r="K523" s="248">
        <v>29053</v>
      </c>
      <c r="L523" s="249" t="s">
        <v>179</v>
      </c>
      <c r="M523" s="250">
        <v>43759</v>
      </c>
      <c r="N523" s="250"/>
      <c r="O523" s="250" t="s">
        <v>34</v>
      </c>
      <c r="P523" s="238" t="s">
        <v>1281</v>
      </c>
      <c r="Q523" s="238" t="s">
        <v>181</v>
      </c>
      <c r="R523" s="238" t="s">
        <v>182</v>
      </c>
      <c r="S523" s="238" t="s">
        <v>2598</v>
      </c>
      <c r="T523" s="251"/>
      <c r="U523" s="251"/>
      <c r="V523" s="252"/>
      <c r="W523" s="252"/>
      <c r="X523" s="252">
        <v>3</v>
      </c>
      <c r="Y523" s="253" t="s">
        <v>3353</v>
      </c>
      <c r="Z523" s="254"/>
      <c r="AA523" s="254" t="s">
        <v>186</v>
      </c>
      <c r="AB523" s="252"/>
      <c r="AC523" s="255"/>
      <c r="AD523" s="256" t="s">
        <v>188</v>
      </c>
      <c r="AE523" s="256" t="s">
        <v>188</v>
      </c>
      <c r="AF523" s="257"/>
      <c r="AG523" s="258"/>
      <c r="AH523" s="259"/>
      <c r="AI523" s="259"/>
      <c r="AJ523" s="260" t="s">
        <v>203</v>
      </c>
      <c r="AK523" s="260" t="s">
        <v>190</v>
      </c>
      <c r="AL523" s="260" t="s">
        <v>190</v>
      </c>
      <c r="AM523" s="255" t="s">
        <v>2349</v>
      </c>
      <c r="AN523" s="22">
        <v>177</v>
      </c>
      <c r="AO523" s="22">
        <v>0</v>
      </c>
      <c r="AP523" s="22">
        <v>20</v>
      </c>
      <c r="AQ523" s="22">
        <v>0</v>
      </c>
      <c r="AR523" s="22">
        <v>0</v>
      </c>
      <c r="AS523" s="22">
        <v>7</v>
      </c>
      <c r="AT523" s="22">
        <v>10</v>
      </c>
      <c r="AU523" s="316">
        <f t="shared" si="89"/>
        <v>214</v>
      </c>
      <c r="AV523" s="22">
        <v>185</v>
      </c>
      <c r="AW523" s="22">
        <v>0</v>
      </c>
      <c r="AX523" s="22">
        <v>20</v>
      </c>
      <c r="AY523" s="22">
        <v>0</v>
      </c>
      <c r="AZ523" s="22">
        <v>0</v>
      </c>
      <c r="BA523" s="22">
        <v>7</v>
      </c>
      <c r="BB523" s="22">
        <v>10</v>
      </c>
      <c r="BC523" s="316">
        <f t="shared" si="90"/>
        <v>222</v>
      </c>
      <c r="BD523" s="58">
        <f t="shared" si="91"/>
        <v>8</v>
      </c>
      <c r="BE523" s="58">
        <f t="shared" si="92"/>
        <v>0</v>
      </c>
      <c r="BF523" s="58">
        <f t="shared" si="93"/>
        <v>0</v>
      </c>
      <c r="BG523" s="58">
        <f t="shared" si="94"/>
        <v>0</v>
      </c>
      <c r="BH523" s="58">
        <f t="shared" si="95"/>
        <v>0</v>
      </c>
      <c r="BI523" s="58">
        <f t="shared" si="96"/>
        <v>0</v>
      </c>
      <c r="BJ523" s="58">
        <f t="shared" si="97"/>
        <v>0</v>
      </c>
      <c r="BK523" s="58">
        <f t="shared" si="98"/>
        <v>8</v>
      </c>
    </row>
    <row r="524" spans="1:63" ht="27" customHeight="1">
      <c r="A524" s="238">
        <f t="shared" si="99"/>
        <v>522</v>
      </c>
      <c r="B524" s="239"/>
      <c r="C524" s="239">
        <v>3100</v>
      </c>
      <c r="D524" s="241" t="s">
        <v>3354</v>
      </c>
      <c r="E524" s="242"/>
      <c r="F524" s="243" t="s">
        <v>3355</v>
      </c>
      <c r="G524" s="244" t="s">
        <v>3356</v>
      </c>
      <c r="H524" s="245" t="s">
        <v>116</v>
      </c>
      <c r="I524" s="246" t="s">
        <v>3357</v>
      </c>
      <c r="J524" s="247" t="s">
        <v>209</v>
      </c>
      <c r="K524" s="248">
        <v>32364</v>
      </c>
      <c r="L524" s="249" t="s">
        <v>179</v>
      </c>
      <c r="M524" s="250">
        <v>43740</v>
      </c>
      <c r="N524" s="250"/>
      <c r="O524" s="250" t="s">
        <v>34</v>
      </c>
      <c r="P524" s="238" t="s">
        <v>292</v>
      </c>
      <c r="Q524" s="238" t="s">
        <v>181</v>
      </c>
      <c r="R524" s="238" t="s">
        <v>182</v>
      </c>
      <c r="S524" s="238" t="s">
        <v>2384</v>
      </c>
      <c r="T524" s="251"/>
      <c r="U524" s="251"/>
      <c r="V524" s="252"/>
      <c r="W524" s="252"/>
      <c r="X524" s="262"/>
      <c r="Y524" s="253" t="s">
        <v>3358</v>
      </c>
      <c r="Z524" s="254"/>
      <c r="AA524" s="254" t="s">
        <v>186</v>
      </c>
      <c r="AB524" s="252"/>
      <c r="AC524" s="255"/>
      <c r="AD524" s="256"/>
      <c r="AE524" s="256"/>
      <c r="AF524" s="257"/>
      <c r="AG524" s="258"/>
      <c r="AH524" s="259"/>
      <c r="AI524" s="259"/>
      <c r="AJ524" s="260" t="s">
        <v>203</v>
      </c>
      <c r="AK524" s="260" t="s">
        <v>190</v>
      </c>
      <c r="AL524" s="260" t="s">
        <v>190</v>
      </c>
      <c r="AM524" s="255" t="s">
        <v>2349</v>
      </c>
      <c r="AN524" s="22">
        <v>182</v>
      </c>
      <c r="AO524" s="22">
        <v>0</v>
      </c>
      <c r="AP524" s="22">
        <v>20</v>
      </c>
      <c r="AQ524" s="22">
        <v>0</v>
      </c>
      <c r="AR524" s="22">
        <v>0</v>
      </c>
      <c r="AS524" s="22">
        <v>7</v>
      </c>
      <c r="AT524" s="22">
        <v>10</v>
      </c>
      <c r="AU524" s="316">
        <f t="shared" si="89"/>
        <v>219</v>
      </c>
      <c r="AV524" s="22">
        <v>190</v>
      </c>
      <c r="AW524" s="22">
        <v>0</v>
      </c>
      <c r="AX524" s="22">
        <v>20</v>
      </c>
      <c r="AY524" s="22">
        <v>0</v>
      </c>
      <c r="AZ524" s="22">
        <v>0</v>
      </c>
      <c r="BA524" s="22">
        <v>7</v>
      </c>
      <c r="BB524" s="22">
        <v>10</v>
      </c>
      <c r="BC524" s="316">
        <f t="shared" si="90"/>
        <v>227</v>
      </c>
      <c r="BD524" s="58">
        <f t="shared" si="91"/>
        <v>8</v>
      </c>
      <c r="BE524" s="58">
        <f t="shared" si="92"/>
        <v>0</v>
      </c>
      <c r="BF524" s="58">
        <f t="shared" si="93"/>
        <v>0</v>
      </c>
      <c r="BG524" s="58">
        <f t="shared" si="94"/>
        <v>0</v>
      </c>
      <c r="BH524" s="58">
        <f t="shared" si="95"/>
        <v>0</v>
      </c>
      <c r="BI524" s="58">
        <f t="shared" si="96"/>
        <v>0</v>
      </c>
      <c r="BJ524" s="58">
        <f t="shared" si="97"/>
        <v>0</v>
      </c>
      <c r="BK524" s="58">
        <f t="shared" si="98"/>
        <v>8</v>
      </c>
    </row>
    <row r="525" spans="1:63" ht="27" customHeight="1">
      <c r="A525" s="238">
        <f t="shared" si="99"/>
        <v>523</v>
      </c>
      <c r="B525" s="239"/>
      <c r="C525" s="239">
        <v>3116</v>
      </c>
      <c r="D525" s="241" t="s">
        <v>3359</v>
      </c>
      <c r="E525" s="242" t="s">
        <v>3360</v>
      </c>
      <c r="F525" s="243" t="s">
        <v>2427</v>
      </c>
      <c r="G525" s="244" t="s">
        <v>3361</v>
      </c>
      <c r="H525" s="245" t="s">
        <v>3362</v>
      </c>
      <c r="I525" s="246" t="s">
        <v>3363</v>
      </c>
      <c r="J525" s="247" t="s">
        <v>178</v>
      </c>
      <c r="K525" s="248">
        <v>35449</v>
      </c>
      <c r="L525" s="249" t="s">
        <v>3364</v>
      </c>
      <c r="M525" s="250">
        <v>43740</v>
      </c>
      <c r="N525" s="250"/>
      <c r="O525" s="250" t="s">
        <v>34</v>
      </c>
      <c r="P525" s="238" t="s">
        <v>636</v>
      </c>
      <c r="Q525" s="238" t="s">
        <v>181</v>
      </c>
      <c r="R525" s="238" t="s">
        <v>182</v>
      </c>
      <c r="S525" s="238" t="s">
        <v>2359</v>
      </c>
      <c r="T525" s="251"/>
      <c r="U525" s="251"/>
      <c r="V525" s="252"/>
      <c r="W525" s="252"/>
      <c r="X525" s="252"/>
      <c r="Y525" s="253" t="s">
        <v>3365</v>
      </c>
      <c r="Z525" s="254"/>
      <c r="AA525" s="254" t="s">
        <v>186</v>
      </c>
      <c r="AB525" s="252"/>
      <c r="AC525" s="255"/>
      <c r="AD525" s="256" t="s">
        <v>188</v>
      </c>
      <c r="AE525" s="256"/>
      <c r="AF525" s="257"/>
      <c r="AG525" s="258"/>
      <c r="AH525" s="259"/>
      <c r="AI525" s="259"/>
      <c r="AJ525" s="260" t="s">
        <v>203</v>
      </c>
      <c r="AK525" s="260" t="s">
        <v>190</v>
      </c>
      <c r="AL525" s="260" t="s">
        <v>190</v>
      </c>
      <c r="AM525" s="255" t="s">
        <v>2349</v>
      </c>
      <c r="AN525" s="22">
        <v>182</v>
      </c>
      <c r="AO525" s="22">
        <v>0</v>
      </c>
      <c r="AP525" s="22">
        <v>20</v>
      </c>
      <c r="AQ525" s="22">
        <v>0</v>
      </c>
      <c r="AR525" s="22">
        <v>0</v>
      </c>
      <c r="AS525" s="22">
        <v>7</v>
      </c>
      <c r="AT525" s="22">
        <v>10</v>
      </c>
      <c r="AU525" s="316">
        <f t="shared" si="89"/>
        <v>219</v>
      </c>
      <c r="AV525" s="22">
        <v>190</v>
      </c>
      <c r="AW525" s="22">
        <v>0</v>
      </c>
      <c r="AX525" s="22">
        <v>20</v>
      </c>
      <c r="AY525" s="22">
        <v>0</v>
      </c>
      <c r="AZ525" s="22">
        <v>0</v>
      </c>
      <c r="BA525" s="22">
        <v>7</v>
      </c>
      <c r="BB525" s="22">
        <v>10</v>
      </c>
      <c r="BC525" s="316">
        <f t="shared" si="90"/>
        <v>227</v>
      </c>
      <c r="BD525" s="58">
        <f t="shared" si="91"/>
        <v>8</v>
      </c>
      <c r="BE525" s="58">
        <f t="shared" si="92"/>
        <v>0</v>
      </c>
      <c r="BF525" s="58">
        <f t="shared" si="93"/>
        <v>0</v>
      </c>
      <c r="BG525" s="58">
        <f t="shared" si="94"/>
        <v>0</v>
      </c>
      <c r="BH525" s="58">
        <f t="shared" si="95"/>
        <v>0</v>
      </c>
      <c r="BI525" s="58">
        <f t="shared" si="96"/>
        <v>0</v>
      </c>
      <c r="BJ525" s="58">
        <f t="shared" si="97"/>
        <v>0</v>
      </c>
      <c r="BK525" s="58">
        <f t="shared" si="98"/>
        <v>8</v>
      </c>
    </row>
    <row r="526" spans="1:63" ht="27" customHeight="1">
      <c r="A526" s="238">
        <f t="shared" si="99"/>
        <v>524</v>
      </c>
      <c r="B526" s="239"/>
      <c r="C526" s="239">
        <v>3373</v>
      </c>
      <c r="D526" s="241" t="s">
        <v>3366</v>
      </c>
      <c r="E526" s="242" t="s">
        <v>3367</v>
      </c>
      <c r="F526" s="243" t="s">
        <v>3368</v>
      </c>
      <c r="G526" s="244" t="s">
        <v>2176</v>
      </c>
      <c r="H526" s="245" t="s">
        <v>3369</v>
      </c>
      <c r="I526" s="246" t="s">
        <v>3254</v>
      </c>
      <c r="J526" s="247" t="s">
        <v>209</v>
      </c>
      <c r="K526" s="248">
        <v>36331</v>
      </c>
      <c r="L526" s="249" t="s">
        <v>179</v>
      </c>
      <c r="M526" s="250">
        <v>43755</v>
      </c>
      <c r="N526" s="250"/>
      <c r="O526" s="250" t="s">
        <v>34</v>
      </c>
      <c r="P526" s="238" t="s">
        <v>552</v>
      </c>
      <c r="Q526" s="238" t="s">
        <v>181</v>
      </c>
      <c r="R526" s="238" t="s">
        <v>182</v>
      </c>
      <c r="S526" s="238" t="s">
        <v>2359</v>
      </c>
      <c r="T526" s="251"/>
      <c r="U526" s="251"/>
      <c r="V526" s="252"/>
      <c r="W526" s="252"/>
      <c r="X526" s="252">
        <v>5</v>
      </c>
      <c r="Y526" s="253" t="s">
        <v>3370</v>
      </c>
      <c r="Z526" s="254" t="s">
        <v>186</v>
      </c>
      <c r="AA526" s="254"/>
      <c r="AB526" s="252"/>
      <c r="AC526" s="255"/>
      <c r="AD526" s="256"/>
      <c r="AE526" s="256"/>
      <c r="AF526" s="257"/>
      <c r="AG526" s="258"/>
      <c r="AH526" s="259"/>
      <c r="AI526" s="259"/>
      <c r="AJ526" s="260" t="s">
        <v>203</v>
      </c>
      <c r="AK526" s="260" t="s">
        <v>190</v>
      </c>
      <c r="AL526" s="260" t="s">
        <v>190</v>
      </c>
      <c r="AM526" s="255" t="s">
        <v>2349</v>
      </c>
      <c r="AN526" s="22">
        <v>177</v>
      </c>
      <c r="AO526" s="22">
        <v>0</v>
      </c>
      <c r="AP526" s="22">
        <v>20</v>
      </c>
      <c r="AQ526" s="22">
        <v>0</v>
      </c>
      <c r="AR526" s="22">
        <v>0</v>
      </c>
      <c r="AS526" s="22">
        <v>7</v>
      </c>
      <c r="AT526" s="22">
        <v>10</v>
      </c>
      <c r="AU526" s="316">
        <f t="shared" si="89"/>
        <v>214</v>
      </c>
      <c r="AV526" s="22">
        <v>185</v>
      </c>
      <c r="AW526" s="22">
        <v>0</v>
      </c>
      <c r="AX526" s="22">
        <v>20</v>
      </c>
      <c r="AY526" s="22">
        <v>0</v>
      </c>
      <c r="AZ526" s="22">
        <v>0</v>
      </c>
      <c r="BA526" s="22">
        <v>7</v>
      </c>
      <c r="BB526" s="22">
        <v>10</v>
      </c>
      <c r="BC526" s="316">
        <f t="shared" si="90"/>
        <v>222</v>
      </c>
      <c r="BD526" s="58">
        <f t="shared" si="91"/>
        <v>8</v>
      </c>
      <c r="BE526" s="58">
        <f t="shared" si="92"/>
        <v>0</v>
      </c>
      <c r="BF526" s="58">
        <f t="shared" si="93"/>
        <v>0</v>
      </c>
      <c r="BG526" s="58">
        <f t="shared" si="94"/>
        <v>0</v>
      </c>
      <c r="BH526" s="58">
        <f t="shared" si="95"/>
        <v>0</v>
      </c>
      <c r="BI526" s="58">
        <f t="shared" si="96"/>
        <v>0</v>
      </c>
      <c r="BJ526" s="58">
        <f t="shared" si="97"/>
        <v>0</v>
      </c>
      <c r="BK526" s="58">
        <f t="shared" si="98"/>
        <v>8</v>
      </c>
    </row>
    <row r="527" spans="1:63" ht="27" customHeight="1">
      <c r="A527" s="238">
        <f t="shared" si="99"/>
        <v>525</v>
      </c>
      <c r="B527" s="239"/>
      <c r="C527" s="239">
        <v>3372</v>
      </c>
      <c r="D527" s="241" t="s">
        <v>3371</v>
      </c>
      <c r="E527" s="242" t="s">
        <v>3372</v>
      </c>
      <c r="F527" s="243" t="s">
        <v>3373</v>
      </c>
      <c r="G527" s="244" t="s">
        <v>2938</v>
      </c>
      <c r="H527" s="245" t="s">
        <v>2202</v>
      </c>
      <c r="I527" s="246" t="s">
        <v>2126</v>
      </c>
      <c r="J527" s="247" t="s">
        <v>209</v>
      </c>
      <c r="K527" s="248">
        <v>36576</v>
      </c>
      <c r="L527" s="249" t="s">
        <v>179</v>
      </c>
      <c r="M527" s="250">
        <v>43754</v>
      </c>
      <c r="N527" s="250"/>
      <c r="O527" s="250" t="s">
        <v>34</v>
      </c>
      <c r="P527" s="238" t="s">
        <v>552</v>
      </c>
      <c r="Q527" s="238" t="s">
        <v>181</v>
      </c>
      <c r="R527" s="238" t="s">
        <v>182</v>
      </c>
      <c r="S527" s="238" t="s">
        <v>2359</v>
      </c>
      <c r="T527" s="251"/>
      <c r="U527" s="251"/>
      <c r="V527" s="252"/>
      <c r="W527" s="252"/>
      <c r="X527" s="252">
        <v>9</v>
      </c>
      <c r="Y527" s="253" t="s">
        <v>3374</v>
      </c>
      <c r="Z527" s="254" t="s">
        <v>186</v>
      </c>
      <c r="AA527" s="254"/>
      <c r="AB527" s="252"/>
      <c r="AC527" s="255"/>
      <c r="AD527" s="256"/>
      <c r="AE527" s="256"/>
      <c r="AF527" s="257"/>
      <c r="AG527" s="258"/>
      <c r="AH527" s="259"/>
      <c r="AI527" s="259"/>
      <c r="AJ527" s="260" t="s">
        <v>203</v>
      </c>
      <c r="AK527" s="260" t="s">
        <v>190</v>
      </c>
      <c r="AL527" s="260" t="s">
        <v>190</v>
      </c>
      <c r="AM527" s="255" t="s">
        <v>2349</v>
      </c>
      <c r="AN527" s="22">
        <v>177</v>
      </c>
      <c r="AO527" s="22">
        <v>0</v>
      </c>
      <c r="AP527" s="22">
        <v>20</v>
      </c>
      <c r="AQ527" s="22">
        <v>0</v>
      </c>
      <c r="AR527" s="22">
        <v>0</v>
      </c>
      <c r="AS527" s="22">
        <v>7</v>
      </c>
      <c r="AT527" s="22">
        <v>10</v>
      </c>
      <c r="AU527" s="316">
        <f t="shared" si="89"/>
        <v>214</v>
      </c>
      <c r="AV527" s="22">
        <v>185</v>
      </c>
      <c r="AW527" s="22">
        <v>0</v>
      </c>
      <c r="AX527" s="22">
        <v>20</v>
      </c>
      <c r="AY527" s="22">
        <v>0</v>
      </c>
      <c r="AZ527" s="22">
        <v>0</v>
      </c>
      <c r="BA527" s="22">
        <v>7</v>
      </c>
      <c r="BB527" s="22">
        <v>10</v>
      </c>
      <c r="BC527" s="316">
        <f t="shared" si="90"/>
        <v>222</v>
      </c>
      <c r="BD527" s="58">
        <f t="shared" si="91"/>
        <v>8</v>
      </c>
      <c r="BE527" s="58">
        <f t="shared" si="92"/>
        <v>0</v>
      </c>
      <c r="BF527" s="58">
        <f t="shared" si="93"/>
        <v>0</v>
      </c>
      <c r="BG527" s="58">
        <f t="shared" si="94"/>
        <v>0</v>
      </c>
      <c r="BH527" s="58">
        <f t="shared" si="95"/>
        <v>0</v>
      </c>
      <c r="BI527" s="58">
        <f t="shared" si="96"/>
        <v>0</v>
      </c>
      <c r="BJ527" s="58">
        <f t="shared" si="97"/>
        <v>0</v>
      </c>
      <c r="BK527" s="58">
        <f t="shared" si="98"/>
        <v>8</v>
      </c>
    </row>
    <row r="528" spans="1:63" ht="27" customHeight="1">
      <c r="A528" s="238">
        <f t="shared" si="99"/>
        <v>526</v>
      </c>
      <c r="B528" s="239"/>
      <c r="C528" s="239">
        <v>3347</v>
      </c>
      <c r="D528" s="241"/>
      <c r="E528" s="242" t="s">
        <v>3375</v>
      </c>
      <c r="F528" s="243" t="s">
        <v>3376</v>
      </c>
      <c r="G528" s="244" t="s">
        <v>3377</v>
      </c>
      <c r="H528" s="245" t="s">
        <v>3378</v>
      </c>
      <c r="I528" s="246" t="s">
        <v>3379</v>
      </c>
      <c r="J528" s="247" t="s">
        <v>178</v>
      </c>
      <c r="K528" s="248">
        <v>34581</v>
      </c>
      <c r="L528" s="249" t="s">
        <v>179</v>
      </c>
      <c r="M528" s="250">
        <v>43754</v>
      </c>
      <c r="N528" s="250"/>
      <c r="O528" s="250" t="s">
        <v>34</v>
      </c>
      <c r="P528" s="238" t="s">
        <v>402</v>
      </c>
      <c r="Q528" s="238" t="s">
        <v>181</v>
      </c>
      <c r="R528" s="238" t="s">
        <v>182</v>
      </c>
      <c r="S528" s="238" t="s">
        <v>2484</v>
      </c>
      <c r="T528" s="251"/>
      <c r="U528" s="251"/>
      <c r="V528" s="252"/>
      <c r="W528" s="252"/>
      <c r="X528" s="252">
        <v>5</v>
      </c>
      <c r="Y528" s="253" t="s">
        <v>3380</v>
      </c>
      <c r="Z528" s="254"/>
      <c r="AA528" s="254" t="s">
        <v>186</v>
      </c>
      <c r="AB528" s="252"/>
      <c r="AC528" s="255"/>
      <c r="AD528" s="256" t="s">
        <v>188</v>
      </c>
      <c r="AE528" s="256"/>
      <c r="AF528" s="257"/>
      <c r="AG528" s="258"/>
      <c r="AH528" s="259"/>
      <c r="AI528" s="259"/>
      <c r="AJ528" s="260" t="s">
        <v>203</v>
      </c>
      <c r="AK528" s="260" t="s">
        <v>190</v>
      </c>
      <c r="AL528" s="260" t="s">
        <v>190</v>
      </c>
      <c r="AM528" s="255" t="s">
        <v>2349</v>
      </c>
      <c r="AN528" s="22">
        <v>182</v>
      </c>
      <c r="AO528" s="22">
        <v>0</v>
      </c>
      <c r="AP528" s="22">
        <v>0</v>
      </c>
      <c r="AQ528" s="22">
        <v>0</v>
      </c>
      <c r="AR528" s="22">
        <v>0</v>
      </c>
      <c r="AS528" s="22">
        <v>7</v>
      </c>
      <c r="AT528" s="22">
        <v>10</v>
      </c>
      <c r="AU528" s="316">
        <f t="shared" si="89"/>
        <v>199</v>
      </c>
      <c r="AV528" s="22">
        <v>190</v>
      </c>
      <c r="AW528" s="22">
        <v>0</v>
      </c>
      <c r="AX528" s="22">
        <v>0</v>
      </c>
      <c r="AY528" s="22">
        <v>0</v>
      </c>
      <c r="AZ528" s="22">
        <v>0</v>
      </c>
      <c r="BA528" s="22">
        <v>7</v>
      </c>
      <c r="BB528" s="22">
        <v>10</v>
      </c>
      <c r="BC528" s="316">
        <f t="shared" si="90"/>
        <v>207</v>
      </c>
      <c r="BD528" s="58">
        <f t="shared" si="91"/>
        <v>8</v>
      </c>
      <c r="BE528" s="58">
        <f t="shared" si="92"/>
        <v>0</v>
      </c>
      <c r="BF528" s="58">
        <f t="shared" si="93"/>
        <v>0</v>
      </c>
      <c r="BG528" s="58">
        <f t="shared" si="94"/>
        <v>0</v>
      </c>
      <c r="BH528" s="58">
        <f t="shared" si="95"/>
        <v>0</v>
      </c>
      <c r="BI528" s="58">
        <f t="shared" si="96"/>
        <v>0</v>
      </c>
      <c r="BJ528" s="58">
        <f t="shared" si="97"/>
        <v>0</v>
      </c>
      <c r="BK528" s="58">
        <f t="shared" si="98"/>
        <v>8</v>
      </c>
    </row>
    <row r="529" spans="1:63" ht="27" customHeight="1">
      <c r="A529" s="238">
        <f t="shared" si="99"/>
        <v>527</v>
      </c>
      <c r="B529" s="239"/>
      <c r="C529" s="239">
        <v>3357</v>
      </c>
      <c r="D529" s="241"/>
      <c r="E529" s="242"/>
      <c r="F529" s="243" t="s">
        <v>2819</v>
      </c>
      <c r="G529" s="244" t="s">
        <v>3381</v>
      </c>
      <c r="H529" s="245" t="s">
        <v>3382</v>
      </c>
      <c r="I529" s="246" t="s">
        <v>3383</v>
      </c>
      <c r="J529" s="247" t="s">
        <v>178</v>
      </c>
      <c r="K529" s="248">
        <v>36872</v>
      </c>
      <c r="L529" s="249" t="s">
        <v>179</v>
      </c>
      <c r="M529" s="250">
        <v>43755</v>
      </c>
      <c r="N529" s="250"/>
      <c r="O529" s="250" t="s">
        <v>34</v>
      </c>
      <c r="P529" s="238" t="s">
        <v>386</v>
      </c>
      <c r="Q529" s="238" t="s">
        <v>181</v>
      </c>
      <c r="R529" s="238" t="s">
        <v>182</v>
      </c>
      <c r="S529" s="238" t="s">
        <v>2430</v>
      </c>
      <c r="T529" s="251"/>
      <c r="U529" s="251"/>
      <c r="V529" s="252"/>
      <c r="W529" s="252"/>
      <c r="X529" s="252">
        <v>7</v>
      </c>
      <c r="Y529" s="253" t="s">
        <v>3384</v>
      </c>
      <c r="Z529" s="254" t="s">
        <v>186</v>
      </c>
      <c r="AA529" s="254"/>
      <c r="AB529" s="252"/>
      <c r="AC529" s="255"/>
      <c r="AD529" s="256"/>
      <c r="AE529" s="256"/>
      <c r="AF529" s="257"/>
      <c r="AG529" s="258"/>
      <c r="AH529" s="259"/>
      <c r="AI529" s="259"/>
      <c r="AJ529" s="260" t="s">
        <v>203</v>
      </c>
      <c r="AK529" s="260" t="s">
        <v>190</v>
      </c>
      <c r="AL529" s="260" t="s">
        <v>190</v>
      </c>
      <c r="AM529" s="255" t="s">
        <v>2349</v>
      </c>
      <c r="AN529" s="22">
        <v>177</v>
      </c>
      <c r="AO529" s="22">
        <v>0</v>
      </c>
      <c r="AP529" s="22">
        <v>0</v>
      </c>
      <c r="AQ529" s="22">
        <v>0</v>
      </c>
      <c r="AR529" s="22">
        <v>0</v>
      </c>
      <c r="AS529" s="22">
        <v>7</v>
      </c>
      <c r="AT529" s="22">
        <v>10</v>
      </c>
      <c r="AU529" s="316">
        <f t="shared" si="89"/>
        <v>194</v>
      </c>
      <c r="AV529" s="22">
        <v>185</v>
      </c>
      <c r="AW529" s="22">
        <v>0</v>
      </c>
      <c r="AX529" s="22">
        <v>0</v>
      </c>
      <c r="AY529" s="22">
        <v>0</v>
      </c>
      <c r="AZ529" s="22">
        <v>0</v>
      </c>
      <c r="BA529" s="22">
        <v>7</v>
      </c>
      <c r="BB529" s="22">
        <v>10</v>
      </c>
      <c r="BC529" s="316">
        <f t="shared" si="90"/>
        <v>202</v>
      </c>
      <c r="BD529" s="58">
        <f t="shared" si="91"/>
        <v>8</v>
      </c>
      <c r="BE529" s="58">
        <f t="shared" si="92"/>
        <v>0</v>
      </c>
      <c r="BF529" s="58">
        <f t="shared" si="93"/>
        <v>0</v>
      </c>
      <c r="BG529" s="58">
        <f t="shared" si="94"/>
        <v>0</v>
      </c>
      <c r="BH529" s="58">
        <f t="shared" si="95"/>
        <v>0</v>
      </c>
      <c r="BI529" s="58">
        <f t="shared" si="96"/>
        <v>0</v>
      </c>
      <c r="BJ529" s="58">
        <f t="shared" si="97"/>
        <v>0</v>
      </c>
      <c r="BK529" s="58">
        <f t="shared" si="98"/>
        <v>8</v>
      </c>
    </row>
    <row r="530" spans="1:63" ht="27" customHeight="1">
      <c r="A530" s="238">
        <f t="shared" si="99"/>
        <v>528</v>
      </c>
      <c r="B530" s="239"/>
      <c r="C530" s="239">
        <v>3111</v>
      </c>
      <c r="D530" s="241" t="s">
        <v>3385</v>
      </c>
      <c r="E530" s="242" t="s">
        <v>3386</v>
      </c>
      <c r="F530" s="243" t="s">
        <v>3387</v>
      </c>
      <c r="G530" s="244" t="s">
        <v>1809</v>
      </c>
      <c r="H530" s="245" t="s">
        <v>3388</v>
      </c>
      <c r="I530" s="246" t="s">
        <v>3389</v>
      </c>
      <c r="J530" s="247" t="s">
        <v>178</v>
      </c>
      <c r="K530" s="248">
        <v>36417</v>
      </c>
      <c r="L530" s="249" t="s">
        <v>179</v>
      </c>
      <c r="M530" s="250">
        <v>43740</v>
      </c>
      <c r="N530" s="250"/>
      <c r="O530" s="250" t="s">
        <v>34</v>
      </c>
      <c r="P530" s="238" t="s">
        <v>552</v>
      </c>
      <c r="Q530" s="238" t="s">
        <v>181</v>
      </c>
      <c r="R530" s="238" t="s">
        <v>182</v>
      </c>
      <c r="S530" s="238" t="s">
        <v>2359</v>
      </c>
      <c r="T530" s="251"/>
      <c r="U530" s="251"/>
      <c r="V530" s="252"/>
      <c r="W530" s="252"/>
      <c r="X530" s="252"/>
      <c r="Y530" s="253" t="s">
        <v>3390</v>
      </c>
      <c r="Z530" s="254" t="s">
        <v>186</v>
      </c>
      <c r="AA530" s="254"/>
      <c r="AB530" s="252"/>
      <c r="AC530" s="255"/>
      <c r="AD530" s="256"/>
      <c r="AE530" s="256"/>
      <c r="AF530" s="257"/>
      <c r="AG530" s="258"/>
      <c r="AH530" s="259"/>
      <c r="AI530" s="259"/>
      <c r="AJ530" s="260" t="s">
        <v>203</v>
      </c>
      <c r="AK530" s="260" t="s">
        <v>190</v>
      </c>
      <c r="AL530" s="260" t="s">
        <v>190</v>
      </c>
      <c r="AM530" s="255" t="s">
        <v>2349</v>
      </c>
      <c r="AN530" s="22">
        <v>182</v>
      </c>
      <c r="AO530" s="22">
        <v>0</v>
      </c>
      <c r="AP530" s="22">
        <v>20</v>
      </c>
      <c r="AQ530" s="22">
        <v>0</v>
      </c>
      <c r="AR530" s="22">
        <v>0</v>
      </c>
      <c r="AS530" s="22">
        <v>7</v>
      </c>
      <c r="AT530" s="22">
        <v>10</v>
      </c>
      <c r="AU530" s="316">
        <f t="shared" si="89"/>
        <v>219</v>
      </c>
      <c r="AV530" s="22">
        <v>190</v>
      </c>
      <c r="AW530" s="22">
        <v>0</v>
      </c>
      <c r="AX530" s="22">
        <v>20</v>
      </c>
      <c r="AY530" s="22">
        <v>0</v>
      </c>
      <c r="AZ530" s="22">
        <v>0</v>
      </c>
      <c r="BA530" s="22">
        <v>7</v>
      </c>
      <c r="BB530" s="22">
        <v>10</v>
      </c>
      <c r="BC530" s="316">
        <f t="shared" si="90"/>
        <v>227</v>
      </c>
      <c r="BD530" s="58">
        <f t="shared" si="91"/>
        <v>8</v>
      </c>
      <c r="BE530" s="58">
        <f t="shared" si="92"/>
        <v>0</v>
      </c>
      <c r="BF530" s="58">
        <f t="shared" si="93"/>
        <v>0</v>
      </c>
      <c r="BG530" s="58">
        <f t="shared" si="94"/>
        <v>0</v>
      </c>
      <c r="BH530" s="58">
        <f t="shared" si="95"/>
        <v>0</v>
      </c>
      <c r="BI530" s="58">
        <f t="shared" si="96"/>
        <v>0</v>
      </c>
      <c r="BJ530" s="58">
        <f t="shared" si="97"/>
        <v>0</v>
      </c>
      <c r="BK530" s="58">
        <f t="shared" si="98"/>
        <v>8</v>
      </c>
    </row>
    <row r="531" spans="1:63" ht="27" customHeight="1">
      <c r="A531" s="238">
        <f t="shared" si="99"/>
        <v>529</v>
      </c>
      <c r="B531" s="239"/>
      <c r="C531" s="239">
        <v>3317</v>
      </c>
      <c r="D531" s="241" t="s">
        <v>3391</v>
      </c>
      <c r="E531" s="242"/>
      <c r="F531" s="243" t="s">
        <v>3392</v>
      </c>
      <c r="G531" s="244" t="s">
        <v>3393</v>
      </c>
      <c r="H531" s="245" t="s">
        <v>3394</v>
      </c>
      <c r="I531" s="246" t="s">
        <v>3395</v>
      </c>
      <c r="J531" s="247" t="s">
        <v>178</v>
      </c>
      <c r="K531" s="248">
        <v>35261</v>
      </c>
      <c r="L531" s="249" t="s">
        <v>179</v>
      </c>
      <c r="M531" s="250">
        <v>43743</v>
      </c>
      <c r="N531" s="250"/>
      <c r="O531" s="250" t="s">
        <v>34</v>
      </c>
      <c r="P531" s="238" t="s">
        <v>339</v>
      </c>
      <c r="Q531" s="238" t="s">
        <v>181</v>
      </c>
      <c r="R531" s="238" t="s">
        <v>182</v>
      </c>
      <c r="S531" s="238" t="s">
        <v>1118</v>
      </c>
      <c r="T531" s="251"/>
      <c r="U531" s="251"/>
      <c r="V531" s="252"/>
      <c r="W531" s="252"/>
      <c r="X531" s="252">
        <v>4</v>
      </c>
      <c r="Y531" s="253"/>
      <c r="Z531" s="254"/>
      <c r="AA531" s="254" t="s">
        <v>186</v>
      </c>
      <c r="AB531" s="252"/>
      <c r="AC531" s="255"/>
      <c r="AD531" s="256"/>
      <c r="AE531" s="256"/>
      <c r="AF531" s="257"/>
      <c r="AG531" s="258"/>
      <c r="AH531" s="259"/>
      <c r="AI531" s="259"/>
      <c r="AJ531" s="260" t="s">
        <v>203</v>
      </c>
      <c r="AK531" s="260" t="s">
        <v>190</v>
      </c>
      <c r="AL531" s="260" t="s">
        <v>190</v>
      </c>
      <c r="AM531" s="255" t="s">
        <v>2349</v>
      </c>
      <c r="AN531" s="22">
        <v>182</v>
      </c>
      <c r="AO531" s="22">
        <v>0</v>
      </c>
      <c r="AP531" s="22">
        <v>0</v>
      </c>
      <c r="AQ531" s="22">
        <v>0</v>
      </c>
      <c r="AR531" s="22">
        <v>0</v>
      </c>
      <c r="AS531" s="22">
        <v>7</v>
      </c>
      <c r="AT531" s="22">
        <v>10</v>
      </c>
      <c r="AU531" s="316">
        <f t="shared" si="89"/>
        <v>199</v>
      </c>
      <c r="AV531" s="22">
        <v>190</v>
      </c>
      <c r="AW531" s="22">
        <v>0</v>
      </c>
      <c r="AX531" s="22">
        <v>0</v>
      </c>
      <c r="AY531" s="22">
        <v>0</v>
      </c>
      <c r="AZ531" s="22">
        <v>0</v>
      </c>
      <c r="BA531" s="22">
        <v>7</v>
      </c>
      <c r="BB531" s="22">
        <v>10</v>
      </c>
      <c r="BC531" s="316">
        <f t="shared" si="90"/>
        <v>207</v>
      </c>
      <c r="BD531" s="58">
        <f t="shared" si="91"/>
        <v>8</v>
      </c>
      <c r="BE531" s="58">
        <f t="shared" si="92"/>
        <v>0</v>
      </c>
      <c r="BF531" s="58">
        <f t="shared" si="93"/>
        <v>0</v>
      </c>
      <c r="BG531" s="58">
        <f t="shared" si="94"/>
        <v>0</v>
      </c>
      <c r="BH531" s="58">
        <f t="shared" si="95"/>
        <v>0</v>
      </c>
      <c r="BI531" s="58">
        <f t="shared" si="96"/>
        <v>0</v>
      </c>
      <c r="BJ531" s="58">
        <f t="shared" si="97"/>
        <v>0</v>
      </c>
      <c r="BK531" s="58">
        <f t="shared" si="98"/>
        <v>8</v>
      </c>
    </row>
    <row r="532" spans="1:63" ht="27" customHeight="1">
      <c r="A532" s="238">
        <f t="shared" si="99"/>
        <v>530</v>
      </c>
      <c r="B532" s="239"/>
      <c r="C532" s="239">
        <v>3346</v>
      </c>
      <c r="D532" s="241" t="s">
        <v>3396</v>
      </c>
      <c r="E532" s="242" t="s">
        <v>3397</v>
      </c>
      <c r="F532" s="243" t="s">
        <v>3398</v>
      </c>
      <c r="G532" s="244" t="s">
        <v>3399</v>
      </c>
      <c r="H532" s="245" t="s">
        <v>3400</v>
      </c>
      <c r="I532" s="246" t="s">
        <v>3401</v>
      </c>
      <c r="J532" s="247" t="s">
        <v>178</v>
      </c>
      <c r="K532" s="248">
        <v>31629</v>
      </c>
      <c r="L532" s="249" t="s">
        <v>179</v>
      </c>
      <c r="M532" s="250">
        <v>43750</v>
      </c>
      <c r="N532" s="250"/>
      <c r="O532" s="250" t="s">
        <v>34</v>
      </c>
      <c r="P532" s="238" t="s">
        <v>292</v>
      </c>
      <c r="Q532" s="238" t="s">
        <v>181</v>
      </c>
      <c r="R532" s="238" t="s">
        <v>182</v>
      </c>
      <c r="S532" s="238" t="s">
        <v>2359</v>
      </c>
      <c r="T532" s="251"/>
      <c r="U532" s="251"/>
      <c r="V532" s="252"/>
      <c r="W532" s="252"/>
      <c r="X532" s="252">
        <v>9</v>
      </c>
      <c r="Y532" s="253" t="s">
        <v>3402</v>
      </c>
      <c r="Z532" s="254"/>
      <c r="AA532" s="254" t="s">
        <v>186</v>
      </c>
      <c r="AB532" s="252"/>
      <c r="AC532" s="255"/>
      <c r="AD532" s="256"/>
      <c r="AE532" s="256"/>
      <c r="AF532" s="257"/>
      <c r="AG532" s="258"/>
      <c r="AH532" s="259"/>
      <c r="AI532" s="259"/>
      <c r="AJ532" s="260" t="s">
        <v>203</v>
      </c>
      <c r="AK532" s="260" t="s">
        <v>190</v>
      </c>
      <c r="AL532" s="260" t="s">
        <v>190</v>
      </c>
      <c r="AM532" s="255" t="s">
        <v>2349</v>
      </c>
      <c r="AN532" s="22">
        <v>182</v>
      </c>
      <c r="AO532" s="22">
        <v>0</v>
      </c>
      <c r="AP532" s="22">
        <v>20</v>
      </c>
      <c r="AQ532" s="22">
        <v>0</v>
      </c>
      <c r="AR532" s="22">
        <v>0</v>
      </c>
      <c r="AS532" s="22">
        <v>7</v>
      </c>
      <c r="AT532" s="22">
        <v>10</v>
      </c>
      <c r="AU532" s="316">
        <f t="shared" si="89"/>
        <v>219</v>
      </c>
      <c r="AV532" s="22">
        <v>190</v>
      </c>
      <c r="AW532" s="22">
        <v>0</v>
      </c>
      <c r="AX532" s="22">
        <v>20</v>
      </c>
      <c r="AY532" s="22">
        <v>0</v>
      </c>
      <c r="AZ532" s="22">
        <v>0</v>
      </c>
      <c r="BA532" s="22">
        <v>7</v>
      </c>
      <c r="BB532" s="22">
        <v>10</v>
      </c>
      <c r="BC532" s="316">
        <f t="shared" si="90"/>
        <v>227</v>
      </c>
      <c r="BD532" s="58">
        <f t="shared" si="91"/>
        <v>8</v>
      </c>
      <c r="BE532" s="58">
        <f t="shared" si="92"/>
        <v>0</v>
      </c>
      <c r="BF532" s="58">
        <f t="shared" si="93"/>
        <v>0</v>
      </c>
      <c r="BG532" s="58">
        <f t="shared" si="94"/>
        <v>0</v>
      </c>
      <c r="BH532" s="58">
        <f t="shared" si="95"/>
        <v>0</v>
      </c>
      <c r="BI532" s="58">
        <f t="shared" si="96"/>
        <v>0</v>
      </c>
      <c r="BJ532" s="58">
        <f t="shared" si="97"/>
        <v>0</v>
      </c>
      <c r="BK532" s="58">
        <f t="shared" si="98"/>
        <v>8</v>
      </c>
    </row>
    <row r="533" spans="1:63" ht="27" customHeight="1">
      <c r="A533" s="238">
        <f t="shared" si="99"/>
        <v>531</v>
      </c>
      <c r="B533" s="239"/>
      <c r="C533" s="239">
        <v>3340</v>
      </c>
      <c r="D533" s="241" t="s">
        <v>3403</v>
      </c>
      <c r="E533" s="242" t="s">
        <v>3404</v>
      </c>
      <c r="F533" s="243" t="s">
        <v>2059</v>
      </c>
      <c r="G533" s="244" t="s">
        <v>421</v>
      </c>
      <c r="H533" s="245" t="s">
        <v>2655</v>
      </c>
      <c r="I533" s="246" t="s">
        <v>3405</v>
      </c>
      <c r="J533" s="247" t="s">
        <v>209</v>
      </c>
      <c r="K533" s="248" t="s">
        <v>3406</v>
      </c>
      <c r="L533" s="249" t="s">
        <v>179</v>
      </c>
      <c r="M533" s="250">
        <v>43748</v>
      </c>
      <c r="N533" s="250"/>
      <c r="O533" s="250" t="s">
        <v>34</v>
      </c>
      <c r="P533" s="238" t="s">
        <v>84</v>
      </c>
      <c r="Q533" s="238" t="s">
        <v>181</v>
      </c>
      <c r="R533" s="238" t="s">
        <v>182</v>
      </c>
      <c r="S533" s="238" t="s">
        <v>2359</v>
      </c>
      <c r="T533" s="251"/>
      <c r="U533" s="251"/>
      <c r="V533" s="252"/>
      <c r="W533" s="252"/>
      <c r="X533" s="252">
        <v>5</v>
      </c>
      <c r="Y533" s="253" t="s">
        <v>3407</v>
      </c>
      <c r="Z533" s="254" t="s">
        <v>186</v>
      </c>
      <c r="AA533" s="254"/>
      <c r="AB533" s="252"/>
      <c r="AC533" s="255"/>
      <c r="AD533" s="256"/>
      <c r="AE533" s="256"/>
      <c r="AF533" s="257"/>
      <c r="AG533" s="258"/>
      <c r="AH533" s="259"/>
      <c r="AI533" s="259"/>
      <c r="AJ533" s="260" t="s">
        <v>203</v>
      </c>
      <c r="AK533" s="260" t="s">
        <v>190</v>
      </c>
      <c r="AL533" s="260" t="s">
        <v>190</v>
      </c>
      <c r="AM533" s="255"/>
      <c r="AN533" s="22">
        <v>182</v>
      </c>
      <c r="AO533" s="22">
        <v>0</v>
      </c>
      <c r="AP533" s="22">
        <v>0</v>
      </c>
      <c r="AQ533" s="22">
        <v>0</v>
      </c>
      <c r="AR533" s="22">
        <v>0</v>
      </c>
      <c r="AS533" s="22">
        <v>7</v>
      </c>
      <c r="AT533" s="22">
        <v>10</v>
      </c>
      <c r="AU533" s="316">
        <f t="shared" si="89"/>
        <v>199</v>
      </c>
      <c r="AV533" s="22">
        <v>190</v>
      </c>
      <c r="AW533" s="22">
        <v>0</v>
      </c>
      <c r="AX533" s="22">
        <v>0</v>
      </c>
      <c r="AY533" s="22">
        <v>0</v>
      </c>
      <c r="AZ533" s="22">
        <v>0</v>
      </c>
      <c r="BA533" s="22">
        <v>7</v>
      </c>
      <c r="BB533" s="22">
        <v>10</v>
      </c>
      <c r="BC533" s="316">
        <f t="shared" si="90"/>
        <v>207</v>
      </c>
      <c r="BD533" s="58">
        <f t="shared" si="91"/>
        <v>8</v>
      </c>
      <c r="BE533" s="58">
        <f t="shared" si="92"/>
        <v>0</v>
      </c>
      <c r="BF533" s="58">
        <f t="shared" si="93"/>
        <v>0</v>
      </c>
      <c r="BG533" s="58">
        <f t="shared" si="94"/>
        <v>0</v>
      </c>
      <c r="BH533" s="58">
        <f t="shared" si="95"/>
        <v>0</v>
      </c>
      <c r="BI533" s="58">
        <f t="shared" si="96"/>
        <v>0</v>
      </c>
      <c r="BJ533" s="58">
        <f t="shared" si="97"/>
        <v>0</v>
      </c>
      <c r="BK533" s="58">
        <f t="shared" si="98"/>
        <v>8</v>
      </c>
    </row>
    <row r="534" spans="1:63" ht="27" customHeight="1">
      <c r="A534" s="238">
        <f t="shared" si="99"/>
        <v>532</v>
      </c>
      <c r="B534" s="239"/>
      <c r="C534" s="239">
        <v>3324</v>
      </c>
      <c r="D534" s="241" t="s">
        <v>3408</v>
      </c>
      <c r="E534" s="242" t="s">
        <v>3409</v>
      </c>
      <c r="F534" s="243" t="s">
        <v>2834</v>
      </c>
      <c r="G534" s="244" t="s">
        <v>3410</v>
      </c>
      <c r="H534" s="245" t="s">
        <v>92</v>
      </c>
      <c r="I534" s="246" t="s">
        <v>3411</v>
      </c>
      <c r="J534" s="247" t="s">
        <v>178</v>
      </c>
      <c r="K534" s="248">
        <v>34326</v>
      </c>
      <c r="L534" s="249" t="s">
        <v>179</v>
      </c>
      <c r="M534" s="250">
        <v>43745</v>
      </c>
      <c r="N534" s="250"/>
      <c r="O534" s="250" t="s">
        <v>34</v>
      </c>
      <c r="P534" s="238" t="s">
        <v>386</v>
      </c>
      <c r="Q534" s="238" t="s">
        <v>181</v>
      </c>
      <c r="R534" s="238" t="s">
        <v>182</v>
      </c>
      <c r="S534" s="238" t="s">
        <v>2430</v>
      </c>
      <c r="T534" s="251"/>
      <c r="U534" s="251"/>
      <c r="V534" s="252"/>
      <c r="W534" s="252"/>
      <c r="X534" s="252">
        <v>7</v>
      </c>
      <c r="Y534" s="253" t="s">
        <v>3412</v>
      </c>
      <c r="Z534" s="254"/>
      <c r="AA534" s="254" t="s">
        <v>186</v>
      </c>
      <c r="AB534" s="252"/>
      <c r="AC534" s="255"/>
      <c r="AD534" s="256"/>
      <c r="AE534" s="256"/>
      <c r="AF534" s="257"/>
      <c r="AG534" s="258"/>
      <c r="AH534" s="259"/>
      <c r="AI534" s="259"/>
      <c r="AJ534" s="260" t="s">
        <v>203</v>
      </c>
      <c r="AK534" s="260" t="s">
        <v>190</v>
      </c>
      <c r="AL534" s="260" t="s">
        <v>190</v>
      </c>
      <c r="AM534" s="255"/>
      <c r="AN534" s="22">
        <v>182</v>
      </c>
      <c r="AO534" s="22">
        <v>0</v>
      </c>
      <c r="AP534" s="22">
        <v>0</v>
      </c>
      <c r="AQ534" s="22">
        <v>0</v>
      </c>
      <c r="AR534" s="22">
        <v>0</v>
      </c>
      <c r="AS534" s="22">
        <v>7</v>
      </c>
      <c r="AT534" s="22">
        <v>10</v>
      </c>
      <c r="AU534" s="316">
        <f t="shared" si="89"/>
        <v>199</v>
      </c>
      <c r="AV534" s="22">
        <v>190</v>
      </c>
      <c r="AW534" s="22">
        <v>0</v>
      </c>
      <c r="AX534" s="22">
        <v>0</v>
      </c>
      <c r="AY534" s="22">
        <v>0</v>
      </c>
      <c r="AZ534" s="22">
        <v>0</v>
      </c>
      <c r="BA534" s="22">
        <v>7</v>
      </c>
      <c r="BB534" s="22">
        <v>10</v>
      </c>
      <c r="BC534" s="316">
        <f t="shared" si="90"/>
        <v>207</v>
      </c>
      <c r="BD534" s="58">
        <f t="shared" si="91"/>
        <v>8</v>
      </c>
      <c r="BE534" s="58">
        <f t="shared" si="92"/>
        <v>0</v>
      </c>
      <c r="BF534" s="58">
        <f t="shared" si="93"/>
        <v>0</v>
      </c>
      <c r="BG534" s="58">
        <f t="shared" si="94"/>
        <v>0</v>
      </c>
      <c r="BH534" s="58">
        <f t="shared" si="95"/>
        <v>0</v>
      </c>
      <c r="BI534" s="58">
        <f t="shared" si="96"/>
        <v>0</v>
      </c>
      <c r="BJ534" s="58">
        <f t="shared" si="97"/>
        <v>0</v>
      </c>
      <c r="BK534" s="58">
        <f t="shared" si="98"/>
        <v>8</v>
      </c>
    </row>
    <row r="535" spans="1:63" ht="27" customHeight="1">
      <c r="A535" s="238">
        <f t="shared" si="99"/>
        <v>533</v>
      </c>
      <c r="B535" s="239"/>
      <c r="C535" s="239">
        <v>3129</v>
      </c>
      <c r="D535" s="241" t="s">
        <v>3413</v>
      </c>
      <c r="E535" s="242" t="s">
        <v>3414</v>
      </c>
      <c r="F535" s="243" t="s">
        <v>3415</v>
      </c>
      <c r="G535" s="244" t="s">
        <v>3416</v>
      </c>
      <c r="H535" s="245" t="s">
        <v>3417</v>
      </c>
      <c r="I535" s="246" t="s">
        <v>3418</v>
      </c>
      <c r="J535" s="247" t="s">
        <v>178</v>
      </c>
      <c r="K535" s="248">
        <v>31323</v>
      </c>
      <c r="L535" s="249" t="s">
        <v>179</v>
      </c>
      <c r="M535" s="250">
        <v>43742</v>
      </c>
      <c r="N535" s="250"/>
      <c r="O535" s="250" t="s">
        <v>34</v>
      </c>
      <c r="P535" s="238" t="s">
        <v>81</v>
      </c>
      <c r="Q535" s="238" t="s">
        <v>181</v>
      </c>
      <c r="R535" s="238" t="s">
        <v>182</v>
      </c>
      <c r="S535" s="238" t="s">
        <v>2359</v>
      </c>
      <c r="T535" s="251"/>
      <c r="U535" s="251"/>
      <c r="V535" s="252"/>
      <c r="W535" s="252"/>
      <c r="X535" s="252">
        <v>9</v>
      </c>
      <c r="Y535" s="253" t="s">
        <v>3419</v>
      </c>
      <c r="Z535" s="254"/>
      <c r="AA535" s="254" t="s">
        <v>186</v>
      </c>
      <c r="AB535" s="252"/>
      <c r="AC535" s="255"/>
      <c r="AD535" s="256" t="s">
        <v>188</v>
      </c>
      <c r="AE535" s="256" t="s">
        <v>188</v>
      </c>
      <c r="AF535" s="257" t="s">
        <v>188</v>
      </c>
      <c r="AG535" s="258"/>
      <c r="AH535" s="259"/>
      <c r="AI535" s="259"/>
      <c r="AJ535" s="260" t="s">
        <v>203</v>
      </c>
      <c r="AK535" s="260" t="s">
        <v>190</v>
      </c>
      <c r="AL535" s="260" t="s">
        <v>190</v>
      </c>
      <c r="AM535" s="255"/>
      <c r="AN535" s="22">
        <v>182</v>
      </c>
      <c r="AO535" s="22">
        <v>0</v>
      </c>
      <c r="AP535" s="22">
        <v>0</v>
      </c>
      <c r="AQ535" s="22">
        <v>0</v>
      </c>
      <c r="AR535" s="22">
        <v>0</v>
      </c>
      <c r="AS535" s="22">
        <v>7</v>
      </c>
      <c r="AT535" s="22">
        <v>10</v>
      </c>
      <c r="AU535" s="316">
        <f t="shared" si="89"/>
        <v>199</v>
      </c>
      <c r="AV535" s="22">
        <v>190</v>
      </c>
      <c r="AW535" s="22">
        <v>0</v>
      </c>
      <c r="AX535" s="22">
        <v>0</v>
      </c>
      <c r="AY535" s="22">
        <v>0</v>
      </c>
      <c r="AZ535" s="22">
        <v>0</v>
      </c>
      <c r="BA535" s="22">
        <v>7</v>
      </c>
      <c r="BB535" s="22">
        <v>10</v>
      </c>
      <c r="BC535" s="316">
        <f t="shared" si="90"/>
        <v>207</v>
      </c>
      <c r="BD535" s="58">
        <f t="shared" si="91"/>
        <v>8</v>
      </c>
      <c r="BE535" s="58">
        <f t="shared" si="92"/>
        <v>0</v>
      </c>
      <c r="BF535" s="58">
        <f t="shared" si="93"/>
        <v>0</v>
      </c>
      <c r="BG535" s="58">
        <f t="shared" si="94"/>
        <v>0</v>
      </c>
      <c r="BH535" s="58">
        <f t="shared" si="95"/>
        <v>0</v>
      </c>
      <c r="BI535" s="58">
        <f t="shared" si="96"/>
        <v>0</v>
      </c>
      <c r="BJ535" s="58">
        <f t="shared" si="97"/>
        <v>0</v>
      </c>
      <c r="BK535" s="58">
        <f t="shared" si="98"/>
        <v>8</v>
      </c>
    </row>
    <row r="536" spans="1:63" ht="27" customHeight="1">
      <c r="A536" s="238">
        <f t="shared" si="99"/>
        <v>534</v>
      </c>
      <c r="B536" s="239"/>
      <c r="C536" s="239">
        <v>3321</v>
      </c>
      <c r="D536" s="241" t="s">
        <v>3420</v>
      </c>
      <c r="E536" s="242" t="s">
        <v>3421</v>
      </c>
      <c r="F536" s="243" t="s">
        <v>3422</v>
      </c>
      <c r="G536" s="244" t="s">
        <v>3423</v>
      </c>
      <c r="H536" s="245" t="s">
        <v>3424</v>
      </c>
      <c r="I536" s="246" t="s">
        <v>3425</v>
      </c>
      <c r="J536" s="247" t="s">
        <v>178</v>
      </c>
      <c r="K536" s="248">
        <v>33764</v>
      </c>
      <c r="L536" s="249" t="s">
        <v>179</v>
      </c>
      <c r="M536" s="250">
        <v>43746</v>
      </c>
      <c r="N536" s="250"/>
      <c r="O536" s="250" t="s">
        <v>34</v>
      </c>
      <c r="P536" s="238" t="s">
        <v>402</v>
      </c>
      <c r="Q536" s="238" t="s">
        <v>181</v>
      </c>
      <c r="R536" s="238" t="s">
        <v>182</v>
      </c>
      <c r="S536" s="238" t="s">
        <v>1118</v>
      </c>
      <c r="T536" s="251"/>
      <c r="U536" s="251"/>
      <c r="V536" s="252"/>
      <c r="W536" s="252"/>
      <c r="X536" s="252">
        <v>3</v>
      </c>
      <c r="Y536" s="253" t="s">
        <v>3426</v>
      </c>
      <c r="Z536" s="254"/>
      <c r="AA536" s="254" t="s">
        <v>186</v>
      </c>
      <c r="AB536" s="252"/>
      <c r="AC536" s="255"/>
      <c r="AD536" s="256"/>
      <c r="AE536" s="256"/>
      <c r="AF536" s="257"/>
      <c r="AG536" s="258"/>
      <c r="AH536" s="259"/>
      <c r="AI536" s="259"/>
      <c r="AJ536" s="260" t="s">
        <v>203</v>
      </c>
      <c r="AK536" s="260" t="s">
        <v>190</v>
      </c>
      <c r="AL536" s="260" t="s">
        <v>190</v>
      </c>
      <c r="AM536" s="255"/>
      <c r="AN536" s="22">
        <v>182</v>
      </c>
      <c r="AO536" s="22">
        <v>0</v>
      </c>
      <c r="AP536" s="22">
        <v>0</v>
      </c>
      <c r="AQ536" s="22">
        <v>0</v>
      </c>
      <c r="AR536" s="22">
        <v>0</v>
      </c>
      <c r="AS536" s="22">
        <v>7</v>
      </c>
      <c r="AT536" s="22">
        <v>10</v>
      </c>
      <c r="AU536" s="316">
        <f t="shared" si="89"/>
        <v>199</v>
      </c>
      <c r="AV536" s="22">
        <v>190</v>
      </c>
      <c r="AW536" s="22">
        <v>0</v>
      </c>
      <c r="AX536" s="22">
        <v>0</v>
      </c>
      <c r="AY536" s="22">
        <v>0</v>
      </c>
      <c r="AZ536" s="22">
        <v>0</v>
      </c>
      <c r="BA536" s="22">
        <v>7</v>
      </c>
      <c r="BB536" s="22">
        <v>10</v>
      </c>
      <c r="BC536" s="316">
        <f t="shared" si="90"/>
        <v>207</v>
      </c>
      <c r="BD536" s="58">
        <f t="shared" si="91"/>
        <v>8</v>
      </c>
      <c r="BE536" s="58">
        <f t="shared" si="92"/>
        <v>0</v>
      </c>
      <c r="BF536" s="58">
        <f t="shared" si="93"/>
        <v>0</v>
      </c>
      <c r="BG536" s="58">
        <f t="shared" si="94"/>
        <v>0</v>
      </c>
      <c r="BH536" s="58">
        <f t="shared" si="95"/>
        <v>0</v>
      </c>
      <c r="BI536" s="58">
        <f t="shared" si="96"/>
        <v>0</v>
      </c>
      <c r="BJ536" s="58">
        <f t="shared" si="97"/>
        <v>0</v>
      </c>
      <c r="BK536" s="58">
        <f t="shared" si="98"/>
        <v>8</v>
      </c>
    </row>
    <row r="537" spans="1:63" ht="27" customHeight="1">
      <c r="A537" s="238">
        <f t="shared" si="99"/>
        <v>535</v>
      </c>
      <c r="B537" s="239"/>
      <c r="C537" s="239">
        <v>3330</v>
      </c>
      <c r="D537" s="241" t="s">
        <v>3427</v>
      </c>
      <c r="E537" s="242" t="s">
        <v>3428</v>
      </c>
      <c r="F537" s="243" t="s">
        <v>3429</v>
      </c>
      <c r="G537" s="244" t="s">
        <v>3032</v>
      </c>
      <c r="H537" s="245" t="s">
        <v>3430</v>
      </c>
      <c r="I537" s="246" t="s">
        <v>3431</v>
      </c>
      <c r="J537" s="247" t="s">
        <v>178</v>
      </c>
      <c r="K537" s="248">
        <v>26670</v>
      </c>
      <c r="L537" s="249" t="s">
        <v>179</v>
      </c>
      <c r="M537" s="250">
        <v>43746</v>
      </c>
      <c r="N537" s="250"/>
      <c r="O537" s="250" t="s">
        <v>34</v>
      </c>
      <c r="P537" s="238" t="s">
        <v>1281</v>
      </c>
      <c r="Q537" s="238" t="s">
        <v>181</v>
      </c>
      <c r="R537" s="238" t="s">
        <v>182</v>
      </c>
      <c r="S537" s="238" t="s">
        <v>2359</v>
      </c>
      <c r="T537" s="251"/>
      <c r="U537" s="251"/>
      <c r="V537" s="252"/>
      <c r="W537" s="252"/>
      <c r="X537" s="252">
        <v>9</v>
      </c>
      <c r="Y537" s="253" t="s">
        <v>3432</v>
      </c>
      <c r="Z537" s="254"/>
      <c r="AA537" s="254" t="s">
        <v>186</v>
      </c>
      <c r="AB537" s="252"/>
      <c r="AC537" s="255"/>
      <c r="AD537" s="256" t="s">
        <v>188</v>
      </c>
      <c r="AE537" s="256" t="s">
        <v>188</v>
      </c>
      <c r="AF537" s="257" t="s">
        <v>188</v>
      </c>
      <c r="AG537" s="258" t="s">
        <v>188</v>
      </c>
      <c r="AH537" s="259"/>
      <c r="AI537" s="259"/>
      <c r="AJ537" s="260" t="s">
        <v>203</v>
      </c>
      <c r="AK537" s="260" t="s">
        <v>190</v>
      </c>
      <c r="AL537" s="260" t="s">
        <v>190</v>
      </c>
      <c r="AM537" s="255"/>
      <c r="AN537" s="22">
        <v>182</v>
      </c>
      <c r="AO537" s="22">
        <v>0</v>
      </c>
      <c r="AP537" s="22">
        <v>0</v>
      </c>
      <c r="AQ537" s="22">
        <v>0</v>
      </c>
      <c r="AR537" s="22">
        <v>0</v>
      </c>
      <c r="AS537" s="22">
        <v>7</v>
      </c>
      <c r="AT537" s="22">
        <v>10</v>
      </c>
      <c r="AU537" s="316">
        <f t="shared" si="89"/>
        <v>199</v>
      </c>
      <c r="AV537" s="22">
        <v>190</v>
      </c>
      <c r="AW537" s="22">
        <v>0</v>
      </c>
      <c r="AX537" s="22">
        <v>0</v>
      </c>
      <c r="AY537" s="22">
        <v>0</v>
      </c>
      <c r="AZ537" s="22">
        <v>0</v>
      </c>
      <c r="BA537" s="22">
        <v>7</v>
      </c>
      <c r="BB537" s="22">
        <v>10</v>
      </c>
      <c r="BC537" s="316">
        <f t="shared" si="90"/>
        <v>207</v>
      </c>
      <c r="BD537" s="58">
        <f t="shared" si="91"/>
        <v>8</v>
      </c>
      <c r="BE537" s="58">
        <f t="shared" si="92"/>
        <v>0</v>
      </c>
      <c r="BF537" s="58">
        <f t="shared" si="93"/>
        <v>0</v>
      </c>
      <c r="BG537" s="58">
        <f t="shared" si="94"/>
        <v>0</v>
      </c>
      <c r="BH537" s="58">
        <f t="shared" si="95"/>
        <v>0</v>
      </c>
      <c r="BI537" s="58">
        <f t="shared" si="96"/>
        <v>0</v>
      </c>
      <c r="BJ537" s="58">
        <f t="shared" si="97"/>
        <v>0</v>
      </c>
      <c r="BK537" s="58">
        <f t="shared" si="98"/>
        <v>8</v>
      </c>
    </row>
    <row r="538" spans="1:63" ht="27" customHeight="1">
      <c r="A538" s="238">
        <f t="shared" si="99"/>
        <v>536</v>
      </c>
      <c r="B538" s="239"/>
      <c r="C538" s="239">
        <v>3328</v>
      </c>
      <c r="D538" s="241" t="s">
        <v>3433</v>
      </c>
      <c r="E538" s="242" t="s">
        <v>3434</v>
      </c>
      <c r="F538" s="243" t="s">
        <v>3187</v>
      </c>
      <c r="G538" s="244" t="s">
        <v>2364</v>
      </c>
      <c r="H538" s="245" t="s">
        <v>3188</v>
      </c>
      <c r="I538" s="246" t="s">
        <v>2366</v>
      </c>
      <c r="J538" s="247" t="s">
        <v>178</v>
      </c>
      <c r="K538" s="248">
        <v>34012</v>
      </c>
      <c r="L538" s="249" t="s">
        <v>179</v>
      </c>
      <c r="M538" s="250">
        <v>43746</v>
      </c>
      <c r="N538" s="250"/>
      <c r="O538" s="250" t="s">
        <v>34</v>
      </c>
      <c r="P538" s="238" t="s">
        <v>292</v>
      </c>
      <c r="Q538" s="238" t="s">
        <v>181</v>
      </c>
      <c r="R538" s="238" t="s">
        <v>182</v>
      </c>
      <c r="S538" s="238" t="s">
        <v>1118</v>
      </c>
      <c r="T538" s="251"/>
      <c r="U538" s="251"/>
      <c r="V538" s="252"/>
      <c r="W538" s="252"/>
      <c r="X538" s="252">
        <v>3</v>
      </c>
      <c r="Y538" s="253" t="s">
        <v>3435</v>
      </c>
      <c r="Z538" s="254"/>
      <c r="AA538" s="254" t="s">
        <v>186</v>
      </c>
      <c r="AB538" s="252"/>
      <c r="AC538" s="255"/>
      <c r="AD538" s="256"/>
      <c r="AE538" s="256"/>
      <c r="AF538" s="257"/>
      <c r="AG538" s="258"/>
      <c r="AH538" s="259"/>
      <c r="AI538" s="259"/>
      <c r="AJ538" s="260" t="s">
        <v>203</v>
      </c>
      <c r="AK538" s="260" t="s">
        <v>190</v>
      </c>
      <c r="AL538" s="260" t="s">
        <v>190</v>
      </c>
      <c r="AM538" s="255"/>
      <c r="AN538" s="22">
        <v>182</v>
      </c>
      <c r="AO538" s="22">
        <v>0</v>
      </c>
      <c r="AP538" s="22">
        <v>20</v>
      </c>
      <c r="AQ538" s="22">
        <v>0</v>
      </c>
      <c r="AR538" s="22">
        <v>0</v>
      </c>
      <c r="AS538" s="22">
        <v>7</v>
      </c>
      <c r="AT538" s="22">
        <v>10</v>
      </c>
      <c r="AU538" s="316">
        <f t="shared" si="89"/>
        <v>219</v>
      </c>
      <c r="AV538" s="22">
        <v>190</v>
      </c>
      <c r="AW538" s="22">
        <v>0</v>
      </c>
      <c r="AX538" s="22">
        <v>20</v>
      </c>
      <c r="AY538" s="22">
        <v>0</v>
      </c>
      <c r="AZ538" s="22">
        <v>0</v>
      </c>
      <c r="BA538" s="22">
        <v>7</v>
      </c>
      <c r="BB538" s="22">
        <v>10</v>
      </c>
      <c r="BC538" s="316">
        <f t="shared" si="90"/>
        <v>227</v>
      </c>
      <c r="BD538" s="58">
        <f t="shared" si="91"/>
        <v>8</v>
      </c>
      <c r="BE538" s="58">
        <f t="shared" si="92"/>
        <v>0</v>
      </c>
      <c r="BF538" s="58">
        <f t="shared" si="93"/>
        <v>0</v>
      </c>
      <c r="BG538" s="58">
        <f t="shared" si="94"/>
        <v>0</v>
      </c>
      <c r="BH538" s="58">
        <f t="shared" si="95"/>
        <v>0</v>
      </c>
      <c r="BI538" s="58">
        <f t="shared" si="96"/>
        <v>0</v>
      </c>
      <c r="BJ538" s="58">
        <f t="shared" si="97"/>
        <v>0</v>
      </c>
      <c r="BK538" s="58">
        <f t="shared" si="98"/>
        <v>8</v>
      </c>
    </row>
    <row r="539" spans="1:63" ht="27" customHeight="1">
      <c r="A539" s="238">
        <f t="shared" si="99"/>
        <v>537</v>
      </c>
      <c r="B539" s="239"/>
      <c r="C539" s="239">
        <v>3098</v>
      </c>
      <c r="D539" s="241" t="s">
        <v>3436</v>
      </c>
      <c r="E539" s="242" t="s">
        <v>3437</v>
      </c>
      <c r="F539" s="243" t="s">
        <v>407</v>
      </c>
      <c r="G539" s="244" t="s">
        <v>904</v>
      </c>
      <c r="H539" s="245" t="s">
        <v>3122</v>
      </c>
      <c r="I539" s="246" t="s">
        <v>2207</v>
      </c>
      <c r="J539" s="247" t="s">
        <v>178</v>
      </c>
      <c r="K539" s="248">
        <v>25386</v>
      </c>
      <c r="L539" s="249" t="s">
        <v>179</v>
      </c>
      <c r="M539" s="250">
        <v>43740</v>
      </c>
      <c r="N539" s="250"/>
      <c r="O539" s="250" t="s">
        <v>34</v>
      </c>
      <c r="P539" s="238" t="s">
        <v>199</v>
      </c>
      <c r="Q539" s="238" t="s">
        <v>181</v>
      </c>
      <c r="R539" s="238" t="s">
        <v>182</v>
      </c>
      <c r="S539" s="238" t="s">
        <v>2492</v>
      </c>
      <c r="T539" s="251"/>
      <c r="U539" s="251"/>
      <c r="V539" s="252"/>
      <c r="W539" s="252"/>
      <c r="X539" s="252"/>
      <c r="Y539" s="253"/>
      <c r="Z539" s="254"/>
      <c r="AA539" s="254" t="s">
        <v>186</v>
      </c>
      <c r="AB539" s="252"/>
      <c r="AC539" s="255"/>
      <c r="AD539" s="256"/>
      <c r="AE539" s="256"/>
      <c r="AF539" s="257"/>
      <c r="AG539" s="258"/>
      <c r="AH539" s="259"/>
      <c r="AI539" s="259"/>
      <c r="AJ539" s="260" t="s">
        <v>203</v>
      </c>
      <c r="AK539" s="260" t="s">
        <v>190</v>
      </c>
      <c r="AL539" s="260" t="s">
        <v>190</v>
      </c>
      <c r="AM539" s="255"/>
      <c r="AN539" s="22">
        <v>182</v>
      </c>
      <c r="AO539" s="22">
        <v>0</v>
      </c>
      <c r="AP539" s="22">
        <v>0</v>
      </c>
      <c r="AQ539" s="22">
        <v>0</v>
      </c>
      <c r="AR539" s="22">
        <v>0</v>
      </c>
      <c r="AS539" s="22">
        <v>7</v>
      </c>
      <c r="AT539" s="22">
        <v>10</v>
      </c>
      <c r="AU539" s="316">
        <f t="shared" si="89"/>
        <v>199</v>
      </c>
      <c r="AV539" s="22">
        <v>190</v>
      </c>
      <c r="AW539" s="22">
        <v>0</v>
      </c>
      <c r="AX539" s="22">
        <v>0</v>
      </c>
      <c r="AY539" s="22">
        <v>0</v>
      </c>
      <c r="AZ539" s="22">
        <v>0</v>
      </c>
      <c r="BA539" s="22">
        <v>7</v>
      </c>
      <c r="BB539" s="22">
        <v>10</v>
      </c>
      <c r="BC539" s="316">
        <f t="shared" si="90"/>
        <v>207</v>
      </c>
      <c r="BD539" s="58">
        <f t="shared" si="91"/>
        <v>8</v>
      </c>
      <c r="BE539" s="58">
        <f t="shared" si="92"/>
        <v>0</v>
      </c>
      <c r="BF539" s="58">
        <f t="shared" si="93"/>
        <v>0</v>
      </c>
      <c r="BG539" s="58">
        <f t="shared" si="94"/>
        <v>0</v>
      </c>
      <c r="BH539" s="58">
        <f t="shared" si="95"/>
        <v>0</v>
      </c>
      <c r="BI539" s="58">
        <f t="shared" si="96"/>
        <v>0</v>
      </c>
      <c r="BJ539" s="58">
        <f t="shared" si="97"/>
        <v>0</v>
      </c>
      <c r="BK539" s="58">
        <f t="shared" si="98"/>
        <v>8</v>
      </c>
    </row>
    <row r="540" spans="1:63" ht="27" customHeight="1">
      <c r="A540" s="238">
        <f t="shared" si="99"/>
        <v>538</v>
      </c>
      <c r="B540" s="239"/>
      <c r="C540" s="239">
        <v>3336</v>
      </c>
      <c r="D540" s="241">
        <v>0</v>
      </c>
      <c r="E540" s="242" t="s">
        <v>296</v>
      </c>
      <c r="F540" s="243" t="s">
        <v>3438</v>
      </c>
      <c r="G540" s="244" t="s">
        <v>1828</v>
      </c>
      <c r="H540" s="245" t="s">
        <v>3439</v>
      </c>
      <c r="I540" s="246" t="s">
        <v>49</v>
      </c>
      <c r="J540" s="247" t="s">
        <v>209</v>
      </c>
      <c r="K540" s="248">
        <v>35833</v>
      </c>
      <c r="L540" s="249" t="s">
        <v>179</v>
      </c>
      <c r="M540" s="250">
        <v>43749</v>
      </c>
      <c r="N540" s="250"/>
      <c r="O540" s="250" t="s">
        <v>34</v>
      </c>
      <c r="P540" s="238" t="s">
        <v>84</v>
      </c>
      <c r="Q540" s="238" t="s">
        <v>181</v>
      </c>
      <c r="R540" s="238" t="s">
        <v>182</v>
      </c>
      <c r="S540" s="238" t="s">
        <v>1118</v>
      </c>
      <c r="T540" s="251"/>
      <c r="U540" s="251"/>
      <c r="V540" s="252"/>
      <c r="W540" s="252"/>
      <c r="X540" s="252">
        <v>3</v>
      </c>
      <c r="Y540" s="253"/>
      <c r="Z540" s="254" t="s">
        <v>186</v>
      </c>
      <c r="AA540" s="254"/>
      <c r="AB540" s="252"/>
      <c r="AC540" s="255"/>
      <c r="AD540" s="256"/>
      <c r="AE540" s="256"/>
      <c r="AF540" s="257"/>
      <c r="AG540" s="258"/>
      <c r="AH540" s="259"/>
      <c r="AI540" s="259"/>
      <c r="AJ540" s="260" t="s">
        <v>203</v>
      </c>
      <c r="AK540" s="260" t="s">
        <v>190</v>
      </c>
      <c r="AL540" s="260" t="s">
        <v>190</v>
      </c>
      <c r="AM540" s="255"/>
      <c r="AN540" s="22">
        <v>182</v>
      </c>
      <c r="AO540" s="22">
        <v>0</v>
      </c>
      <c r="AP540" s="22">
        <v>0</v>
      </c>
      <c r="AQ540" s="22">
        <v>0</v>
      </c>
      <c r="AR540" s="22">
        <v>0</v>
      </c>
      <c r="AS540" s="22">
        <v>7</v>
      </c>
      <c r="AT540" s="22">
        <v>10</v>
      </c>
      <c r="AU540" s="316">
        <f t="shared" si="89"/>
        <v>199</v>
      </c>
      <c r="AV540" s="22">
        <v>190</v>
      </c>
      <c r="AW540" s="22">
        <v>0</v>
      </c>
      <c r="AX540" s="22">
        <v>0</v>
      </c>
      <c r="AY540" s="22">
        <v>0</v>
      </c>
      <c r="AZ540" s="22">
        <v>0</v>
      </c>
      <c r="BA540" s="22">
        <v>7</v>
      </c>
      <c r="BB540" s="22">
        <v>10</v>
      </c>
      <c r="BC540" s="316">
        <f t="shared" si="90"/>
        <v>207</v>
      </c>
      <c r="BD540" s="58">
        <f t="shared" si="91"/>
        <v>8</v>
      </c>
      <c r="BE540" s="58">
        <f t="shared" si="92"/>
        <v>0</v>
      </c>
      <c r="BF540" s="58">
        <f t="shared" si="93"/>
        <v>0</v>
      </c>
      <c r="BG540" s="58">
        <f t="shared" si="94"/>
        <v>0</v>
      </c>
      <c r="BH540" s="58">
        <f t="shared" si="95"/>
        <v>0</v>
      </c>
      <c r="BI540" s="58">
        <f t="shared" si="96"/>
        <v>0</v>
      </c>
      <c r="BJ540" s="58">
        <f t="shared" si="97"/>
        <v>0</v>
      </c>
      <c r="BK540" s="58">
        <f t="shared" si="98"/>
        <v>8</v>
      </c>
    </row>
    <row r="541" spans="1:63" ht="27" customHeight="1">
      <c r="A541" s="238">
        <f t="shared" si="99"/>
        <v>539</v>
      </c>
      <c r="B541" s="239"/>
      <c r="C541" s="239">
        <v>3348</v>
      </c>
      <c r="D541" s="241" t="s">
        <v>3265</v>
      </c>
      <c r="E541" s="242" t="s">
        <v>3266</v>
      </c>
      <c r="F541" s="243" t="s">
        <v>3440</v>
      </c>
      <c r="G541" s="244" t="s">
        <v>1155</v>
      </c>
      <c r="H541" s="245" t="s">
        <v>3268</v>
      </c>
      <c r="I541" s="246" t="s">
        <v>2588</v>
      </c>
      <c r="J541" s="247" t="s">
        <v>178</v>
      </c>
      <c r="K541" s="248">
        <v>33489</v>
      </c>
      <c r="L541" s="249" t="s">
        <v>179</v>
      </c>
      <c r="M541" s="250">
        <v>43750</v>
      </c>
      <c r="N541" s="250"/>
      <c r="O541" s="250" t="s">
        <v>34</v>
      </c>
      <c r="P541" s="238" t="s">
        <v>1085</v>
      </c>
      <c r="Q541" s="238" t="s">
        <v>181</v>
      </c>
      <c r="R541" s="238" t="s">
        <v>182</v>
      </c>
      <c r="S541" s="238" t="s">
        <v>2397</v>
      </c>
      <c r="T541" s="251"/>
      <c r="U541" s="251"/>
      <c r="V541" s="252"/>
      <c r="W541" s="252"/>
      <c r="X541" s="252">
        <v>4</v>
      </c>
      <c r="Y541" s="253" t="s">
        <v>3441</v>
      </c>
      <c r="Z541" s="254"/>
      <c r="AA541" s="254" t="s">
        <v>186</v>
      </c>
      <c r="AB541" s="252"/>
      <c r="AC541" s="255"/>
      <c r="AD541" s="256"/>
      <c r="AE541" s="256"/>
      <c r="AF541" s="257"/>
      <c r="AG541" s="258"/>
      <c r="AH541" s="259"/>
      <c r="AI541" s="259"/>
      <c r="AJ541" s="260" t="s">
        <v>203</v>
      </c>
      <c r="AK541" s="260" t="s">
        <v>190</v>
      </c>
      <c r="AL541" s="260" t="s">
        <v>190</v>
      </c>
      <c r="AM541" s="255"/>
      <c r="AN541" s="22">
        <v>182</v>
      </c>
      <c r="AO541" s="22">
        <v>0</v>
      </c>
      <c r="AP541" s="22">
        <v>0</v>
      </c>
      <c r="AQ541" s="22">
        <v>0</v>
      </c>
      <c r="AR541" s="22">
        <v>0</v>
      </c>
      <c r="AS541" s="22">
        <v>7</v>
      </c>
      <c r="AT541" s="22">
        <v>10</v>
      </c>
      <c r="AU541" s="316">
        <f t="shared" si="89"/>
        <v>199</v>
      </c>
      <c r="AV541" s="22">
        <v>190</v>
      </c>
      <c r="AW541" s="22">
        <v>0</v>
      </c>
      <c r="AX541" s="22">
        <v>0</v>
      </c>
      <c r="AY541" s="22">
        <v>0</v>
      </c>
      <c r="AZ541" s="22">
        <v>0</v>
      </c>
      <c r="BA541" s="22">
        <v>7</v>
      </c>
      <c r="BB541" s="22">
        <v>10</v>
      </c>
      <c r="BC541" s="316">
        <f t="shared" si="90"/>
        <v>207</v>
      </c>
      <c r="BD541" s="58">
        <f t="shared" si="91"/>
        <v>8</v>
      </c>
      <c r="BE541" s="58">
        <f t="shared" si="92"/>
        <v>0</v>
      </c>
      <c r="BF541" s="58">
        <f t="shared" si="93"/>
        <v>0</v>
      </c>
      <c r="BG541" s="58">
        <f t="shared" si="94"/>
        <v>0</v>
      </c>
      <c r="BH541" s="58">
        <f t="shared" si="95"/>
        <v>0</v>
      </c>
      <c r="BI541" s="58">
        <f t="shared" si="96"/>
        <v>0</v>
      </c>
      <c r="BJ541" s="58">
        <f t="shared" si="97"/>
        <v>0</v>
      </c>
      <c r="BK541" s="58">
        <f t="shared" si="98"/>
        <v>8</v>
      </c>
    </row>
    <row r="542" spans="1:63" ht="27" customHeight="1">
      <c r="A542" s="238">
        <f t="shared" si="99"/>
        <v>540</v>
      </c>
      <c r="B542" s="239"/>
      <c r="C542" s="239">
        <v>3351</v>
      </c>
      <c r="D542" s="241" t="s">
        <v>3442</v>
      </c>
      <c r="E542" s="242" t="s">
        <v>3443</v>
      </c>
      <c r="F542" s="243" t="s">
        <v>3444</v>
      </c>
      <c r="G542" s="244" t="s">
        <v>2937</v>
      </c>
      <c r="H542" s="245" t="s">
        <v>3445</v>
      </c>
      <c r="I542" s="246" t="s">
        <v>3446</v>
      </c>
      <c r="J542" s="247" t="s">
        <v>209</v>
      </c>
      <c r="K542" s="248">
        <v>33088</v>
      </c>
      <c r="L542" s="249" t="s">
        <v>179</v>
      </c>
      <c r="M542" s="250">
        <v>43753</v>
      </c>
      <c r="N542" s="250"/>
      <c r="O542" s="250" t="s">
        <v>34</v>
      </c>
      <c r="P542" s="238" t="s">
        <v>84</v>
      </c>
      <c r="Q542" s="238" t="s">
        <v>181</v>
      </c>
      <c r="R542" s="238" t="s">
        <v>182</v>
      </c>
      <c r="S542" s="238" t="s">
        <v>2359</v>
      </c>
      <c r="T542" s="251"/>
      <c r="U542" s="251"/>
      <c r="V542" s="252"/>
      <c r="W542" s="252"/>
      <c r="X542" s="252"/>
      <c r="Y542" s="253" t="s">
        <v>3447</v>
      </c>
      <c r="Z542" s="254"/>
      <c r="AA542" s="254" t="s">
        <v>186</v>
      </c>
      <c r="AB542" s="252"/>
      <c r="AC542" s="255"/>
      <c r="AD542" s="256" t="s">
        <v>188</v>
      </c>
      <c r="AE542" s="256" t="s">
        <v>188</v>
      </c>
      <c r="AF542" s="257" t="s">
        <v>188</v>
      </c>
      <c r="AG542" s="258"/>
      <c r="AH542" s="259"/>
      <c r="AI542" s="259"/>
      <c r="AJ542" s="260"/>
      <c r="AK542" s="260"/>
      <c r="AL542" s="260"/>
      <c r="AM542" s="255"/>
      <c r="AN542" s="22">
        <v>182</v>
      </c>
      <c r="AO542" s="22">
        <v>0</v>
      </c>
      <c r="AP542" s="22">
        <v>0</v>
      </c>
      <c r="AQ542" s="22">
        <v>0</v>
      </c>
      <c r="AR542" s="22">
        <v>0</v>
      </c>
      <c r="AS542" s="22">
        <v>7</v>
      </c>
      <c r="AT542" s="22">
        <v>10</v>
      </c>
      <c r="AU542" s="316">
        <f t="shared" si="89"/>
        <v>199</v>
      </c>
      <c r="AV542" s="22">
        <v>190</v>
      </c>
      <c r="AW542" s="22">
        <v>0</v>
      </c>
      <c r="AX542" s="22">
        <v>0</v>
      </c>
      <c r="AY542" s="22">
        <v>0</v>
      </c>
      <c r="AZ542" s="22">
        <v>0</v>
      </c>
      <c r="BA542" s="22">
        <v>7</v>
      </c>
      <c r="BB542" s="22">
        <v>10</v>
      </c>
      <c r="BC542" s="316">
        <f t="shared" si="90"/>
        <v>207</v>
      </c>
      <c r="BD542" s="58">
        <f t="shared" si="91"/>
        <v>8</v>
      </c>
      <c r="BE542" s="58">
        <f t="shared" si="92"/>
        <v>0</v>
      </c>
      <c r="BF542" s="58">
        <f t="shared" si="93"/>
        <v>0</v>
      </c>
      <c r="BG542" s="58">
        <f t="shared" si="94"/>
        <v>0</v>
      </c>
      <c r="BH542" s="58">
        <f t="shared" si="95"/>
        <v>0</v>
      </c>
      <c r="BI542" s="58">
        <f t="shared" si="96"/>
        <v>0</v>
      </c>
      <c r="BJ542" s="58">
        <f t="shared" si="97"/>
        <v>0</v>
      </c>
      <c r="BK542" s="58">
        <f t="shared" si="98"/>
        <v>8</v>
      </c>
    </row>
    <row r="543" spans="1:63" ht="27" customHeight="1">
      <c r="A543" s="238">
        <f t="shared" si="99"/>
        <v>541</v>
      </c>
      <c r="B543" s="239"/>
      <c r="C543" s="239">
        <v>3361</v>
      </c>
      <c r="D543" s="241" t="s">
        <v>3448</v>
      </c>
      <c r="E543" s="242" t="s">
        <v>3449</v>
      </c>
      <c r="F543" s="243" t="s">
        <v>3450</v>
      </c>
      <c r="G543" s="244" t="s">
        <v>3451</v>
      </c>
      <c r="H543" s="245" t="s">
        <v>3452</v>
      </c>
      <c r="I543" s="246" t="s">
        <v>3453</v>
      </c>
      <c r="J543" s="247" t="s">
        <v>178</v>
      </c>
      <c r="K543" s="248">
        <v>27918</v>
      </c>
      <c r="L543" s="249" t="s">
        <v>179</v>
      </c>
      <c r="M543" s="250">
        <v>43744</v>
      </c>
      <c r="N543" s="250"/>
      <c r="O543" s="250" t="s">
        <v>34</v>
      </c>
      <c r="P543" s="238" t="s">
        <v>1281</v>
      </c>
      <c r="Q543" s="238" t="s">
        <v>181</v>
      </c>
      <c r="R543" s="238" t="s">
        <v>182</v>
      </c>
      <c r="S543" s="238" t="s">
        <v>2359</v>
      </c>
      <c r="T543" s="251"/>
      <c r="U543" s="251"/>
      <c r="V543" s="252"/>
      <c r="W543" s="252"/>
      <c r="X543" s="252">
        <v>10</v>
      </c>
      <c r="Y543" s="253" t="s">
        <v>3454</v>
      </c>
      <c r="Z543" s="254" t="s">
        <v>186</v>
      </c>
      <c r="AA543" s="254"/>
      <c r="AB543" s="252"/>
      <c r="AC543" s="255"/>
      <c r="AD543" s="256"/>
      <c r="AE543" s="256"/>
      <c r="AF543" s="257"/>
      <c r="AG543" s="258"/>
      <c r="AH543" s="259"/>
      <c r="AI543" s="259"/>
      <c r="AJ543" s="260" t="s">
        <v>203</v>
      </c>
      <c r="AK543" s="260" t="s">
        <v>190</v>
      </c>
      <c r="AL543" s="260" t="s">
        <v>190</v>
      </c>
      <c r="AM543" s="255" t="s">
        <v>3455</v>
      </c>
      <c r="AN543" s="22">
        <v>182</v>
      </c>
      <c r="AO543" s="22">
        <v>0</v>
      </c>
      <c r="AP543" s="22">
        <v>20</v>
      </c>
      <c r="AQ543" s="22">
        <v>0</v>
      </c>
      <c r="AR543" s="22">
        <v>0</v>
      </c>
      <c r="AS543" s="22">
        <v>7</v>
      </c>
      <c r="AT543" s="22">
        <v>10</v>
      </c>
      <c r="AU543" s="316">
        <f t="shared" si="89"/>
        <v>219</v>
      </c>
      <c r="AV543" s="22">
        <v>190</v>
      </c>
      <c r="AW543" s="22">
        <v>0</v>
      </c>
      <c r="AX543" s="22">
        <v>20</v>
      </c>
      <c r="AY543" s="22">
        <v>0</v>
      </c>
      <c r="AZ543" s="22">
        <v>0</v>
      </c>
      <c r="BA543" s="22">
        <v>7</v>
      </c>
      <c r="BB543" s="22">
        <v>10</v>
      </c>
      <c r="BC543" s="316">
        <f t="shared" si="90"/>
        <v>227</v>
      </c>
      <c r="BD543" s="58">
        <f t="shared" si="91"/>
        <v>8</v>
      </c>
      <c r="BE543" s="58">
        <f t="shared" si="92"/>
        <v>0</v>
      </c>
      <c r="BF543" s="58">
        <f t="shared" si="93"/>
        <v>0</v>
      </c>
      <c r="BG543" s="58">
        <f t="shared" si="94"/>
        <v>0</v>
      </c>
      <c r="BH543" s="58">
        <f t="shared" si="95"/>
        <v>0</v>
      </c>
      <c r="BI543" s="58">
        <f t="shared" si="96"/>
        <v>0</v>
      </c>
      <c r="BJ543" s="58">
        <f t="shared" si="97"/>
        <v>0</v>
      </c>
      <c r="BK543" s="58">
        <f t="shared" si="98"/>
        <v>8</v>
      </c>
    </row>
    <row r="544" spans="1:63" ht="27" customHeight="1">
      <c r="A544" s="238">
        <f t="shared" si="99"/>
        <v>542</v>
      </c>
      <c r="B544" s="239"/>
      <c r="C544" s="239">
        <v>3122</v>
      </c>
      <c r="D544" s="241" t="s">
        <v>3456</v>
      </c>
      <c r="E544" s="242" t="s">
        <v>3457</v>
      </c>
      <c r="F544" s="243" t="s">
        <v>1139</v>
      </c>
      <c r="G544" s="244" t="s">
        <v>3458</v>
      </c>
      <c r="H544" s="245" t="s">
        <v>3459</v>
      </c>
      <c r="I544" s="246" t="s">
        <v>3460</v>
      </c>
      <c r="J544" s="247" t="s">
        <v>178</v>
      </c>
      <c r="K544" s="248">
        <v>25692</v>
      </c>
      <c r="L544" s="249" t="s">
        <v>179</v>
      </c>
      <c r="M544" s="250">
        <v>43741</v>
      </c>
      <c r="N544" s="250"/>
      <c r="O544" s="250" t="s">
        <v>34</v>
      </c>
      <c r="P544" s="238" t="s">
        <v>604</v>
      </c>
      <c r="Q544" s="238" t="s">
        <v>181</v>
      </c>
      <c r="R544" s="238" t="s">
        <v>182</v>
      </c>
      <c r="S544" s="238" t="s">
        <v>2430</v>
      </c>
      <c r="T544" s="251"/>
      <c r="U544" s="251"/>
      <c r="V544" s="252"/>
      <c r="W544" s="252"/>
      <c r="X544" s="252">
        <v>2</v>
      </c>
      <c r="Y544" s="253" t="s">
        <v>3461</v>
      </c>
      <c r="Z544" s="254"/>
      <c r="AA544" s="254" t="s">
        <v>186</v>
      </c>
      <c r="AB544" s="252"/>
      <c r="AC544" s="255"/>
      <c r="AD544" s="256"/>
      <c r="AE544" s="256"/>
      <c r="AF544" s="257"/>
      <c r="AG544" s="258"/>
      <c r="AH544" s="259"/>
      <c r="AI544" s="259"/>
      <c r="AJ544" s="260" t="s">
        <v>203</v>
      </c>
      <c r="AK544" s="261" t="s">
        <v>190</v>
      </c>
      <c r="AL544" s="260" t="s">
        <v>190</v>
      </c>
      <c r="AM544" s="255" t="s">
        <v>3462</v>
      </c>
      <c r="AN544" s="22">
        <v>182</v>
      </c>
      <c r="AO544" s="22">
        <v>0</v>
      </c>
      <c r="AP544" s="22">
        <v>0</v>
      </c>
      <c r="AQ544" s="22">
        <v>0</v>
      </c>
      <c r="AR544" s="22">
        <v>0</v>
      </c>
      <c r="AS544" s="22">
        <v>7</v>
      </c>
      <c r="AT544" s="22">
        <v>10</v>
      </c>
      <c r="AU544" s="316">
        <f t="shared" si="89"/>
        <v>199</v>
      </c>
      <c r="AV544" s="22">
        <v>190</v>
      </c>
      <c r="AW544" s="22">
        <v>0</v>
      </c>
      <c r="AX544" s="22">
        <v>0</v>
      </c>
      <c r="AY544" s="22">
        <v>0</v>
      </c>
      <c r="AZ544" s="22">
        <v>0</v>
      </c>
      <c r="BA544" s="22">
        <v>7</v>
      </c>
      <c r="BB544" s="22">
        <v>10</v>
      </c>
      <c r="BC544" s="316">
        <f t="shared" si="90"/>
        <v>207</v>
      </c>
      <c r="BD544" s="58">
        <f t="shared" si="91"/>
        <v>8</v>
      </c>
      <c r="BE544" s="58">
        <f t="shared" si="92"/>
        <v>0</v>
      </c>
      <c r="BF544" s="58">
        <f t="shared" si="93"/>
        <v>0</v>
      </c>
      <c r="BG544" s="58">
        <f t="shared" si="94"/>
        <v>0</v>
      </c>
      <c r="BH544" s="58">
        <f t="shared" si="95"/>
        <v>0</v>
      </c>
      <c r="BI544" s="58">
        <f t="shared" si="96"/>
        <v>0</v>
      </c>
      <c r="BJ544" s="58">
        <f t="shared" si="97"/>
        <v>0</v>
      </c>
      <c r="BK544" s="58">
        <f t="shared" si="98"/>
        <v>8</v>
      </c>
    </row>
    <row r="545" spans="1:63" ht="27" customHeight="1">
      <c r="A545" s="238">
        <f t="shared" si="99"/>
        <v>543</v>
      </c>
      <c r="B545" s="239"/>
      <c r="C545" s="239">
        <v>3112</v>
      </c>
      <c r="D545" s="241" t="s">
        <v>3463</v>
      </c>
      <c r="E545" s="242" t="s">
        <v>3464</v>
      </c>
      <c r="F545" s="243" t="s">
        <v>3097</v>
      </c>
      <c r="G545" s="244" t="s">
        <v>3465</v>
      </c>
      <c r="H545" s="245" t="s">
        <v>3466</v>
      </c>
      <c r="I545" s="246" t="s">
        <v>3467</v>
      </c>
      <c r="J545" s="247" t="s">
        <v>178</v>
      </c>
      <c r="K545" s="248">
        <v>34488</v>
      </c>
      <c r="L545" s="249" t="s">
        <v>179</v>
      </c>
      <c r="M545" s="250">
        <v>43741</v>
      </c>
      <c r="N545" s="250"/>
      <c r="O545" s="250" t="s">
        <v>34</v>
      </c>
      <c r="P545" s="238" t="s">
        <v>292</v>
      </c>
      <c r="Q545" s="238" t="s">
        <v>181</v>
      </c>
      <c r="R545" s="238" t="s">
        <v>182</v>
      </c>
      <c r="S545" s="238" t="s">
        <v>2505</v>
      </c>
      <c r="T545" s="251"/>
      <c r="U545" s="251"/>
      <c r="V545" s="252"/>
      <c r="W545" s="252"/>
      <c r="X545" s="252">
        <v>5</v>
      </c>
      <c r="Y545" s="253" t="s">
        <v>3468</v>
      </c>
      <c r="Z545" s="254"/>
      <c r="AA545" s="254" t="s">
        <v>186</v>
      </c>
      <c r="AB545" s="252"/>
      <c r="AC545" s="255"/>
      <c r="AD545" s="256" t="s">
        <v>188</v>
      </c>
      <c r="AE545" s="256"/>
      <c r="AF545" s="257"/>
      <c r="AG545" s="258"/>
      <c r="AH545" s="259"/>
      <c r="AI545" s="259"/>
      <c r="AJ545" s="260" t="s">
        <v>203</v>
      </c>
      <c r="AK545" s="260" t="s">
        <v>190</v>
      </c>
      <c r="AL545" s="260" t="s">
        <v>190</v>
      </c>
      <c r="AM545" s="255" t="s">
        <v>3469</v>
      </c>
      <c r="AN545" s="22">
        <v>182</v>
      </c>
      <c r="AO545" s="22">
        <v>0</v>
      </c>
      <c r="AP545" s="22">
        <v>20</v>
      </c>
      <c r="AQ545" s="22">
        <v>0</v>
      </c>
      <c r="AR545" s="22">
        <v>0</v>
      </c>
      <c r="AS545" s="22">
        <v>7</v>
      </c>
      <c r="AT545" s="22">
        <v>10</v>
      </c>
      <c r="AU545" s="316">
        <f t="shared" si="89"/>
        <v>219</v>
      </c>
      <c r="AV545" s="22">
        <v>190</v>
      </c>
      <c r="AW545" s="22">
        <v>0</v>
      </c>
      <c r="AX545" s="22">
        <v>20</v>
      </c>
      <c r="AY545" s="22">
        <v>0</v>
      </c>
      <c r="AZ545" s="22">
        <v>0</v>
      </c>
      <c r="BA545" s="22">
        <v>7</v>
      </c>
      <c r="BB545" s="22">
        <v>10</v>
      </c>
      <c r="BC545" s="316">
        <f t="shared" si="90"/>
        <v>227</v>
      </c>
      <c r="BD545" s="58">
        <f t="shared" si="91"/>
        <v>8</v>
      </c>
      <c r="BE545" s="58">
        <f t="shared" si="92"/>
        <v>0</v>
      </c>
      <c r="BF545" s="58">
        <f t="shared" si="93"/>
        <v>0</v>
      </c>
      <c r="BG545" s="58">
        <f t="shared" si="94"/>
        <v>0</v>
      </c>
      <c r="BH545" s="58">
        <f t="shared" si="95"/>
        <v>0</v>
      </c>
      <c r="BI545" s="58">
        <f t="shared" si="96"/>
        <v>0</v>
      </c>
      <c r="BJ545" s="58">
        <f t="shared" si="97"/>
        <v>0</v>
      </c>
      <c r="BK545" s="58">
        <f t="shared" si="98"/>
        <v>8</v>
      </c>
    </row>
    <row r="546" spans="1:63" ht="27" customHeight="1">
      <c r="A546" s="238">
        <f t="shared" si="99"/>
        <v>544</v>
      </c>
      <c r="B546" s="239"/>
      <c r="C546" s="239">
        <v>3363</v>
      </c>
      <c r="D546" s="241">
        <v>0</v>
      </c>
      <c r="E546" s="242" t="s">
        <v>3470</v>
      </c>
      <c r="F546" s="243" t="s">
        <v>3471</v>
      </c>
      <c r="G546" s="244" t="s">
        <v>3472</v>
      </c>
      <c r="H546" s="245" t="s">
        <v>3473</v>
      </c>
      <c r="I546" s="246" t="s">
        <v>3474</v>
      </c>
      <c r="J546" s="247" t="s">
        <v>178</v>
      </c>
      <c r="K546" s="248">
        <v>36291</v>
      </c>
      <c r="L546" s="249" t="s">
        <v>179</v>
      </c>
      <c r="M546" s="250">
        <v>43755</v>
      </c>
      <c r="N546" s="250"/>
      <c r="O546" s="250" t="s">
        <v>34</v>
      </c>
      <c r="P546" s="238" t="s">
        <v>292</v>
      </c>
      <c r="Q546" s="238" t="s">
        <v>181</v>
      </c>
      <c r="R546" s="238" t="s">
        <v>182</v>
      </c>
      <c r="S546" s="238" t="s">
        <v>2384</v>
      </c>
      <c r="T546" s="251"/>
      <c r="U546" s="251"/>
      <c r="V546" s="252"/>
      <c r="W546" s="252"/>
      <c r="X546" s="252">
        <v>4</v>
      </c>
      <c r="Y546" s="253" t="s">
        <v>3475</v>
      </c>
      <c r="Z546" s="254"/>
      <c r="AA546" s="254"/>
      <c r="AB546" s="252"/>
      <c r="AC546" s="255"/>
      <c r="AD546" s="256"/>
      <c r="AE546" s="256"/>
      <c r="AF546" s="257"/>
      <c r="AG546" s="258"/>
      <c r="AH546" s="259"/>
      <c r="AI546" s="259"/>
      <c r="AJ546" s="260" t="s">
        <v>203</v>
      </c>
      <c r="AK546" s="260" t="s">
        <v>190</v>
      </c>
      <c r="AL546" s="260" t="s">
        <v>190</v>
      </c>
      <c r="AM546" s="255" t="s">
        <v>3476</v>
      </c>
      <c r="AN546" s="22">
        <v>177</v>
      </c>
      <c r="AO546" s="22">
        <v>0</v>
      </c>
      <c r="AP546" s="22">
        <v>20</v>
      </c>
      <c r="AQ546" s="22">
        <v>0</v>
      </c>
      <c r="AR546" s="22">
        <v>0</v>
      </c>
      <c r="AS546" s="22">
        <v>7</v>
      </c>
      <c r="AT546" s="22">
        <v>10</v>
      </c>
      <c r="AU546" s="316">
        <f t="shared" si="89"/>
        <v>214</v>
      </c>
      <c r="AV546" s="22">
        <v>185</v>
      </c>
      <c r="AW546" s="22">
        <v>0</v>
      </c>
      <c r="AX546" s="22">
        <v>20</v>
      </c>
      <c r="AY546" s="22">
        <v>0</v>
      </c>
      <c r="AZ546" s="22">
        <v>0</v>
      </c>
      <c r="BA546" s="22">
        <v>7</v>
      </c>
      <c r="BB546" s="22">
        <v>10</v>
      </c>
      <c r="BC546" s="316">
        <f t="shared" si="90"/>
        <v>222</v>
      </c>
      <c r="BD546" s="58">
        <f t="shared" si="91"/>
        <v>8</v>
      </c>
      <c r="BE546" s="58">
        <f t="shared" si="92"/>
        <v>0</v>
      </c>
      <c r="BF546" s="58">
        <f t="shared" si="93"/>
        <v>0</v>
      </c>
      <c r="BG546" s="58">
        <f t="shared" si="94"/>
        <v>0</v>
      </c>
      <c r="BH546" s="58">
        <f t="shared" si="95"/>
        <v>0</v>
      </c>
      <c r="BI546" s="58">
        <f t="shared" si="96"/>
        <v>0</v>
      </c>
      <c r="BJ546" s="58">
        <f t="shared" si="97"/>
        <v>0</v>
      </c>
      <c r="BK546" s="58">
        <f t="shared" si="98"/>
        <v>8</v>
      </c>
    </row>
    <row r="547" spans="1:63" ht="27" customHeight="1">
      <c r="A547" s="238">
        <f t="shared" si="99"/>
        <v>545</v>
      </c>
      <c r="B547" s="239"/>
      <c r="C547" s="239">
        <v>3126</v>
      </c>
      <c r="D547" s="241">
        <v>0</v>
      </c>
      <c r="E547" s="242" t="s">
        <v>3477</v>
      </c>
      <c r="F547" s="243" t="s">
        <v>3478</v>
      </c>
      <c r="G547" s="244" t="s">
        <v>3479</v>
      </c>
      <c r="H547" s="245" t="s">
        <v>3480</v>
      </c>
      <c r="I547" s="246" t="s">
        <v>3481</v>
      </c>
      <c r="J547" s="247" t="s">
        <v>178</v>
      </c>
      <c r="K547" s="248">
        <v>30929</v>
      </c>
      <c r="L547" s="249" t="s">
        <v>179</v>
      </c>
      <c r="M547" s="250">
        <v>43742</v>
      </c>
      <c r="N547" s="250"/>
      <c r="O547" s="250" t="s">
        <v>34</v>
      </c>
      <c r="P547" s="238" t="s">
        <v>386</v>
      </c>
      <c r="Q547" s="238" t="s">
        <v>181</v>
      </c>
      <c r="R547" s="238" t="s">
        <v>182</v>
      </c>
      <c r="S547" s="238" t="s">
        <v>2397</v>
      </c>
      <c r="T547" s="251"/>
      <c r="U547" s="251"/>
      <c r="V547" s="252" t="s">
        <v>190</v>
      </c>
      <c r="W547" s="252" t="s">
        <v>190</v>
      </c>
      <c r="X547" s="252">
        <v>7</v>
      </c>
      <c r="Y547" s="253" t="s">
        <v>3482</v>
      </c>
      <c r="Z547" s="254"/>
      <c r="AA547" s="254"/>
      <c r="AB547" s="252"/>
      <c r="AC547" s="255"/>
      <c r="AD547" s="256"/>
      <c r="AE547" s="256"/>
      <c r="AF547" s="257"/>
      <c r="AG547" s="258"/>
      <c r="AH547" s="259"/>
      <c r="AI547" s="259"/>
      <c r="AJ547" s="260" t="s">
        <v>203</v>
      </c>
      <c r="AK547" s="260" t="s">
        <v>190</v>
      </c>
      <c r="AL547" s="260" t="s">
        <v>190</v>
      </c>
      <c r="AM547" s="255" t="s">
        <v>3483</v>
      </c>
      <c r="AN547" s="22">
        <v>182</v>
      </c>
      <c r="AO547" s="22">
        <v>0</v>
      </c>
      <c r="AP547" s="22">
        <v>0</v>
      </c>
      <c r="AQ547" s="22">
        <v>0</v>
      </c>
      <c r="AR547" s="22">
        <v>0</v>
      </c>
      <c r="AS547" s="22">
        <v>7</v>
      </c>
      <c r="AT547" s="22">
        <v>10</v>
      </c>
      <c r="AU547" s="316">
        <f t="shared" si="89"/>
        <v>199</v>
      </c>
      <c r="AV547" s="22">
        <v>190</v>
      </c>
      <c r="AW547" s="22">
        <v>0</v>
      </c>
      <c r="AX547" s="22">
        <v>0</v>
      </c>
      <c r="AY547" s="22">
        <v>0</v>
      </c>
      <c r="AZ547" s="22">
        <v>0</v>
      </c>
      <c r="BA547" s="22">
        <v>7</v>
      </c>
      <c r="BB547" s="22">
        <v>10</v>
      </c>
      <c r="BC547" s="316">
        <f t="shared" si="90"/>
        <v>207</v>
      </c>
      <c r="BD547" s="58">
        <f t="shared" si="91"/>
        <v>8</v>
      </c>
      <c r="BE547" s="58">
        <f t="shared" si="92"/>
        <v>0</v>
      </c>
      <c r="BF547" s="58">
        <f t="shared" si="93"/>
        <v>0</v>
      </c>
      <c r="BG547" s="58">
        <f t="shared" si="94"/>
        <v>0</v>
      </c>
      <c r="BH547" s="58">
        <f t="shared" si="95"/>
        <v>0</v>
      </c>
      <c r="BI547" s="58">
        <f t="shared" si="96"/>
        <v>0</v>
      </c>
      <c r="BJ547" s="58">
        <f t="shared" si="97"/>
        <v>0</v>
      </c>
      <c r="BK547" s="58">
        <f t="shared" si="98"/>
        <v>8</v>
      </c>
    </row>
    <row r="548" spans="1:63" ht="27" customHeight="1">
      <c r="A548" s="238">
        <f t="shared" si="99"/>
        <v>546</v>
      </c>
      <c r="B548" s="239"/>
      <c r="C548" s="239">
        <v>3318</v>
      </c>
      <c r="D548" s="241" t="s">
        <v>3484</v>
      </c>
      <c r="E548" s="242" t="s">
        <v>3485</v>
      </c>
      <c r="F548" s="243" t="s">
        <v>2439</v>
      </c>
      <c r="G548" s="244" t="s">
        <v>3486</v>
      </c>
      <c r="H548" s="245" t="s">
        <v>3487</v>
      </c>
      <c r="I548" s="246" t="s">
        <v>3488</v>
      </c>
      <c r="J548" s="247" t="s">
        <v>178</v>
      </c>
      <c r="K548" s="248">
        <v>36471</v>
      </c>
      <c r="L548" s="249" t="s">
        <v>179</v>
      </c>
      <c r="M548" s="250">
        <v>43743</v>
      </c>
      <c r="N548" s="250"/>
      <c r="O548" s="250" t="s">
        <v>34</v>
      </c>
      <c r="P548" s="238" t="s">
        <v>27</v>
      </c>
      <c r="Q548" s="238" t="s">
        <v>181</v>
      </c>
      <c r="R548" s="238" t="s">
        <v>182</v>
      </c>
      <c r="S548" s="238" t="s">
        <v>2359</v>
      </c>
      <c r="T548" s="251"/>
      <c r="U548" s="251"/>
      <c r="V548" s="252" t="s">
        <v>190</v>
      </c>
      <c r="W548" s="252" t="s">
        <v>190</v>
      </c>
      <c r="X548" s="252">
        <v>7</v>
      </c>
      <c r="Y548" s="253" t="s">
        <v>3489</v>
      </c>
      <c r="Z548" s="254" t="s">
        <v>186</v>
      </c>
      <c r="AA548" s="254"/>
      <c r="AB548" s="252"/>
      <c r="AC548" s="255"/>
      <c r="AD548" s="256"/>
      <c r="AE548" s="256"/>
      <c r="AF548" s="257"/>
      <c r="AG548" s="258"/>
      <c r="AH548" s="259"/>
      <c r="AI548" s="259"/>
      <c r="AJ548" s="260" t="s">
        <v>203</v>
      </c>
      <c r="AK548" s="260" t="s">
        <v>190</v>
      </c>
      <c r="AL548" s="260" t="s">
        <v>190</v>
      </c>
      <c r="AM548" s="255" t="s">
        <v>3483</v>
      </c>
      <c r="AN548" s="22">
        <v>182</v>
      </c>
      <c r="AO548" s="22">
        <v>0</v>
      </c>
      <c r="AP548" s="22">
        <v>0</v>
      </c>
      <c r="AQ548" s="22">
        <v>0</v>
      </c>
      <c r="AR548" s="22">
        <v>0</v>
      </c>
      <c r="AS548" s="22">
        <v>7</v>
      </c>
      <c r="AT548" s="22">
        <v>10</v>
      </c>
      <c r="AU548" s="316">
        <f t="shared" si="89"/>
        <v>199</v>
      </c>
      <c r="AV548" s="22">
        <v>190</v>
      </c>
      <c r="AW548" s="22">
        <v>0</v>
      </c>
      <c r="AX548" s="22">
        <v>0</v>
      </c>
      <c r="AY548" s="22">
        <v>0</v>
      </c>
      <c r="AZ548" s="22">
        <v>0</v>
      </c>
      <c r="BA548" s="22">
        <v>7</v>
      </c>
      <c r="BB548" s="22">
        <v>10</v>
      </c>
      <c r="BC548" s="316">
        <f t="shared" si="90"/>
        <v>207</v>
      </c>
      <c r="BD548" s="58">
        <f t="shared" si="91"/>
        <v>8</v>
      </c>
      <c r="BE548" s="58">
        <f t="shared" si="92"/>
        <v>0</v>
      </c>
      <c r="BF548" s="58">
        <f t="shared" si="93"/>
        <v>0</v>
      </c>
      <c r="BG548" s="58">
        <f t="shared" si="94"/>
        <v>0</v>
      </c>
      <c r="BH548" s="58">
        <f t="shared" si="95"/>
        <v>0</v>
      </c>
      <c r="BI548" s="58">
        <f t="shared" si="96"/>
        <v>0</v>
      </c>
      <c r="BJ548" s="58">
        <f t="shared" si="97"/>
        <v>0</v>
      </c>
      <c r="BK548" s="58">
        <f t="shared" si="98"/>
        <v>8</v>
      </c>
    </row>
    <row r="549" spans="1:63" ht="27" customHeight="1">
      <c r="A549" s="238">
        <f t="shared" si="99"/>
        <v>547</v>
      </c>
      <c r="B549" s="239"/>
      <c r="C549" s="239">
        <v>3335</v>
      </c>
      <c r="D549" s="241" t="s">
        <v>3490</v>
      </c>
      <c r="E549" s="242" t="s">
        <v>3491</v>
      </c>
      <c r="F549" s="243" t="s">
        <v>178</v>
      </c>
      <c r="G549" s="244" t="s">
        <v>3492</v>
      </c>
      <c r="H549" s="245" t="s">
        <v>94</v>
      </c>
      <c r="I549" s="246" t="s">
        <v>3493</v>
      </c>
      <c r="J549" s="247" t="s">
        <v>209</v>
      </c>
      <c r="K549" s="248">
        <v>30651</v>
      </c>
      <c r="L549" s="249" t="s">
        <v>179</v>
      </c>
      <c r="M549" s="250">
        <v>43749</v>
      </c>
      <c r="N549" s="250"/>
      <c r="O549" s="250" t="s">
        <v>34</v>
      </c>
      <c r="P549" s="238" t="s">
        <v>84</v>
      </c>
      <c r="Q549" s="238" t="s">
        <v>181</v>
      </c>
      <c r="R549" s="238" t="s">
        <v>182</v>
      </c>
      <c r="S549" s="238" t="s">
        <v>2384</v>
      </c>
      <c r="T549" s="251"/>
      <c r="U549" s="251"/>
      <c r="V549" s="252" t="s">
        <v>190</v>
      </c>
      <c r="W549" s="252" t="s">
        <v>190</v>
      </c>
      <c r="X549" s="252"/>
      <c r="Y549" s="253"/>
      <c r="Z549" s="254"/>
      <c r="AA549" s="254"/>
      <c r="AB549" s="252"/>
      <c r="AC549" s="255"/>
      <c r="AD549" s="256"/>
      <c r="AE549" s="256"/>
      <c r="AF549" s="257"/>
      <c r="AG549" s="258"/>
      <c r="AH549" s="259"/>
      <c r="AI549" s="259"/>
      <c r="AJ549" s="260" t="s">
        <v>203</v>
      </c>
      <c r="AK549" s="260" t="s">
        <v>190</v>
      </c>
      <c r="AL549" s="260" t="s">
        <v>190</v>
      </c>
      <c r="AM549" s="255" t="s">
        <v>3483</v>
      </c>
      <c r="AN549" s="22">
        <v>182</v>
      </c>
      <c r="AO549" s="22">
        <v>0</v>
      </c>
      <c r="AP549" s="22">
        <v>0</v>
      </c>
      <c r="AQ549" s="22">
        <v>0</v>
      </c>
      <c r="AR549" s="22">
        <v>0</v>
      </c>
      <c r="AS549" s="22">
        <v>7</v>
      </c>
      <c r="AT549" s="22">
        <v>10</v>
      </c>
      <c r="AU549" s="316">
        <f t="shared" si="89"/>
        <v>199</v>
      </c>
      <c r="AV549" s="22">
        <v>190</v>
      </c>
      <c r="AW549" s="22">
        <v>0</v>
      </c>
      <c r="AX549" s="22">
        <v>0</v>
      </c>
      <c r="AY549" s="22">
        <v>0</v>
      </c>
      <c r="AZ549" s="22">
        <v>0</v>
      </c>
      <c r="BA549" s="22">
        <v>7</v>
      </c>
      <c r="BB549" s="22">
        <v>10</v>
      </c>
      <c r="BC549" s="316">
        <f t="shared" si="90"/>
        <v>207</v>
      </c>
      <c r="BD549" s="58">
        <f t="shared" si="91"/>
        <v>8</v>
      </c>
      <c r="BE549" s="58">
        <f t="shared" si="92"/>
        <v>0</v>
      </c>
      <c r="BF549" s="58">
        <f t="shared" si="93"/>
        <v>0</v>
      </c>
      <c r="BG549" s="58">
        <f t="shared" si="94"/>
        <v>0</v>
      </c>
      <c r="BH549" s="58">
        <f t="shared" si="95"/>
        <v>0</v>
      </c>
      <c r="BI549" s="58">
        <f t="shared" si="96"/>
        <v>0</v>
      </c>
      <c r="BJ549" s="58">
        <f t="shared" si="97"/>
        <v>0</v>
      </c>
      <c r="BK549" s="58">
        <f t="shared" si="98"/>
        <v>8</v>
      </c>
    </row>
    <row r="550" spans="1:63" ht="27" customHeight="1">
      <c r="A550" s="238">
        <f t="shared" si="99"/>
        <v>548</v>
      </c>
      <c r="B550" s="239"/>
      <c r="C550" s="239">
        <v>3099</v>
      </c>
      <c r="D550" s="241" t="s">
        <v>3494</v>
      </c>
      <c r="E550" s="242" t="s">
        <v>3495</v>
      </c>
      <c r="F550" s="243" t="s">
        <v>3496</v>
      </c>
      <c r="G550" s="244" t="s">
        <v>3497</v>
      </c>
      <c r="H550" s="245" t="s">
        <v>2165</v>
      </c>
      <c r="I550" s="246" t="s">
        <v>3498</v>
      </c>
      <c r="J550" s="247" t="s">
        <v>209</v>
      </c>
      <c r="K550" s="248">
        <v>29136</v>
      </c>
      <c r="L550" s="249" t="s">
        <v>179</v>
      </c>
      <c r="M550" s="250">
        <v>43740</v>
      </c>
      <c r="N550" s="250"/>
      <c r="O550" s="250" t="s">
        <v>34</v>
      </c>
      <c r="P550" s="238" t="s">
        <v>84</v>
      </c>
      <c r="Q550" s="238" t="s">
        <v>181</v>
      </c>
      <c r="R550" s="238" t="s">
        <v>182</v>
      </c>
      <c r="S550" s="238" t="s">
        <v>2492</v>
      </c>
      <c r="T550" s="251"/>
      <c r="U550" s="251"/>
      <c r="V550" s="252" t="s">
        <v>190</v>
      </c>
      <c r="W550" s="252" t="s">
        <v>190</v>
      </c>
      <c r="X550" s="252"/>
      <c r="Y550" s="253"/>
      <c r="Z550" s="254"/>
      <c r="AA550" s="254" t="s">
        <v>186</v>
      </c>
      <c r="AB550" s="252"/>
      <c r="AC550" s="255"/>
      <c r="AD550" s="256"/>
      <c r="AE550" s="256"/>
      <c r="AF550" s="257"/>
      <c r="AG550" s="258"/>
      <c r="AH550" s="259"/>
      <c r="AI550" s="259"/>
      <c r="AJ550" s="260" t="s">
        <v>203</v>
      </c>
      <c r="AK550" s="260" t="s">
        <v>190</v>
      </c>
      <c r="AL550" s="260" t="s">
        <v>190</v>
      </c>
      <c r="AM550" s="255" t="s">
        <v>3483</v>
      </c>
      <c r="AN550" s="22">
        <v>182</v>
      </c>
      <c r="AO550" s="22">
        <v>0</v>
      </c>
      <c r="AP550" s="22">
        <v>0</v>
      </c>
      <c r="AQ550" s="22">
        <v>0</v>
      </c>
      <c r="AR550" s="22">
        <v>0</v>
      </c>
      <c r="AS550" s="22">
        <v>7</v>
      </c>
      <c r="AT550" s="22">
        <v>10</v>
      </c>
      <c r="AU550" s="316">
        <f t="shared" si="89"/>
        <v>199</v>
      </c>
      <c r="AV550" s="22">
        <v>190</v>
      </c>
      <c r="AW550" s="22">
        <v>0</v>
      </c>
      <c r="AX550" s="22">
        <v>0</v>
      </c>
      <c r="AY550" s="22">
        <v>0</v>
      </c>
      <c r="AZ550" s="22">
        <v>0</v>
      </c>
      <c r="BA550" s="22">
        <v>7</v>
      </c>
      <c r="BB550" s="22">
        <v>10</v>
      </c>
      <c r="BC550" s="316">
        <f t="shared" si="90"/>
        <v>207</v>
      </c>
      <c r="BD550" s="58">
        <f t="shared" si="91"/>
        <v>8</v>
      </c>
      <c r="BE550" s="58">
        <f t="shared" si="92"/>
        <v>0</v>
      </c>
      <c r="BF550" s="58">
        <f t="shared" si="93"/>
        <v>0</v>
      </c>
      <c r="BG550" s="58">
        <f t="shared" si="94"/>
        <v>0</v>
      </c>
      <c r="BH550" s="58">
        <f t="shared" si="95"/>
        <v>0</v>
      </c>
      <c r="BI550" s="58">
        <f t="shared" si="96"/>
        <v>0</v>
      </c>
      <c r="BJ550" s="58">
        <f t="shared" si="97"/>
        <v>0</v>
      </c>
      <c r="BK550" s="58">
        <f t="shared" si="98"/>
        <v>8</v>
      </c>
    </row>
    <row r="551" spans="1:63" ht="27" customHeight="1">
      <c r="A551" s="238">
        <f t="shared" si="99"/>
        <v>549</v>
      </c>
      <c r="B551" s="239"/>
      <c r="C551" s="239">
        <v>3365</v>
      </c>
      <c r="D551" s="241" t="s">
        <v>3499</v>
      </c>
      <c r="E551" s="242" t="s">
        <v>3500</v>
      </c>
      <c r="F551" s="243" t="s">
        <v>3501</v>
      </c>
      <c r="G551" s="244" t="s">
        <v>2065</v>
      </c>
      <c r="H551" s="245" t="s">
        <v>3502</v>
      </c>
      <c r="I551" s="246" t="s">
        <v>3503</v>
      </c>
      <c r="J551" s="247" t="s">
        <v>178</v>
      </c>
      <c r="K551" s="248">
        <v>33637</v>
      </c>
      <c r="L551" s="249" t="s">
        <v>179</v>
      </c>
      <c r="M551" s="250">
        <v>43754</v>
      </c>
      <c r="N551" s="250"/>
      <c r="O551" s="250" t="s">
        <v>34</v>
      </c>
      <c r="P551" s="238" t="s">
        <v>339</v>
      </c>
      <c r="Q551" s="238" t="s">
        <v>181</v>
      </c>
      <c r="R551" s="238" t="s">
        <v>182</v>
      </c>
      <c r="S551" s="238" t="s">
        <v>2384</v>
      </c>
      <c r="T551" s="251"/>
      <c r="U551" s="251"/>
      <c r="V551" s="252" t="s">
        <v>3504</v>
      </c>
      <c r="W551" s="252" t="s">
        <v>190</v>
      </c>
      <c r="X551" s="252">
        <v>4</v>
      </c>
      <c r="Y551" s="253" t="s">
        <v>3505</v>
      </c>
      <c r="Z551" s="254"/>
      <c r="AA551" s="254" t="s">
        <v>186</v>
      </c>
      <c r="AB551" s="252"/>
      <c r="AC551" s="255"/>
      <c r="AD551" s="256" t="s">
        <v>188</v>
      </c>
      <c r="AE551" s="256" t="s">
        <v>188</v>
      </c>
      <c r="AF551" s="257" t="s">
        <v>188</v>
      </c>
      <c r="AG551" s="258"/>
      <c r="AH551" s="259"/>
      <c r="AI551" s="259"/>
      <c r="AJ551" s="260"/>
      <c r="AK551" s="260"/>
      <c r="AL551" s="260"/>
      <c r="AM551" s="255" t="s">
        <v>3483</v>
      </c>
      <c r="AN551" s="22">
        <v>182</v>
      </c>
      <c r="AO551" s="22">
        <v>0</v>
      </c>
      <c r="AP551" s="22">
        <v>0</v>
      </c>
      <c r="AQ551" s="22">
        <v>0</v>
      </c>
      <c r="AR551" s="22">
        <v>0</v>
      </c>
      <c r="AS551" s="22">
        <v>7</v>
      </c>
      <c r="AT551" s="22">
        <v>10</v>
      </c>
      <c r="AU551" s="316">
        <f t="shared" si="89"/>
        <v>199</v>
      </c>
      <c r="AV551" s="22">
        <v>190</v>
      </c>
      <c r="AW551" s="22">
        <v>0</v>
      </c>
      <c r="AX551" s="22">
        <v>0</v>
      </c>
      <c r="AY551" s="22">
        <v>0</v>
      </c>
      <c r="AZ551" s="22">
        <v>0</v>
      </c>
      <c r="BA551" s="22">
        <v>7</v>
      </c>
      <c r="BB551" s="22">
        <v>10</v>
      </c>
      <c r="BC551" s="316">
        <f t="shared" si="90"/>
        <v>207</v>
      </c>
      <c r="BD551" s="58">
        <f t="shared" si="91"/>
        <v>8</v>
      </c>
      <c r="BE551" s="58">
        <f t="shared" si="92"/>
        <v>0</v>
      </c>
      <c r="BF551" s="58">
        <f t="shared" si="93"/>
        <v>0</v>
      </c>
      <c r="BG551" s="58">
        <f t="shared" si="94"/>
        <v>0</v>
      </c>
      <c r="BH551" s="58">
        <f t="shared" si="95"/>
        <v>0</v>
      </c>
      <c r="BI551" s="58">
        <f t="shared" si="96"/>
        <v>0</v>
      </c>
      <c r="BJ551" s="58">
        <f t="shared" si="97"/>
        <v>0</v>
      </c>
      <c r="BK551" s="58">
        <f t="shared" si="98"/>
        <v>8</v>
      </c>
    </row>
    <row r="552" spans="1:63" ht="27" customHeight="1">
      <c r="A552" s="238">
        <f t="shared" si="99"/>
        <v>550</v>
      </c>
      <c r="B552" s="239"/>
      <c r="C552" s="239">
        <v>3380</v>
      </c>
      <c r="D552" s="241">
        <v>28511160399907</v>
      </c>
      <c r="E552" s="242" t="s">
        <v>3506</v>
      </c>
      <c r="F552" s="243" t="s">
        <v>335</v>
      </c>
      <c r="G552" s="244" t="s">
        <v>3079</v>
      </c>
      <c r="H552" s="245" t="s">
        <v>3507</v>
      </c>
      <c r="I552" s="246" t="s">
        <v>3508</v>
      </c>
      <c r="J552" s="247" t="s">
        <v>178</v>
      </c>
      <c r="K552" s="248">
        <v>31145</v>
      </c>
      <c r="L552" s="249" t="s">
        <v>179</v>
      </c>
      <c r="M552" s="250">
        <v>43754</v>
      </c>
      <c r="N552" s="250"/>
      <c r="O552" s="250" t="s">
        <v>34</v>
      </c>
      <c r="P552" s="238" t="s">
        <v>309</v>
      </c>
      <c r="Q552" s="238" t="s">
        <v>181</v>
      </c>
      <c r="R552" s="238" t="s">
        <v>182</v>
      </c>
      <c r="S552" s="238" t="s">
        <v>2492</v>
      </c>
      <c r="T552" s="251"/>
      <c r="U552" s="251"/>
      <c r="V552" s="252"/>
      <c r="W552" s="252"/>
      <c r="X552" s="252">
        <v>6</v>
      </c>
      <c r="Y552" s="253" t="s">
        <v>3509</v>
      </c>
      <c r="Z552" s="254"/>
      <c r="AA552" s="254" t="s">
        <v>186</v>
      </c>
      <c r="AB552" s="252"/>
      <c r="AC552" s="255"/>
      <c r="AD552" s="256" t="s">
        <v>188</v>
      </c>
      <c r="AE552" s="256"/>
      <c r="AF552" s="257"/>
      <c r="AG552" s="258"/>
      <c r="AH552" s="259"/>
      <c r="AI552" s="259"/>
      <c r="AJ552" s="260"/>
      <c r="AK552" s="260"/>
      <c r="AL552" s="260"/>
      <c r="AM552" s="255"/>
      <c r="AN552" s="22">
        <v>182</v>
      </c>
      <c r="AO552" s="22">
        <v>0</v>
      </c>
      <c r="AP552" s="22">
        <v>0</v>
      </c>
      <c r="AQ552" s="22">
        <v>0</v>
      </c>
      <c r="AR552" s="22">
        <v>0</v>
      </c>
      <c r="AS552" s="22">
        <v>7</v>
      </c>
      <c r="AT552" s="22">
        <v>10</v>
      </c>
      <c r="AU552" s="316">
        <f t="shared" si="89"/>
        <v>199</v>
      </c>
      <c r="AV552" s="22">
        <v>190</v>
      </c>
      <c r="AW552" s="22">
        <v>0</v>
      </c>
      <c r="AX552" s="22">
        <v>0</v>
      </c>
      <c r="AY552" s="22">
        <v>0</v>
      </c>
      <c r="AZ552" s="22">
        <v>0</v>
      </c>
      <c r="BA552" s="22">
        <v>7</v>
      </c>
      <c r="BB552" s="22">
        <v>10</v>
      </c>
      <c r="BC552" s="316">
        <f t="shared" si="90"/>
        <v>207</v>
      </c>
      <c r="BD552" s="58">
        <f t="shared" si="91"/>
        <v>8</v>
      </c>
      <c r="BE552" s="58">
        <f t="shared" si="92"/>
        <v>0</v>
      </c>
      <c r="BF552" s="58">
        <f t="shared" si="93"/>
        <v>0</v>
      </c>
      <c r="BG552" s="58">
        <f t="shared" si="94"/>
        <v>0</v>
      </c>
      <c r="BH552" s="58">
        <f t="shared" si="95"/>
        <v>0</v>
      </c>
      <c r="BI552" s="58">
        <f t="shared" si="96"/>
        <v>0</v>
      </c>
      <c r="BJ552" s="58">
        <f t="shared" si="97"/>
        <v>0</v>
      </c>
      <c r="BK552" s="58">
        <f t="shared" si="98"/>
        <v>8</v>
      </c>
    </row>
    <row r="553" spans="1:63" ht="27" customHeight="1">
      <c r="A553" s="238">
        <f t="shared" si="99"/>
        <v>551</v>
      </c>
      <c r="B553" s="239"/>
      <c r="C553" s="239">
        <v>3408</v>
      </c>
      <c r="D553" s="241" t="s">
        <v>3510</v>
      </c>
      <c r="E553" s="242" t="s">
        <v>3511</v>
      </c>
      <c r="F553" s="243" t="s">
        <v>1416</v>
      </c>
      <c r="G553" s="244" t="s">
        <v>3512</v>
      </c>
      <c r="H553" s="245" t="s">
        <v>3303</v>
      </c>
      <c r="I553" s="246" t="s">
        <v>3513</v>
      </c>
      <c r="J553" s="247" t="s">
        <v>178</v>
      </c>
      <c r="K553" s="248">
        <v>35388</v>
      </c>
      <c r="L553" s="249" t="s">
        <v>179</v>
      </c>
      <c r="M553" s="250">
        <v>43763</v>
      </c>
      <c r="N553" s="250"/>
      <c r="O553" s="250" t="s">
        <v>34</v>
      </c>
      <c r="P553" s="238" t="s">
        <v>348</v>
      </c>
      <c r="Q553" s="238" t="s">
        <v>181</v>
      </c>
      <c r="R553" s="238" t="s">
        <v>182</v>
      </c>
      <c r="S553" s="238" t="s">
        <v>3514</v>
      </c>
      <c r="T553" s="251"/>
      <c r="U553" s="251"/>
      <c r="V553" s="252"/>
      <c r="W553" s="252"/>
      <c r="X553" s="252">
        <v>9</v>
      </c>
      <c r="Y553" s="253" t="s">
        <v>3515</v>
      </c>
      <c r="Z553" s="254"/>
      <c r="AA553" s="254" t="s">
        <v>186</v>
      </c>
      <c r="AB553" s="252"/>
      <c r="AC553" s="255"/>
      <c r="AD553" s="256" t="s">
        <v>188</v>
      </c>
      <c r="AE553" s="256"/>
      <c r="AF553" s="257"/>
      <c r="AG553" s="258"/>
      <c r="AH553" s="259"/>
      <c r="AI553" s="259"/>
      <c r="AJ553" s="260"/>
      <c r="AK553" s="260"/>
      <c r="AL553" s="260"/>
      <c r="AM553" s="255"/>
      <c r="AN553" s="22">
        <v>182</v>
      </c>
      <c r="AO553" s="22">
        <v>0</v>
      </c>
      <c r="AP553" s="22">
        <v>0</v>
      </c>
      <c r="AQ553" s="22">
        <v>0</v>
      </c>
      <c r="AR553" s="22">
        <v>0</v>
      </c>
      <c r="AS553" s="22">
        <v>7</v>
      </c>
      <c r="AT553" s="22">
        <v>10</v>
      </c>
      <c r="AU553" s="316">
        <f t="shared" si="89"/>
        <v>199</v>
      </c>
      <c r="AV553" s="22">
        <v>190</v>
      </c>
      <c r="AW553" s="22">
        <v>0</v>
      </c>
      <c r="AX553" s="22">
        <v>0</v>
      </c>
      <c r="AY553" s="22">
        <v>0</v>
      </c>
      <c r="AZ553" s="22">
        <v>0</v>
      </c>
      <c r="BA553" s="22">
        <v>7</v>
      </c>
      <c r="BB553" s="22">
        <v>10</v>
      </c>
      <c r="BC553" s="316">
        <f t="shared" si="90"/>
        <v>207</v>
      </c>
      <c r="BD553" s="58">
        <f t="shared" si="91"/>
        <v>8</v>
      </c>
      <c r="BE553" s="58">
        <f t="shared" si="92"/>
        <v>0</v>
      </c>
      <c r="BF553" s="58">
        <f t="shared" si="93"/>
        <v>0</v>
      </c>
      <c r="BG553" s="58">
        <f t="shared" si="94"/>
        <v>0</v>
      </c>
      <c r="BH553" s="58">
        <f t="shared" si="95"/>
        <v>0</v>
      </c>
      <c r="BI553" s="58">
        <f t="shared" si="96"/>
        <v>0</v>
      </c>
      <c r="BJ553" s="58">
        <f t="shared" si="97"/>
        <v>0</v>
      </c>
      <c r="BK553" s="58">
        <f t="shared" si="98"/>
        <v>8</v>
      </c>
    </row>
    <row r="554" spans="1:63" ht="27" customHeight="1">
      <c r="A554" s="238">
        <f t="shared" si="99"/>
        <v>552</v>
      </c>
      <c r="B554" s="239"/>
      <c r="C554" s="239">
        <v>3327</v>
      </c>
      <c r="D554" s="241" t="s">
        <v>3516</v>
      </c>
      <c r="E554" s="242" t="s">
        <v>3517</v>
      </c>
      <c r="F554" s="243" t="s">
        <v>1066</v>
      </c>
      <c r="G554" s="244" t="s">
        <v>3518</v>
      </c>
      <c r="H554" s="245" t="s">
        <v>3118</v>
      </c>
      <c r="I554" s="246" t="s">
        <v>3519</v>
      </c>
      <c r="J554" s="247" t="s">
        <v>209</v>
      </c>
      <c r="K554" s="248">
        <v>33361</v>
      </c>
      <c r="L554" s="249" t="s">
        <v>179</v>
      </c>
      <c r="M554" s="250">
        <v>43744</v>
      </c>
      <c r="N554" s="250"/>
      <c r="O554" s="250" t="s">
        <v>34</v>
      </c>
      <c r="P554" s="238" t="s">
        <v>84</v>
      </c>
      <c r="Q554" s="238" t="s">
        <v>181</v>
      </c>
      <c r="R554" s="238" t="s">
        <v>182</v>
      </c>
      <c r="S554" s="238" t="s">
        <v>2430</v>
      </c>
      <c r="T554" s="251"/>
      <c r="U554" s="251"/>
      <c r="V554" s="252"/>
      <c r="W554" s="252"/>
      <c r="X554" s="252">
        <v>10</v>
      </c>
      <c r="Y554" s="253" t="s">
        <v>3520</v>
      </c>
      <c r="Z554" s="254"/>
      <c r="AA554" s="254" t="s">
        <v>186</v>
      </c>
      <c r="AB554" s="252"/>
      <c r="AC554" s="255"/>
      <c r="AD554" s="256"/>
      <c r="AE554" s="256"/>
      <c r="AF554" s="257"/>
      <c r="AG554" s="258"/>
      <c r="AH554" s="259"/>
      <c r="AI554" s="259"/>
      <c r="AJ554" s="260"/>
      <c r="AK554" s="260"/>
      <c r="AL554" s="260"/>
      <c r="AM554" s="255"/>
      <c r="AN554" s="22">
        <v>182</v>
      </c>
      <c r="AO554" s="22">
        <v>0</v>
      </c>
      <c r="AP554" s="22">
        <v>0</v>
      </c>
      <c r="AQ554" s="22">
        <v>0</v>
      </c>
      <c r="AR554" s="22">
        <v>0</v>
      </c>
      <c r="AS554" s="22">
        <v>7</v>
      </c>
      <c r="AT554" s="22">
        <v>10</v>
      </c>
      <c r="AU554" s="316">
        <f t="shared" si="89"/>
        <v>199</v>
      </c>
      <c r="AV554" s="22">
        <v>190</v>
      </c>
      <c r="AW554" s="22">
        <v>0</v>
      </c>
      <c r="AX554" s="22">
        <v>0</v>
      </c>
      <c r="AY554" s="22">
        <v>0</v>
      </c>
      <c r="AZ554" s="22">
        <v>0</v>
      </c>
      <c r="BA554" s="22">
        <v>7</v>
      </c>
      <c r="BB554" s="22">
        <v>10</v>
      </c>
      <c r="BC554" s="316">
        <f t="shared" si="90"/>
        <v>207</v>
      </c>
      <c r="BD554" s="58">
        <f t="shared" si="91"/>
        <v>8</v>
      </c>
      <c r="BE554" s="58">
        <f t="shared" si="92"/>
        <v>0</v>
      </c>
      <c r="BF554" s="58">
        <f t="shared" si="93"/>
        <v>0</v>
      </c>
      <c r="BG554" s="58">
        <f t="shared" si="94"/>
        <v>0</v>
      </c>
      <c r="BH554" s="58">
        <f t="shared" si="95"/>
        <v>0</v>
      </c>
      <c r="BI554" s="58">
        <f t="shared" si="96"/>
        <v>0</v>
      </c>
      <c r="BJ554" s="58">
        <f t="shared" si="97"/>
        <v>0</v>
      </c>
      <c r="BK554" s="58">
        <f t="shared" si="98"/>
        <v>8</v>
      </c>
    </row>
    <row r="555" spans="1:63" ht="27" customHeight="1">
      <c r="A555" s="238">
        <f t="shared" si="99"/>
        <v>553</v>
      </c>
      <c r="B555" s="239"/>
      <c r="C555" s="239">
        <v>3377</v>
      </c>
      <c r="D555" s="241" t="s">
        <v>3521</v>
      </c>
      <c r="E555" s="242" t="s">
        <v>3522</v>
      </c>
      <c r="F555" s="243" t="s">
        <v>1423</v>
      </c>
      <c r="G555" s="244" t="s">
        <v>270</v>
      </c>
      <c r="H555" s="245" t="s">
        <v>3281</v>
      </c>
      <c r="I555" s="246" t="s">
        <v>3523</v>
      </c>
      <c r="J555" s="247" t="s">
        <v>178</v>
      </c>
      <c r="K555" s="248">
        <v>31419</v>
      </c>
      <c r="L555" s="249" t="s">
        <v>179</v>
      </c>
      <c r="M555" s="250">
        <v>43755</v>
      </c>
      <c r="N555" s="250"/>
      <c r="O555" s="250" t="s">
        <v>34</v>
      </c>
      <c r="P555" s="238" t="s">
        <v>1085</v>
      </c>
      <c r="Q555" s="238" t="s">
        <v>181</v>
      </c>
      <c r="R555" s="238" t="s">
        <v>182</v>
      </c>
      <c r="S555" s="238" t="s">
        <v>2397</v>
      </c>
      <c r="T555" s="251"/>
      <c r="U555" s="251"/>
      <c r="V555" s="252"/>
      <c r="W555" s="252"/>
      <c r="X555" s="252">
        <v>4</v>
      </c>
      <c r="Y555" s="253" t="s">
        <v>3524</v>
      </c>
      <c r="Z555" s="254" t="s">
        <v>186</v>
      </c>
      <c r="AA555" s="254"/>
      <c r="AB555" s="252"/>
      <c r="AC555" s="255"/>
      <c r="AD555" s="256"/>
      <c r="AE555" s="256"/>
      <c r="AF555" s="257"/>
      <c r="AG555" s="258"/>
      <c r="AH555" s="259"/>
      <c r="AI555" s="259"/>
      <c r="AJ555" s="260"/>
      <c r="AK555" s="260"/>
      <c r="AL555" s="260"/>
      <c r="AM555" s="255"/>
      <c r="AN555" s="22">
        <v>182</v>
      </c>
      <c r="AO555" s="22">
        <v>0</v>
      </c>
      <c r="AP555" s="22">
        <v>0</v>
      </c>
      <c r="AQ555" s="22">
        <v>0</v>
      </c>
      <c r="AR555" s="22">
        <v>0</v>
      </c>
      <c r="AS555" s="22">
        <v>7</v>
      </c>
      <c r="AT555" s="22">
        <v>10</v>
      </c>
      <c r="AU555" s="316">
        <f t="shared" si="89"/>
        <v>199</v>
      </c>
      <c r="AV555" s="22">
        <v>190</v>
      </c>
      <c r="AW555" s="22">
        <v>0</v>
      </c>
      <c r="AX555" s="22">
        <v>0</v>
      </c>
      <c r="AY555" s="22">
        <v>0</v>
      </c>
      <c r="AZ555" s="22">
        <v>0</v>
      </c>
      <c r="BA555" s="22">
        <v>7</v>
      </c>
      <c r="BB555" s="22">
        <v>10</v>
      </c>
      <c r="BC555" s="316">
        <f t="shared" si="90"/>
        <v>207</v>
      </c>
      <c r="BD555" s="58">
        <f t="shared" si="91"/>
        <v>8</v>
      </c>
      <c r="BE555" s="58">
        <f t="shared" si="92"/>
        <v>0</v>
      </c>
      <c r="BF555" s="58">
        <f t="shared" si="93"/>
        <v>0</v>
      </c>
      <c r="BG555" s="58">
        <f t="shared" si="94"/>
        <v>0</v>
      </c>
      <c r="BH555" s="58">
        <f t="shared" si="95"/>
        <v>0</v>
      </c>
      <c r="BI555" s="58">
        <f t="shared" si="96"/>
        <v>0</v>
      </c>
      <c r="BJ555" s="58">
        <f t="shared" si="97"/>
        <v>0</v>
      </c>
      <c r="BK555" s="58">
        <f t="shared" si="98"/>
        <v>8</v>
      </c>
    </row>
    <row r="556" spans="1:63" ht="27" customHeight="1">
      <c r="A556" s="238">
        <f t="shared" si="99"/>
        <v>554</v>
      </c>
      <c r="B556" s="239"/>
      <c r="C556" s="239">
        <v>3400</v>
      </c>
      <c r="D556" s="241" t="s">
        <v>3525</v>
      </c>
      <c r="E556" s="242" t="s">
        <v>3526</v>
      </c>
      <c r="F556" s="243" t="s">
        <v>3248</v>
      </c>
      <c r="G556" s="244" t="s">
        <v>3527</v>
      </c>
      <c r="H556" s="245" t="s">
        <v>2113</v>
      </c>
      <c r="I556" s="246" t="s">
        <v>3528</v>
      </c>
      <c r="J556" s="247" t="s">
        <v>178</v>
      </c>
      <c r="K556" s="248">
        <v>31658</v>
      </c>
      <c r="L556" s="249" t="s">
        <v>179</v>
      </c>
      <c r="M556" s="250">
        <v>43760</v>
      </c>
      <c r="N556" s="250"/>
      <c r="O556" s="250" t="s">
        <v>34</v>
      </c>
      <c r="P556" s="238" t="s">
        <v>348</v>
      </c>
      <c r="Q556" s="238" t="s">
        <v>181</v>
      </c>
      <c r="R556" s="238" t="s">
        <v>182</v>
      </c>
      <c r="S556" s="238" t="s">
        <v>2384</v>
      </c>
      <c r="T556" s="251"/>
      <c r="U556" s="251"/>
      <c r="V556" s="252"/>
      <c r="W556" s="252"/>
      <c r="X556" s="252">
        <v>9</v>
      </c>
      <c r="Y556" s="253" t="s">
        <v>3529</v>
      </c>
      <c r="Z556" s="254" t="s">
        <v>186</v>
      </c>
      <c r="AA556" s="254"/>
      <c r="AB556" s="252"/>
      <c r="AC556" s="255"/>
      <c r="AD556" s="256"/>
      <c r="AE556" s="256"/>
      <c r="AF556" s="257"/>
      <c r="AG556" s="258"/>
      <c r="AH556" s="259"/>
      <c r="AI556" s="259"/>
      <c r="AJ556" s="260"/>
      <c r="AK556" s="260"/>
      <c r="AL556" s="260"/>
      <c r="AM556" s="255"/>
      <c r="AN556" s="22">
        <v>182</v>
      </c>
      <c r="AO556" s="22">
        <v>0</v>
      </c>
      <c r="AP556" s="22">
        <v>0</v>
      </c>
      <c r="AQ556" s="22">
        <v>0</v>
      </c>
      <c r="AR556" s="22">
        <v>0</v>
      </c>
      <c r="AS556" s="22">
        <v>7</v>
      </c>
      <c r="AT556" s="22">
        <v>10</v>
      </c>
      <c r="AU556" s="316">
        <f t="shared" si="89"/>
        <v>199</v>
      </c>
      <c r="AV556" s="22">
        <v>190</v>
      </c>
      <c r="AW556" s="22">
        <v>0</v>
      </c>
      <c r="AX556" s="22">
        <v>0</v>
      </c>
      <c r="AY556" s="22">
        <v>0</v>
      </c>
      <c r="AZ556" s="22">
        <v>0</v>
      </c>
      <c r="BA556" s="22">
        <v>7</v>
      </c>
      <c r="BB556" s="22">
        <v>10</v>
      </c>
      <c r="BC556" s="316">
        <f t="shared" si="90"/>
        <v>207</v>
      </c>
      <c r="BD556" s="58">
        <f t="shared" si="91"/>
        <v>8</v>
      </c>
      <c r="BE556" s="58">
        <f t="shared" si="92"/>
        <v>0</v>
      </c>
      <c r="BF556" s="58">
        <f t="shared" si="93"/>
        <v>0</v>
      </c>
      <c r="BG556" s="58">
        <f t="shared" si="94"/>
        <v>0</v>
      </c>
      <c r="BH556" s="58">
        <f t="shared" si="95"/>
        <v>0</v>
      </c>
      <c r="BI556" s="58">
        <f t="shared" si="96"/>
        <v>0</v>
      </c>
      <c r="BJ556" s="58">
        <f t="shared" si="97"/>
        <v>0</v>
      </c>
      <c r="BK556" s="58">
        <f t="shared" si="98"/>
        <v>8</v>
      </c>
    </row>
    <row r="557" spans="1:63" ht="27" customHeight="1">
      <c r="A557" s="238">
        <f t="shared" si="99"/>
        <v>555</v>
      </c>
      <c r="B557" s="239"/>
      <c r="C557" s="239">
        <v>3376</v>
      </c>
      <c r="D557" s="241" t="s">
        <v>3530</v>
      </c>
      <c r="E557" s="242" t="s">
        <v>296</v>
      </c>
      <c r="F557" s="243" t="s">
        <v>3531</v>
      </c>
      <c r="G557" s="244" t="s">
        <v>2196</v>
      </c>
      <c r="H557" s="263" t="s">
        <v>3532</v>
      </c>
      <c r="I557" s="264" t="s">
        <v>3533</v>
      </c>
      <c r="J557" s="244" t="s">
        <v>178</v>
      </c>
      <c r="K557" s="248">
        <v>36014</v>
      </c>
      <c r="L557" s="265" t="s">
        <v>179</v>
      </c>
      <c r="M557" s="250">
        <v>43754</v>
      </c>
      <c r="N557" s="250"/>
      <c r="O557" s="250" t="s">
        <v>26</v>
      </c>
      <c r="P557" s="238" t="s">
        <v>27</v>
      </c>
      <c r="Q557" s="238" t="s">
        <v>181</v>
      </c>
      <c r="R557" s="252" t="s">
        <v>182</v>
      </c>
      <c r="S557" s="252" t="s">
        <v>2384</v>
      </c>
      <c r="T557" s="251"/>
      <c r="U557" s="251"/>
      <c r="V557" s="252" t="s">
        <v>190</v>
      </c>
      <c r="W557" s="252" t="s">
        <v>190</v>
      </c>
      <c r="X557" s="252">
        <v>7</v>
      </c>
      <c r="Y557" s="253" t="s">
        <v>3534</v>
      </c>
      <c r="Z557" s="254" t="s">
        <v>186</v>
      </c>
      <c r="AA557" s="254"/>
      <c r="AB557" s="252"/>
      <c r="AC557" s="255"/>
      <c r="AD557" s="256"/>
      <c r="AE557" s="256"/>
      <c r="AF557" s="257"/>
      <c r="AG557" s="258"/>
      <c r="AH557" s="259"/>
      <c r="AI557" s="259"/>
      <c r="AJ557" s="260" t="s">
        <v>203</v>
      </c>
      <c r="AK557" s="260" t="s">
        <v>190</v>
      </c>
      <c r="AL557" s="260" t="s">
        <v>190</v>
      </c>
      <c r="AM557" s="255" t="s">
        <v>3535</v>
      </c>
      <c r="AN557" s="22">
        <v>182</v>
      </c>
      <c r="AO557" s="22">
        <v>0</v>
      </c>
      <c r="AP557" s="22">
        <v>0</v>
      </c>
      <c r="AQ557" s="22">
        <v>0</v>
      </c>
      <c r="AR557" s="22">
        <v>0</v>
      </c>
      <c r="AS557" s="22">
        <v>7</v>
      </c>
      <c r="AT557" s="22">
        <v>10</v>
      </c>
      <c r="AU557" s="316">
        <f t="shared" si="89"/>
        <v>199</v>
      </c>
      <c r="AV557" s="22">
        <v>190</v>
      </c>
      <c r="AW557" s="22">
        <v>0</v>
      </c>
      <c r="AX557" s="22">
        <v>0</v>
      </c>
      <c r="AY557" s="22">
        <v>0</v>
      </c>
      <c r="AZ557" s="22">
        <v>0</v>
      </c>
      <c r="BA557" s="22">
        <v>7</v>
      </c>
      <c r="BB557" s="22">
        <v>10</v>
      </c>
      <c r="BC557" s="316">
        <f t="shared" si="90"/>
        <v>207</v>
      </c>
      <c r="BD557" s="58">
        <f t="shared" si="91"/>
        <v>8</v>
      </c>
      <c r="BE557" s="58">
        <f t="shared" si="92"/>
        <v>0</v>
      </c>
      <c r="BF557" s="58">
        <f t="shared" si="93"/>
        <v>0</v>
      </c>
      <c r="BG557" s="58">
        <f t="shared" si="94"/>
        <v>0</v>
      </c>
      <c r="BH557" s="58">
        <f t="shared" si="95"/>
        <v>0</v>
      </c>
      <c r="BI557" s="58">
        <f t="shared" si="96"/>
        <v>0</v>
      </c>
      <c r="BJ557" s="58">
        <f t="shared" si="97"/>
        <v>0</v>
      </c>
      <c r="BK557" s="58">
        <f t="shared" si="98"/>
        <v>8</v>
      </c>
    </row>
    <row r="558" spans="1:63" ht="27" customHeight="1">
      <c r="A558" s="238">
        <f t="shared" si="99"/>
        <v>556</v>
      </c>
      <c r="B558" s="239"/>
      <c r="C558" s="239">
        <v>3110</v>
      </c>
      <c r="D558" s="241" t="s">
        <v>3204</v>
      </c>
      <c r="E558" s="242" t="s">
        <v>3205</v>
      </c>
      <c r="F558" s="243" t="s">
        <v>1066</v>
      </c>
      <c r="G558" s="244" t="s">
        <v>3206</v>
      </c>
      <c r="H558" s="263" t="s">
        <v>1068</v>
      </c>
      <c r="I558" s="264" t="s">
        <v>3536</v>
      </c>
      <c r="J558" s="244" t="s">
        <v>178</v>
      </c>
      <c r="K558" s="248">
        <v>36630</v>
      </c>
      <c r="L558" s="265" t="s">
        <v>179</v>
      </c>
      <c r="M558" s="250">
        <v>43741</v>
      </c>
      <c r="N558" s="250"/>
      <c r="O558" s="250" t="s">
        <v>3537</v>
      </c>
      <c r="P558" s="238" t="s">
        <v>512</v>
      </c>
      <c r="Q558" s="238" t="s">
        <v>181</v>
      </c>
      <c r="R558" s="252" t="s">
        <v>182</v>
      </c>
      <c r="S558" s="252" t="s">
        <v>2430</v>
      </c>
      <c r="T558" s="251"/>
      <c r="U558" s="251"/>
      <c r="V558" s="252" t="s">
        <v>203</v>
      </c>
      <c r="W558" s="252" t="s">
        <v>190</v>
      </c>
      <c r="X558" s="252">
        <v>4</v>
      </c>
      <c r="Y558" s="253" t="s">
        <v>3538</v>
      </c>
      <c r="Z558" s="254" t="s">
        <v>186</v>
      </c>
      <c r="AA558" s="254"/>
      <c r="AB558" s="252"/>
      <c r="AC558" s="255"/>
      <c r="AD558" s="256"/>
      <c r="AE558" s="256"/>
      <c r="AF558" s="257"/>
      <c r="AG558" s="258"/>
      <c r="AH558" s="259"/>
      <c r="AI558" s="259"/>
      <c r="AJ558" s="260" t="s">
        <v>203</v>
      </c>
      <c r="AK558" s="260" t="s">
        <v>190</v>
      </c>
      <c r="AL558" s="260" t="s">
        <v>190</v>
      </c>
      <c r="AM558" s="255" t="s">
        <v>3483</v>
      </c>
      <c r="AN558" s="22">
        <v>182</v>
      </c>
      <c r="AO558" s="22">
        <v>0</v>
      </c>
      <c r="AP558" s="22">
        <v>0</v>
      </c>
      <c r="AQ558" s="22">
        <v>0</v>
      </c>
      <c r="AR558" s="22">
        <v>0</v>
      </c>
      <c r="AS558" s="22">
        <v>7</v>
      </c>
      <c r="AT558" s="22">
        <v>10</v>
      </c>
      <c r="AU558" s="316">
        <f t="shared" si="89"/>
        <v>199</v>
      </c>
      <c r="AV558" s="22">
        <v>190</v>
      </c>
      <c r="AW558" s="22">
        <v>0</v>
      </c>
      <c r="AX558" s="22">
        <v>0</v>
      </c>
      <c r="AY558" s="22">
        <v>0</v>
      </c>
      <c r="AZ558" s="22">
        <v>0</v>
      </c>
      <c r="BA558" s="22">
        <v>7</v>
      </c>
      <c r="BB558" s="22">
        <v>10</v>
      </c>
      <c r="BC558" s="316">
        <f t="shared" si="90"/>
        <v>207</v>
      </c>
      <c r="BD558" s="58">
        <f t="shared" si="91"/>
        <v>8</v>
      </c>
      <c r="BE558" s="58">
        <f t="shared" si="92"/>
        <v>0</v>
      </c>
      <c r="BF558" s="58">
        <f t="shared" si="93"/>
        <v>0</v>
      </c>
      <c r="BG558" s="58">
        <f t="shared" si="94"/>
        <v>0</v>
      </c>
      <c r="BH558" s="58">
        <f t="shared" si="95"/>
        <v>0</v>
      </c>
      <c r="BI558" s="58">
        <f t="shared" si="96"/>
        <v>0</v>
      </c>
      <c r="BJ558" s="58">
        <f t="shared" si="97"/>
        <v>0</v>
      </c>
      <c r="BK558" s="58">
        <f t="shared" si="98"/>
        <v>8</v>
      </c>
    </row>
    <row r="559" spans="1:63" ht="27" customHeight="1">
      <c r="A559" s="238">
        <f t="shared" si="99"/>
        <v>557</v>
      </c>
      <c r="B559" s="239"/>
      <c r="C559" s="239">
        <v>3415</v>
      </c>
      <c r="D559" s="241">
        <v>0</v>
      </c>
      <c r="E559" s="242" t="s">
        <v>296</v>
      </c>
      <c r="F559" s="243" t="s">
        <v>2037</v>
      </c>
      <c r="G559" s="244" t="s">
        <v>3539</v>
      </c>
      <c r="H559" s="263">
        <v>0</v>
      </c>
      <c r="I559" s="264">
        <v>0</v>
      </c>
      <c r="J559" s="247" t="s">
        <v>178</v>
      </c>
      <c r="K559" s="248">
        <v>36990</v>
      </c>
      <c r="L559" s="265" t="s">
        <v>179</v>
      </c>
      <c r="M559" s="250">
        <v>43765</v>
      </c>
      <c r="N559" s="250"/>
      <c r="O559" s="250" t="s">
        <v>26</v>
      </c>
      <c r="P559" s="238" t="s">
        <v>27</v>
      </c>
      <c r="Q559" s="238" t="s">
        <v>181</v>
      </c>
      <c r="R559" s="252" t="s">
        <v>182</v>
      </c>
      <c r="S559" s="252" t="s">
        <v>1374</v>
      </c>
      <c r="T559" s="251"/>
      <c r="U559" s="251"/>
      <c r="V559" s="252" t="s">
        <v>203</v>
      </c>
      <c r="W559" s="252">
        <v>86</v>
      </c>
      <c r="X559" s="252">
        <v>6</v>
      </c>
      <c r="Y559" s="253" t="s">
        <v>3540</v>
      </c>
      <c r="Z559" s="254"/>
      <c r="AA559" s="254" t="s">
        <v>186</v>
      </c>
      <c r="AB559" s="252"/>
      <c r="AC559" s="255"/>
      <c r="AD559" s="256"/>
      <c r="AE559" s="256"/>
      <c r="AF559" s="257"/>
      <c r="AG559" s="258"/>
      <c r="AH559" s="259"/>
      <c r="AI559" s="259"/>
      <c r="AJ559" s="260" t="s">
        <v>203</v>
      </c>
      <c r="AK559" s="260" t="s">
        <v>190</v>
      </c>
      <c r="AL559" s="260" t="s">
        <v>190</v>
      </c>
      <c r="AM559" s="255" t="s">
        <v>3483</v>
      </c>
      <c r="AN559" s="22">
        <v>177</v>
      </c>
      <c r="AO559" s="22">
        <v>0</v>
      </c>
      <c r="AP559" s="22">
        <v>0</v>
      </c>
      <c r="AQ559" s="22">
        <v>0</v>
      </c>
      <c r="AR559" s="22">
        <v>0</v>
      </c>
      <c r="AS559" s="22">
        <v>7</v>
      </c>
      <c r="AT559" s="22">
        <v>10</v>
      </c>
      <c r="AU559" s="316">
        <f t="shared" si="89"/>
        <v>194</v>
      </c>
      <c r="AV559" s="22">
        <v>185</v>
      </c>
      <c r="AW559" s="22">
        <v>0</v>
      </c>
      <c r="AX559" s="22">
        <v>0</v>
      </c>
      <c r="AY559" s="22">
        <v>0</v>
      </c>
      <c r="AZ559" s="22">
        <v>0</v>
      </c>
      <c r="BA559" s="22">
        <v>7</v>
      </c>
      <c r="BB559" s="22">
        <v>10</v>
      </c>
      <c r="BC559" s="316">
        <f t="shared" si="90"/>
        <v>202</v>
      </c>
      <c r="BD559" s="58">
        <f t="shared" si="91"/>
        <v>8</v>
      </c>
      <c r="BE559" s="58">
        <f t="shared" si="92"/>
        <v>0</v>
      </c>
      <c r="BF559" s="58">
        <f t="shared" si="93"/>
        <v>0</v>
      </c>
      <c r="BG559" s="58">
        <f t="shared" si="94"/>
        <v>0</v>
      </c>
      <c r="BH559" s="58">
        <f t="shared" si="95"/>
        <v>0</v>
      </c>
      <c r="BI559" s="58">
        <f t="shared" si="96"/>
        <v>0</v>
      </c>
      <c r="BJ559" s="58">
        <f t="shared" si="97"/>
        <v>0</v>
      </c>
      <c r="BK559" s="58">
        <f t="shared" si="98"/>
        <v>8</v>
      </c>
    </row>
    <row r="560" spans="1:63" ht="27" customHeight="1">
      <c r="A560" s="238">
        <f t="shared" si="99"/>
        <v>558</v>
      </c>
      <c r="B560" s="239"/>
      <c r="C560" s="239">
        <v>3362</v>
      </c>
      <c r="D560" s="241" t="s">
        <v>3541</v>
      </c>
      <c r="E560" s="242" t="s">
        <v>3542</v>
      </c>
      <c r="F560" s="243" t="s">
        <v>245</v>
      </c>
      <c r="G560" s="244" t="s">
        <v>3543</v>
      </c>
      <c r="H560" s="263" t="s">
        <v>329</v>
      </c>
      <c r="I560" s="264" t="s">
        <v>3544</v>
      </c>
      <c r="J560" s="247" t="s">
        <v>178</v>
      </c>
      <c r="K560" s="248">
        <v>29772</v>
      </c>
      <c r="L560" s="265" t="s">
        <v>179</v>
      </c>
      <c r="M560" s="250">
        <v>43755</v>
      </c>
      <c r="N560" s="250"/>
      <c r="O560" s="250" t="s">
        <v>3545</v>
      </c>
      <c r="P560" s="238" t="s">
        <v>339</v>
      </c>
      <c r="Q560" s="238" t="s">
        <v>181</v>
      </c>
      <c r="R560" s="252" t="s">
        <v>182</v>
      </c>
      <c r="S560" s="252" t="s">
        <v>2397</v>
      </c>
      <c r="T560" s="251"/>
      <c r="U560" s="251"/>
      <c r="V560" s="252" t="s">
        <v>190</v>
      </c>
      <c r="W560" s="252" t="s">
        <v>190</v>
      </c>
      <c r="X560" s="252">
        <v>1</v>
      </c>
      <c r="Y560" s="253" t="s">
        <v>3546</v>
      </c>
      <c r="Z560" s="254"/>
      <c r="AA560" s="254" t="s">
        <v>186</v>
      </c>
      <c r="AB560" s="252"/>
      <c r="AC560" s="255"/>
      <c r="AD560" s="256"/>
      <c r="AE560" s="256"/>
      <c r="AF560" s="257"/>
      <c r="AG560" s="258"/>
      <c r="AH560" s="259"/>
      <c r="AI560" s="259"/>
      <c r="AJ560" s="260" t="s">
        <v>203</v>
      </c>
      <c r="AK560" s="260" t="s">
        <v>190</v>
      </c>
      <c r="AL560" s="260" t="s">
        <v>190</v>
      </c>
      <c r="AM560" s="255" t="s">
        <v>3547</v>
      </c>
      <c r="AN560" s="22">
        <v>182</v>
      </c>
      <c r="AO560" s="22">
        <v>0</v>
      </c>
      <c r="AP560" s="22">
        <v>0</v>
      </c>
      <c r="AQ560" s="22">
        <v>0</v>
      </c>
      <c r="AR560" s="22">
        <v>0</v>
      </c>
      <c r="AS560" s="22">
        <v>7</v>
      </c>
      <c r="AT560" s="22">
        <v>10</v>
      </c>
      <c r="AU560" s="316">
        <f t="shared" si="89"/>
        <v>199</v>
      </c>
      <c r="AV560" s="22">
        <v>190</v>
      </c>
      <c r="AW560" s="22">
        <v>0</v>
      </c>
      <c r="AX560" s="22">
        <v>0</v>
      </c>
      <c r="AY560" s="22">
        <v>0</v>
      </c>
      <c r="AZ560" s="22">
        <v>0</v>
      </c>
      <c r="BA560" s="22">
        <v>7</v>
      </c>
      <c r="BB560" s="22">
        <v>10</v>
      </c>
      <c r="BC560" s="316">
        <f t="shared" si="90"/>
        <v>207</v>
      </c>
      <c r="BD560" s="58">
        <f t="shared" si="91"/>
        <v>8</v>
      </c>
      <c r="BE560" s="58">
        <f t="shared" si="92"/>
        <v>0</v>
      </c>
      <c r="BF560" s="58">
        <f t="shared" si="93"/>
        <v>0</v>
      </c>
      <c r="BG560" s="58">
        <f t="shared" si="94"/>
        <v>0</v>
      </c>
      <c r="BH560" s="58">
        <f t="shared" si="95"/>
        <v>0</v>
      </c>
      <c r="BI560" s="58">
        <f t="shared" si="96"/>
        <v>0</v>
      </c>
      <c r="BJ560" s="58">
        <f t="shared" si="97"/>
        <v>0</v>
      </c>
      <c r="BK560" s="58">
        <f t="shared" si="98"/>
        <v>8</v>
      </c>
    </row>
    <row r="561" spans="1:63" ht="27" customHeight="1">
      <c r="A561" s="238">
        <f t="shared" si="99"/>
        <v>559</v>
      </c>
      <c r="B561" s="239"/>
      <c r="C561" s="239">
        <v>3412</v>
      </c>
      <c r="D561" s="241" t="s">
        <v>3548</v>
      </c>
      <c r="E561" s="242" t="s">
        <v>3549</v>
      </c>
      <c r="F561" s="243" t="s">
        <v>963</v>
      </c>
      <c r="G561" s="244" t="s">
        <v>2525</v>
      </c>
      <c r="H561" s="263" t="s">
        <v>964</v>
      </c>
      <c r="I561" s="264" t="s">
        <v>3550</v>
      </c>
      <c r="J561" s="247" t="s">
        <v>178</v>
      </c>
      <c r="K561" s="248">
        <v>30198</v>
      </c>
      <c r="L561" s="265" t="s">
        <v>179</v>
      </c>
      <c r="M561" s="250">
        <v>43763</v>
      </c>
      <c r="N561" s="250"/>
      <c r="O561" s="250" t="s">
        <v>3551</v>
      </c>
      <c r="P561" s="238" t="s">
        <v>265</v>
      </c>
      <c r="Q561" s="238" t="s">
        <v>181</v>
      </c>
      <c r="R561" s="252" t="s">
        <v>182</v>
      </c>
      <c r="S561" s="252" t="s">
        <v>2430</v>
      </c>
      <c r="T561" s="251"/>
      <c r="U561" s="251"/>
      <c r="V561" s="252" t="s">
        <v>190</v>
      </c>
      <c r="W561" s="252" t="s">
        <v>190</v>
      </c>
      <c r="X561" s="252">
        <v>5</v>
      </c>
      <c r="Y561" s="253" t="s">
        <v>3552</v>
      </c>
      <c r="Z561" s="254" t="s">
        <v>186</v>
      </c>
      <c r="AA561" s="254"/>
      <c r="AB561" s="252"/>
      <c r="AC561" s="255"/>
      <c r="AD561" s="256"/>
      <c r="AE561" s="256"/>
      <c r="AF561" s="257"/>
      <c r="AG561" s="258"/>
      <c r="AH561" s="259"/>
      <c r="AI561" s="259"/>
      <c r="AJ561" s="260" t="s">
        <v>203</v>
      </c>
      <c r="AK561" s="260" t="s">
        <v>190</v>
      </c>
      <c r="AL561" s="260" t="s">
        <v>190</v>
      </c>
      <c r="AM561" s="255" t="s">
        <v>3553</v>
      </c>
      <c r="AN561" s="22">
        <v>182</v>
      </c>
      <c r="AO561" s="22">
        <v>0</v>
      </c>
      <c r="AP561" s="22">
        <v>0</v>
      </c>
      <c r="AQ561" s="22">
        <v>0</v>
      </c>
      <c r="AR561" s="22">
        <v>0</v>
      </c>
      <c r="AS561" s="22">
        <v>7</v>
      </c>
      <c r="AT561" s="22">
        <v>10</v>
      </c>
      <c r="AU561" s="316">
        <f t="shared" si="89"/>
        <v>199</v>
      </c>
      <c r="AV561" s="22">
        <v>190</v>
      </c>
      <c r="AW561" s="22">
        <v>0</v>
      </c>
      <c r="AX561" s="22">
        <v>0</v>
      </c>
      <c r="AY561" s="22">
        <v>0</v>
      </c>
      <c r="AZ561" s="22">
        <v>0</v>
      </c>
      <c r="BA561" s="22">
        <v>7</v>
      </c>
      <c r="BB561" s="22">
        <v>10</v>
      </c>
      <c r="BC561" s="316">
        <f t="shared" si="90"/>
        <v>207</v>
      </c>
      <c r="BD561" s="58">
        <f t="shared" si="91"/>
        <v>8</v>
      </c>
      <c r="BE561" s="58">
        <f t="shared" si="92"/>
        <v>0</v>
      </c>
      <c r="BF561" s="58">
        <f t="shared" si="93"/>
        <v>0</v>
      </c>
      <c r="BG561" s="58">
        <f t="shared" si="94"/>
        <v>0</v>
      </c>
      <c r="BH561" s="58">
        <f t="shared" si="95"/>
        <v>0</v>
      </c>
      <c r="BI561" s="58">
        <f t="shared" si="96"/>
        <v>0</v>
      </c>
      <c r="BJ561" s="58">
        <f t="shared" si="97"/>
        <v>0</v>
      </c>
      <c r="BK561" s="58">
        <f t="shared" si="98"/>
        <v>8</v>
      </c>
    </row>
    <row r="562" spans="1:63" ht="27" customHeight="1">
      <c r="A562" s="238">
        <f t="shared" si="99"/>
        <v>560</v>
      </c>
      <c r="B562" s="239"/>
      <c r="C562" s="239">
        <v>3409</v>
      </c>
      <c r="D562" s="241" t="s">
        <v>3554</v>
      </c>
      <c r="E562" s="242" t="s">
        <v>3555</v>
      </c>
      <c r="F562" s="243" t="s">
        <v>3556</v>
      </c>
      <c r="G562" s="244" t="s">
        <v>2575</v>
      </c>
      <c r="H562" s="263" t="s">
        <v>3557</v>
      </c>
      <c r="I562" s="264" t="s">
        <v>3558</v>
      </c>
      <c r="J562" s="247" t="s">
        <v>178</v>
      </c>
      <c r="K562" s="248">
        <v>32092</v>
      </c>
      <c r="L562" s="265" t="s">
        <v>179</v>
      </c>
      <c r="M562" s="250">
        <v>43763</v>
      </c>
      <c r="N562" s="250"/>
      <c r="O562" s="250" t="s">
        <v>3559</v>
      </c>
      <c r="P562" s="238" t="s">
        <v>301</v>
      </c>
      <c r="Q562" s="238" t="s">
        <v>181</v>
      </c>
      <c r="R562" s="252" t="s">
        <v>182</v>
      </c>
      <c r="S562" s="252" t="s">
        <v>2359</v>
      </c>
      <c r="T562" s="251"/>
      <c r="U562" s="251"/>
      <c r="V562" s="252" t="s">
        <v>190</v>
      </c>
      <c r="W562" s="252" t="s">
        <v>190</v>
      </c>
      <c r="X562" s="252">
        <v>4</v>
      </c>
      <c r="Y562" s="253" t="s">
        <v>3560</v>
      </c>
      <c r="Z562" s="254"/>
      <c r="AA562" s="254" t="s">
        <v>186</v>
      </c>
      <c r="AB562" s="252"/>
      <c r="AC562" s="255"/>
      <c r="AD562" s="256" t="s">
        <v>188</v>
      </c>
      <c r="AE562" s="256"/>
      <c r="AF562" s="257"/>
      <c r="AG562" s="258"/>
      <c r="AH562" s="259"/>
      <c r="AI562" s="259"/>
      <c r="AJ562" s="260" t="s">
        <v>203</v>
      </c>
      <c r="AK562" s="260" t="s">
        <v>190</v>
      </c>
      <c r="AL562" s="260" t="s">
        <v>190</v>
      </c>
      <c r="AM562" s="255" t="s">
        <v>3547</v>
      </c>
      <c r="AN562" s="22">
        <v>182</v>
      </c>
      <c r="AO562" s="22">
        <v>0</v>
      </c>
      <c r="AP562" s="22">
        <v>0</v>
      </c>
      <c r="AQ562" s="22">
        <v>0</v>
      </c>
      <c r="AR562" s="22">
        <v>0</v>
      </c>
      <c r="AS562" s="22">
        <v>7</v>
      </c>
      <c r="AT562" s="22">
        <v>10</v>
      </c>
      <c r="AU562" s="316">
        <f t="shared" si="89"/>
        <v>199</v>
      </c>
      <c r="AV562" s="22">
        <v>190</v>
      </c>
      <c r="AW562" s="22">
        <v>0</v>
      </c>
      <c r="AX562" s="22">
        <v>0</v>
      </c>
      <c r="AY562" s="22">
        <v>0</v>
      </c>
      <c r="AZ562" s="22">
        <v>0</v>
      </c>
      <c r="BA562" s="22">
        <v>7</v>
      </c>
      <c r="BB562" s="22">
        <v>10</v>
      </c>
      <c r="BC562" s="316">
        <f t="shared" si="90"/>
        <v>207</v>
      </c>
      <c r="BD562" s="58">
        <f t="shared" si="91"/>
        <v>8</v>
      </c>
      <c r="BE562" s="58">
        <f t="shared" si="92"/>
        <v>0</v>
      </c>
      <c r="BF562" s="58">
        <f t="shared" si="93"/>
        <v>0</v>
      </c>
      <c r="BG562" s="58">
        <f t="shared" si="94"/>
        <v>0</v>
      </c>
      <c r="BH562" s="58">
        <f t="shared" si="95"/>
        <v>0</v>
      </c>
      <c r="BI562" s="58">
        <f t="shared" si="96"/>
        <v>0</v>
      </c>
      <c r="BJ562" s="58">
        <f t="shared" si="97"/>
        <v>0</v>
      </c>
      <c r="BK562" s="58">
        <f t="shared" si="98"/>
        <v>8</v>
      </c>
    </row>
    <row r="563" spans="1:63" ht="27" customHeight="1">
      <c r="A563" s="238">
        <f t="shared" si="99"/>
        <v>561</v>
      </c>
      <c r="B563" s="239"/>
      <c r="C563" s="239">
        <v>3397</v>
      </c>
      <c r="D563" s="241" t="s">
        <v>3306</v>
      </c>
      <c r="E563" s="242" t="s">
        <v>3307</v>
      </c>
      <c r="F563" s="243" t="s">
        <v>830</v>
      </c>
      <c r="G563" s="244" t="s">
        <v>1124</v>
      </c>
      <c r="H563" s="263" t="s">
        <v>1804</v>
      </c>
      <c r="I563" s="264" t="s">
        <v>1126</v>
      </c>
      <c r="J563" s="247" t="s">
        <v>178</v>
      </c>
      <c r="K563" s="248">
        <v>30788</v>
      </c>
      <c r="L563" s="265" t="s">
        <v>179</v>
      </c>
      <c r="M563" s="250">
        <v>43755</v>
      </c>
      <c r="N563" s="250"/>
      <c r="O563" s="250" t="s">
        <v>3551</v>
      </c>
      <c r="P563" s="238" t="s">
        <v>265</v>
      </c>
      <c r="Q563" s="238" t="s">
        <v>181</v>
      </c>
      <c r="R563" s="252" t="s">
        <v>182</v>
      </c>
      <c r="S563" s="252" t="s">
        <v>2430</v>
      </c>
      <c r="T563" s="251"/>
      <c r="U563" s="251"/>
      <c r="V563" s="252" t="s">
        <v>190</v>
      </c>
      <c r="W563" s="252" t="s">
        <v>190</v>
      </c>
      <c r="X563" s="252">
        <v>2</v>
      </c>
      <c r="Y563" s="253" t="s">
        <v>3561</v>
      </c>
      <c r="Z563" s="254" t="s">
        <v>186</v>
      </c>
      <c r="AA563" s="254"/>
      <c r="AB563" s="252"/>
      <c r="AC563" s="255"/>
      <c r="AD563" s="256"/>
      <c r="AE563" s="256"/>
      <c r="AF563" s="257"/>
      <c r="AG563" s="258"/>
      <c r="AH563" s="259"/>
      <c r="AI563" s="259"/>
      <c r="AJ563" s="260" t="s">
        <v>203</v>
      </c>
      <c r="AK563" s="260" t="s">
        <v>190</v>
      </c>
      <c r="AL563" s="260" t="s">
        <v>190</v>
      </c>
      <c r="AM563" s="255" t="s">
        <v>2354</v>
      </c>
      <c r="AN563" s="22">
        <v>182</v>
      </c>
      <c r="AO563" s="22">
        <v>0</v>
      </c>
      <c r="AP563" s="22">
        <v>0</v>
      </c>
      <c r="AQ563" s="22">
        <v>0</v>
      </c>
      <c r="AR563" s="22">
        <v>0</v>
      </c>
      <c r="AS563" s="22">
        <v>7</v>
      </c>
      <c r="AT563" s="22">
        <v>10</v>
      </c>
      <c r="AU563" s="316">
        <f t="shared" si="89"/>
        <v>199</v>
      </c>
      <c r="AV563" s="22">
        <v>190</v>
      </c>
      <c r="AW563" s="22">
        <v>0</v>
      </c>
      <c r="AX563" s="22">
        <v>0</v>
      </c>
      <c r="AY563" s="22">
        <v>0</v>
      </c>
      <c r="AZ563" s="22">
        <v>0</v>
      </c>
      <c r="BA563" s="22">
        <v>7</v>
      </c>
      <c r="BB563" s="22">
        <v>10</v>
      </c>
      <c r="BC563" s="316">
        <f t="shared" si="90"/>
        <v>207</v>
      </c>
      <c r="BD563" s="58">
        <f t="shared" si="91"/>
        <v>8</v>
      </c>
      <c r="BE563" s="58">
        <f t="shared" si="92"/>
        <v>0</v>
      </c>
      <c r="BF563" s="58">
        <f t="shared" si="93"/>
        <v>0</v>
      </c>
      <c r="BG563" s="58">
        <f t="shared" si="94"/>
        <v>0</v>
      </c>
      <c r="BH563" s="58">
        <f t="shared" si="95"/>
        <v>0</v>
      </c>
      <c r="BI563" s="58">
        <f t="shared" si="96"/>
        <v>0</v>
      </c>
      <c r="BJ563" s="58">
        <f t="shared" si="97"/>
        <v>0</v>
      </c>
      <c r="BK563" s="58">
        <f t="shared" si="98"/>
        <v>8</v>
      </c>
    </row>
    <row r="564" spans="1:63" ht="27" customHeight="1">
      <c r="A564" s="238">
        <f t="shared" si="99"/>
        <v>562</v>
      </c>
      <c r="B564" s="239"/>
      <c r="C564" s="239">
        <v>3398</v>
      </c>
      <c r="D564" s="241" t="s">
        <v>3562</v>
      </c>
      <c r="E564" s="242" t="s">
        <v>3563</v>
      </c>
      <c r="F564" s="243" t="s">
        <v>1037</v>
      </c>
      <c r="G564" s="244" t="s">
        <v>3564</v>
      </c>
      <c r="H564" s="263" t="s">
        <v>1765</v>
      </c>
      <c r="I564" s="264" t="s">
        <v>3565</v>
      </c>
      <c r="J564" s="247" t="s">
        <v>178</v>
      </c>
      <c r="K564" s="248">
        <v>31788</v>
      </c>
      <c r="L564" s="265" t="s">
        <v>179</v>
      </c>
      <c r="M564" s="250">
        <v>43760</v>
      </c>
      <c r="N564" s="250"/>
      <c r="O564" s="250" t="s">
        <v>3545</v>
      </c>
      <c r="P564" s="238" t="s">
        <v>339</v>
      </c>
      <c r="Q564" s="238" t="s">
        <v>181</v>
      </c>
      <c r="R564" s="252" t="s">
        <v>182</v>
      </c>
      <c r="S564" s="252" t="s">
        <v>2598</v>
      </c>
      <c r="T564" s="251"/>
      <c r="U564" s="251"/>
      <c r="V564" s="252" t="s">
        <v>190</v>
      </c>
      <c r="W564" s="252" t="s">
        <v>190</v>
      </c>
      <c r="X564" s="252">
        <v>7</v>
      </c>
      <c r="Y564" s="253" t="s">
        <v>3566</v>
      </c>
      <c r="Z564" s="254"/>
      <c r="AA564" s="254" t="s">
        <v>186</v>
      </c>
      <c r="AB564" s="252"/>
      <c r="AC564" s="255"/>
      <c r="AD564" s="256" t="s">
        <v>188</v>
      </c>
      <c r="AE564" s="256" t="s">
        <v>188</v>
      </c>
      <c r="AF564" s="257"/>
      <c r="AG564" s="258"/>
      <c r="AH564" s="259"/>
      <c r="AI564" s="259"/>
      <c r="AJ564" s="260" t="s">
        <v>203</v>
      </c>
      <c r="AK564" s="260" t="s">
        <v>190</v>
      </c>
      <c r="AL564" s="260" t="s">
        <v>190</v>
      </c>
      <c r="AM564" s="255" t="s">
        <v>2354</v>
      </c>
      <c r="AN564" s="22">
        <v>182</v>
      </c>
      <c r="AO564" s="22">
        <v>0</v>
      </c>
      <c r="AP564" s="22">
        <v>0</v>
      </c>
      <c r="AQ564" s="22">
        <v>0</v>
      </c>
      <c r="AR564" s="22">
        <v>0</v>
      </c>
      <c r="AS564" s="22">
        <v>7</v>
      </c>
      <c r="AT564" s="22">
        <v>10</v>
      </c>
      <c r="AU564" s="316">
        <f t="shared" si="89"/>
        <v>199</v>
      </c>
      <c r="AV564" s="22">
        <v>190</v>
      </c>
      <c r="AW564" s="22">
        <v>0</v>
      </c>
      <c r="AX564" s="22">
        <v>0</v>
      </c>
      <c r="AY564" s="22">
        <v>0</v>
      </c>
      <c r="AZ564" s="22">
        <v>0</v>
      </c>
      <c r="BA564" s="22">
        <v>7</v>
      </c>
      <c r="BB564" s="22">
        <v>10</v>
      </c>
      <c r="BC564" s="316">
        <f t="shared" si="90"/>
        <v>207</v>
      </c>
      <c r="BD564" s="58">
        <f t="shared" si="91"/>
        <v>8</v>
      </c>
      <c r="BE564" s="58">
        <f t="shared" si="92"/>
        <v>0</v>
      </c>
      <c r="BF564" s="58">
        <f t="shared" si="93"/>
        <v>0</v>
      </c>
      <c r="BG564" s="58">
        <f t="shared" si="94"/>
        <v>0</v>
      </c>
      <c r="BH564" s="58">
        <f t="shared" si="95"/>
        <v>0</v>
      </c>
      <c r="BI564" s="58">
        <f t="shared" si="96"/>
        <v>0</v>
      </c>
      <c r="BJ564" s="58">
        <f t="shared" si="97"/>
        <v>0</v>
      </c>
      <c r="BK564" s="58">
        <f t="shared" si="98"/>
        <v>8</v>
      </c>
    </row>
    <row r="565" spans="1:63" ht="27" customHeight="1">
      <c r="A565" s="238">
        <f t="shared" si="99"/>
        <v>563</v>
      </c>
      <c r="B565" s="239"/>
      <c r="C565" s="239">
        <v>3359</v>
      </c>
      <c r="D565" s="241" t="s">
        <v>3567</v>
      </c>
      <c r="E565" s="242" t="s">
        <v>3568</v>
      </c>
      <c r="F565" s="243" t="s">
        <v>1517</v>
      </c>
      <c r="G565" s="244" t="s">
        <v>1424</v>
      </c>
      <c r="H565" s="263" t="s">
        <v>1543</v>
      </c>
      <c r="I565" s="264" t="s">
        <v>1426</v>
      </c>
      <c r="J565" s="247" t="s">
        <v>178</v>
      </c>
      <c r="K565" s="248">
        <v>34182</v>
      </c>
      <c r="L565" s="265" t="s">
        <v>179</v>
      </c>
      <c r="M565" s="250">
        <v>43755</v>
      </c>
      <c r="N565" s="250"/>
      <c r="O565" s="250" t="s">
        <v>3569</v>
      </c>
      <c r="P565" s="238" t="s">
        <v>386</v>
      </c>
      <c r="Q565" s="238" t="s">
        <v>181</v>
      </c>
      <c r="R565" s="252" t="s">
        <v>182</v>
      </c>
      <c r="S565" s="252" t="s">
        <v>2598</v>
      </c>
      <c r="T565" s="251"/>
      <c r="U565" s="251"/>
      <c r="V565" s="252" t="s">
        <v>190</v>
      </c>
      <c r="W565" s="252" t="s">
        <v>190</v>
      </c>
      <c r="X565" s="252">
        <v>8</v>
      </c>
      <c r="Y565" s="253" t="s">
        <v>3570</v>
      </c>
      <c r="Z565" s="254"/>
      <c r="AA565" s="254" t="s">
        <v>186</v>
      </c>
      <c r="AB565" s="252"/>
      <c r="AC565" s="255"/>
      <c r="AD565" s="256"/>
      <c r="AE565" s="256"/>
      <c r="AF565" s="257"/>
      <c r="AG565" s="258"/>
      <c r="AH565" s="259"/>
      <c r="AI565" s="259"/>
      <c r="AJ565" s="260" t="s">
        <v>203</v>
      </c>
      <c r="AK565" s="260" t="s">
        <v>190</v>
      </c>
      <c r="AL565" s="260" t="s">
        <v>190</v>
      </c>
      <c r="AM565" s="255" t="s">
        <v>3547</v>
      </c>
      <c r="AN565" s="22">
        <v>182</v>
      </c>
      <c r="AO565" s="22">
        <v>0</v>
      </c>
      <c r="AP565" s="22">
        <v>0</v>
      </c>
      <c r="AQ565" s="22">
        <v>0</v>
      </c>
      <c r="AR565" s="22">
        <v>0</v>
      </c>
      <c r="AS565" s="22">
        <v>7</v>
      </c>
      <c r="AT565" s="22">
        <v>10</v>
      </c>
      <c r="AU565" s="316">
        <f t="shared" si="89"/>
        <v>199</v>
      </c>
      <c r="AV565" s="22">
        <v>190</v>
      </c>
      <c r="AW565" s="22">
        <v>0</v>
      </c>
      <c r="AX565" s="22">
        <v>0</v>
      </c>
      <c r="AY565" s="22">
        <v>0</v>
      </c>
      <c r="AZ565" s="22">
        <v>0</v>
      </c>
      <c r="BA565" s="22">
        <v>7</v>
      </c>
      <c r="BB565" s="22">
        <v>10</v>
      </c>
      <c r="BC565" s="316">
        <f t="shared" si="90"/>
        <v>207</v>
      </c>
      <c r="BD565" s="58">
        <f t="shared" si="91"/>
        <v>8</v>
      </c>
      <c r="BE565" s="58">
        <f t="shared" si="92"/>
        <v>0</v>
      </c>
      <c r="BF565" s="58">
        <f t="shared" si="93"/>
        <v>0</v>
      </c>
      <c r="BG565" s="58">
        <f t="shared" si="94"/>
        <v>0</v>
      </c>
      <c r="BH565" s="58">
        <f t="shared" si="95"/>
        <v>0</v>
      </c>
      <c r="BI565" s="58">
        <f t="shared" si="96"/>
        <v>0</v>
      </c>
      <c r="BJ565" s="58">
        <f t="shared" si="97"/>
        <v>0</v>
      </c>
      <c r="BK565" s="58">
        <f t="shared" si="98"/>
        <v>8</v>
      </c>
    </row>
    <row r="566" spans="1:63" ht="27" customHeight="1">
      <c r="A566" s="238">
        <f t="shared" si="99"/>
        <v>564</v>
      </c>
      <c r="B566" s="239"/>
      <c r="C566" s="239">
        <v>3406</v>
      </c>
      <c r="D566" s="241" t="s">
        <v>3571</v>
      </c>
      <c r="E566" s="242" t="s">
        <v>3572</v>
      </c>
      <c r="F566" s="243" t="s">
        <v>261</v>
      </c>
      <c r="G566" s="244" t="s">
        <v>831</v>
      </c>
      <c r="H566" s="263" t="s">
        <v>18</v>
      </c>
      <c r="I566" s="264" t="s">
        <v>1919</v>
      </c>
      <c r="J566" s="247" t="s">
        <v>178</v>
      </c>
      <c r="K566" s="248">
        <v>30867</v>
      </c>
      <c r="L566" s="265" t="s">
        <v>179</v>
      </c>
      <c r="M566" s="250">
        <v>43760</v>
      </c>
      <c r="N566" s="250"/>
      <c r="O566" s="250" t="s">
        <v>3573</v>
      </c>
      <c r="P566" s="238" t="s">
        <v>1085</v>
      </c>
      <c r="Q566" s="238" t="s">
        <v>181</v>
      </c>
      <c r="R566" s="252" t="s">
        <v>182</v>
      </c>
      <c r="S566" s="252" t="s">
        <v>2359</v>
      </c>
      <c r="T566" s="251"/>
      <c r="U566" s="251"/>
      <c r="V566" s="252" t="s">
        <v>190</v>
      </c>
      <c r="W566" s="252" t="s">
        <v>190</v>
      </c>
      <c r="X566" s="252">
        <v>2</v>
      </c>
      <c r="Y566" s="253" t="s">
        <v>3574</v>
      </c>
      <c r="Z566" s="254" t="s">
        <v>186</v>
      </c>
      <c r="AA566" s="254"/>
      <c r="AB566" s="252"/>
      <c r="AC566" s="255"/>
      <c r="AD566" s="256"/>
      <c r="AE566" s="256"/>
      <c r="AF566" s="257"/>
      <c r="AG566" s="258"/>
      <c r="AH566" s="259"/>
      <c r="AI566" s="259"/>
      <c r="AJ566" s="260" t="s">
        <v>203</v>
      </c>
      <c r="AK566" s="260" t="s">
        <v>190</v>
      </c>
      <c r="AL566" s="260" t="s">
        <v>190</v>
      </c>
      <c r="AM566" s="255" t="s">
        <v>3575</v>
      </c>
      <c r="AN566" s="22">
        <v>182</v>
      </c>
      <c r="AO566" s="22">
        <v>0</v>
      </c>
      <c r="AP566" s="22">
        <v>0</v>
      </c>
      <c r="AQ566" s="22">
        <v>0</v>
      </c>
      <c r="AR566" s="22">
        <v>0</v>
      </c>
      <c r="AS566" s="22">
        <v>7</v>
      </c>
      <c r="AT566" s="22">
        <v>10</v>
      </c>
      <c r="AU566" s="316">
        <f t="shared" si="89"/>
        <v>199</v>
      </c>
      <c r="AV566" s="22">
        <v>190</v>
      </c>
      <c r="AW566" s="22">
        <v>0</v>
      </c>
      <c r="AX566" s="22">
        <v>0</v>
      </c>
      <c r="AY566" s="22">
        <v>0</v>
      </c>
      <c r="AZ566" s="22">
        <v>0</v>
      </c>
      <c r="BA566" s="22">
        <v>7</v>
      </c>
      <c r="BB566" s="22">
        <v>10</v>
      </c>
      <c r="BC566" s="316">
        <f t="shared" si="90"/>
        <v>207</v>
      </c>
      <c r="BD566" s="58">
        <f t="shared" si="91"/>
        <v>8</v>
      </c>
      <c r="BE566" s="58">
        <f t="shared" si="92"/>
        <v>0</v>
      </c>
      <c r="BF566" s="58">
        <f t="shared" si="93"/>
        <v>0</v>
      </c>
      <c r="BG566" s="58">
        <f t="shared" si="94"/>
        <v>0</v>
      </c>
      <c r="BH566" s="58">
        <f t="shared" si="95"/>
        <v>0</v>
      </c>
      <c r="BI566" s="58">
        <f t="shared" si="96"/>
        <v>0</v>
      </c>
      <c r="BJ566" s="58">
        <f t="shared" si="97"/>
        <v>0</v>
      </c>
      <c r="BK566" s="58">
        <f t="shared" si="98"/>
        <v>8</v>
      </c>
    </row>
    <row r="567" spans="1:63" ht="27" customHeight="1">
      <c r="A567" s="238">
        <f t="shared" si="99"/>
        <v>565</v>
      </c>
      <c r="B567" s="239"/>
      <c r="C567" s="239">
        <v>3394</v>
      </c>
      <c r="D567" s="241" t="s">
        <v>3576</v>
      </c>
      <c r="E567" s="242" t="s">
        <v>3577</v>
      </c>
      <c r="F567" s="243" t="s">
        <v>3578</v>
      </c>
      <c r="G567" s="244" t="s">
        <v>3579</v>
      </c>
      <c r="H567" s="263" t="s">
        <v>1994</v>
      </c>
      <c r="I567" s="264" t="s">
        <v>3580</v>
      </c>
      <c r="J567" s="247" t="s">
        <v>178</v>
      </c>
      <c r="K567" s="248">
        <v>27852</v>
      </c>
      <c r="L567" s="265" t="s">
        <v>179</v>
      </c>
      <c r="M567" s="250">
        <v>43760</v>
      </c>
      <c r="N567" s="250"/>
      <c r="O567" s="250" t="s">
        <v>3537</v>
      </c>
      <c r="P567" s="238" t="s">
        <v>512</v>
      </c>
      <c r="Q567" s="238" t="s">
        <v>181</v>
      </c>
      <c r="R567" s="252" t="s">
        <v>182</v>
      </c>
      <c r="S567" s="252" t="s">
        <v>2430</v>
      </c>
      <c r="T567" s="251"/>
      <c r="U567" s="251"/>
      <c r="V567" s="252" t="s">
        <v>190</v>
      </c>
      <c r="W567" s="252" t="s">
        <v>190</v>
      </c>
      <c r="X567" s="252"/>
      <c r="Y567" s="253" t="s">
        <v>3581</v>
      </c>
      <c r="Z567" s="254"/>
      <c r="AA567" s="254" t="s">
        <v>186</v>
      </c>
      <c r="AB567" s="252"/>
      <c r="AC567" s="255"/>
      <c r="AD567" s="256" t="s">
        <v>188</v>
      </c>
      <c r="AE567" s="256" t="s">
        <v>188</v>
      </c>
      <c r="AF567" s="257"/>
      <c r="AG567" s="258"/>
      <c r="AH567" s="259"/>
      <c r="AI567" s="259"/>
      <c r="AJ567" s="260" t="s">
        <v>203</v>
      </c>
      <c r="AK567" s="260" t="s">
        <v>190</v>
      </c>
      <c r="AL567" s="260" t="s">
        <v>190</v>
      </c>
      <c r="AM567" s="255" t="s">
        <v>2354</v>
      </c>
      <c r="AN567" s="22">
        <v>182</v>
      </c>
      <c r="AO567" s="22">
        <v>0</v>
      </c>
      <c r="AP567" s="22">
        <v>0</v>
      </c>
      <c r="AQ567" s="22">
        <v>0</v>
      </c>
      <c r="AR567" s="22">
        <v>0</v>
      </c>
      <c r="AS567" s="22">
        <v>7</v>
      </c>
      <c r="AT567" s="22">
        <v>10</v>
      </c>
      <c r="AU567" s="316">
        <f t="shared" si="89"/>
        <v>199</v>
      </c>
      <c r="AV567" s="22">
        <v>190</v>
      </c>
      <c r="AW567" s="22">
        <v>0</v>
      </c>
      <c r="AX567" s="22">
        <v>0</v>
      </c>
      <c r="AY567" s="22">
        <v>0</v>
      </c>
      <c r="AZ567" s="22">
        <v>0</v>
      </c>
      <c r="BA567" s="22">
        <v>7</v>
      </c>
      <c r="BB567" s="22">
        <v>10</v>
      </c>
      <c r="BC567" s="316">
        <f t="shared" si="90"/>
        <v>207</v>
      </c>
      <c r="BD567" s="58">
        <f t="shared" si="91"/>
        <v>8</v>
      </c>
      <c r="BE567" s="58">
        <f t="shared" si="92"/>
        <v>0</v>
      </c>
      <c r="BF567" s="58">
        <f t="shared" si="93"/>
        <v>0</v>
      </c>
      <c r="BG567" s="58">
        <f t="shared" si="94"/>
        <v>0</v>
      </c>
      <c r="BH567" s="58">
        <f t="shared" si="95"/>
        <v>0</v>
      </c>
      <c r="BI567" s="58">
        <f t="shared" si="96"/>
        <v>0</v>
      </c>
      <c r="BJ567" s="58">
        <f t="shared" si="97"/>
        <v>0</v>
      </c>
      <c r="BK567" s="58">
        <f t="shared" si="98"/>
        <v>8</v>
      </c>
    </row>
    <row r="568" spans="1:63" ht="27" customHeight="1">
      <c r="A568" s="238">
        <f t="shared" si="99"/>
        <v>566</v>
      </c>
      <c r="B568" s="239"/>
      <c r="C568" s="239">
        <v>3395</v>
      </c>
      <c r="D568" s="241" t="s">
        <v>3582</v>
      </c>
      <c r="E568" s="242" t="s">
        <v>3583</v>
      </c>
      <c r="F568" s="243" t="s">
        <v>457</v>
      </c>
      <c r="G568" s="244" t="s">
        <v>3297</v>
      </c>
      <c r="H568" s="263" t="s">
        <v>3215</v>
      </c>
      <c r="I568" s="264" t="s">
        <v>3584</v>
      </c>
      <c r="J568" s="247" t="s">
        <v>178</v>
      </c>
      <c r="K568" s="248">
        <v>33624</v>
      </c>
      <c r="L568" s="265" t="s">
        <v>179</v>
      </c>
      <c r="M568" s="250">
        <v>43760</v>
      </c>
      <c r="N568" s="250"/>
      <c r="O568" s="250" t="s">
        <v>3585</v>
      </c>
      <c r="P568" s="238" t="s">
        <v>348</v>
      </c>
      <c r="Q568" s="238" t="s">
        <v>181</v>
      </c>
      <c r="R568" s="252" t="s">
        <v>182</v>
      </c>
      <c r="S568" s="252" t="s">
        <v>2384</v>
      </c>
      <c r="T568" s="251"/>
      <c r="U568" s="251"/>
      <c r="V568" s="252" t="s">
        <v>190</v>
      </c>
      <c r="W568" s="252" t="s">
        <v>190</v>
      </c>
      <c r="X568" s="252">
        <v>6</v>
      </c>
      <c r="Y568" s="253" t="s">
        <v>3586</v>
      </c>
      <c r="Z568" s="254" t="s">
        <v>186</v>
      </c>
      <c r="AA568" s="254"/>
      <c r="AB568" s="252"/>
      <c r="AC568" s="255"/>
      <c r="AD568" s="256"/>
      <c r="AE568" s="256"/>
      <c r="AF568" s="257"/>
      <c r="AG568" s="258"/>
      <c r="AH568" s="259"/>
      <c r="AI568" s="259"/>
      <c r="AJ568" s="260" t="s">
        <v>203</v>
      </c>
      <c r="AK568" s="260" t="s">
        <v>190</v>
      </c>
      <c r="AL568" s="260" t="s">
        <v>190</v>
      </c>
      <c r="AM568" s="255" t="s">
        <v>3547</v>
      </c>
      <c r="AN568" s="22">
        <v>182</v>
      </c>
      <c r="AO568" s="22">
        <v>0</v>
      </c>
      <c r="AP568" s="22">
        <v>0</v>
      </c>
      <c r="AQ568" s="22">
        <v>0</v>
      </c>
      <c r="AR568" s="22">
        <v>0</v>
      </c>
      <c r="AS568" s="22">
        <v>7</v>
      </c>
      <c r="AT568" s="22">
        <v>10</v>
      </c>
      <c r="AU568" s="316">
        <f t="shared" si="89"/>
        <v>199</v>
      </c>
      <c r="AV568" s="22">
        <v>190</v>
      </c>
      <c r="AW568" s="22">
        <v>0</v>
      </c>
      <c r="AX568" s="22">
        <v>0</v>
      </c>
      <c r="AY568" s="22">
        <v>0</v>
      </c>
      <c r="AZ568" s="22">
        <v>0</v>
      </c>
      <c r="BA568" s="22">
        <v>7</v>
      </c>
      <c r="BB568" s="22">
        <v>10</v>
      </c>
      <c r="BC568" s="316">
        <f t="shared" si="90"/>
        <v>207</v>
      </c>
      <c r="BD568" s="58">
        <f t="shared" si="91"/>
        <v>8</v>
      </c>
      <c r="BE568" s="58">
        <f t="shared" si="92"/>
        <v>0</v>
      </c>
      <c r="BF568" s="58">
        <f t="shared" si="93"/>
        <v>0</v>
      </c>
      <c r="BG568" s="58">
        <f t="shared" si="94"/>
        <v>0</v>
      </c>
      <c r="BH568" s="58">
        <f t="shared" si="95"/>
        <v>0</v>
      </c>
      <c r="BI568" s="58">
        <f t="shared" si="96"/>
        <v>0</v>
      </c>
      <c r="BJ568" s="58">
        <f t="shared" si="97"/>
        <v>0</v>
      </c>
      <c r="BK568" s="58">
        <f t="shared" si="98"/>
        <v>8</v>
      </c>
    </row>
    <row r="569" spans="1:63" ht="27" customHeight="1">
      <c r="A569" s="238">
        <f t="shared" si="99"/>
        <v>567</v>
      </c>
      <c r="B569" s="239"/>
      <c r="C569" s="239">
        <v>3391</v>
      </c>
      <c r="D569" s="241" t="s">
        <v>3587</v>
      </c>
      <c r="E569" s="242" t="s">
        <v>3588</v>
      </c>
      <c r="F569" s="243" t="s">
        <v>457</v>
      </c>
      <c r="G569" s="244" t="s">
        <v>3589</v>
      </c>
      <c r="H569" s="263" t="s">
        <v>3215</v>
      </c>
      <c r="I569" s="264" t="s">
        <v>3590</v>
      </c>
      <c r="J569" s="247" t="s">
        <v>178</v>
      </c>
      <c r="K569" s="248">
        <v>31749</v>
      </c>
      <c r="L569" s="265" t="s">
        <v>179</v>
      </c>
      <c r="M569" s="250">
        <v>43760</v>
      </c>
      <c r="N569" s="250"/>
      <c r="O569" s="250" t="s">
        <v>3585</v>
      </c>
      <c r="P569" s="238" t="s">
        <v>348</v>
      </c>
      <c r="Q569" s="238" t="s">
        <v>181</v>
      </c>
      <c r="R569" s="252" t="s">
        <v>182</v>
      </c>
      <c r="S569" s="252" t="s">
        <v>2384</v>
      </c>
      <c r="T569" s="251"/>
      <c r="U569" s="251"/>
      <c r="V569" s="252" t="s">
        <v>190</v>
      </c>
      <c r="W569" s="252" t="s">
        <v>190</v>
      </c>
      <c r="X569" s="252">
        <v>5</v>
      </c>
      <c r="Y569" s="253" t="s">
        <v>3591</v>
      </c>
      <c r="Z569" s="254" t="s">
        <v>186</v>
      </c>
      <c r="AA569" s="254"/>
      <c r="AB569" s="252"/>
      <c r="AC569" s="255"/>
      <c r="AD569" s="256"/>
      <c r="AE569" s="256"/>
      <c r="AF569" s="257"/>
      <c r="AG569" s="258"/>
      <c r="AH569" s="259"/>
      <c r="AI569" s="259"/>
      <c r="AJ569" s="260" t="s">
        <v>203</v>
      </c>
      <c r="AK569" s="260" t="s">
        <v>190</v>
      </c>
      <c r="AL569" s="260" t="s">
        <v>190</v>
      </c>
      <c r="AM569" s="255" t="s">
        <v>2354</v>
      </c>
      <c r="AN569" s="22">
        <v>182</v>
      </c>
      <c r="AO569" s="22">
        <v>0</v>
      </c>
      <c r="AP569" s="22">
        <v>0</v>
      </c>
      <c r="AQ569" s="22">
        <v>0</v>
      </c>
      <c r="AR569" s="22">
        <v>0</v>
      </c>
      <c r="AS569" s="22">
        <v>7</v>
      </c>
      <c r="AT569" s="22">
        <v>10</v>
      </c>
      <c r="AU569" s="316">
        <f t="shared" si="89"/>
        <v>199</v>
      </c>
      <c r="AV569" s="22">
        <v>190</v>
      </c>
      <c r="AW569" s="22">
        <v>0</v>
      </c>
      <c r="AX569" s="22">
        <v>0</v>
      </c>
      <c r="AY569" s="22">
        <v>0</v>
      </c>
      <c r="AZ569" s="22">
        <v>0</v>
      </c>
      <c r="BA569" s="22">
        <v>7</v>
      </c>
      <c r="BB569" s="22">
        <v>10</v>
      </c>
      <c r="BC569" s="316">
        <f t="shared" si="90"/>
        <v>207</v>
      </c>
      <c r="BD569" s="58">
        <f t="shared" si="91"/>
        <v>8</v>
      </c>
      <c r="BE569" s="58">
        <f t="shared" si="92"/>
        <v>0</v>
      </c>
      <c r="BF569" s="58">
        <f t="shared" si="93"/>
        <v>0</v>
      </c>
      <c r="BG569" s="58">
        <f t="shared" si="94"/>
        <v>0</v>
      </c>
      <c r="BH569" s="58">
        <f t="shared" si="95"/>
        <v>0</v>
      </c>
      <c r="BI569" s="58">
        <f t="shared" si="96"/>
        <v>0</v>
      </c>
      <c r="BJ569" s="58">
        <f t="shared" si="97"/>
        <v>0</v>
      </c>
      <c r="BK569" s="58">
        <f t="shared" si="98"/>
        <v>8</v>
      </c>
    </row>
    <row r="570" spans="1:63" ht="27" customHeight="1">
      <c r="A570" s="238">
        <f t="shared" si="99"/>
        <v>568</v>
      </c>
      <c r="B570" s="239"/>
      <c r="C570" s="239">
        <v>3401</v>
      </c>
      <c r="D570" s="241" t="s">
        <v>3592</v>
      </c>
      <c r="E570" s="242" t="s">
        <v>3593</v>
      </c>
      <c r="F570" s="243" t="s">
        <v>450</v>
      </c>
      <c r="G570" s="244" t="s">
        <v>3594</v>
      </c>
      <c r="H570" s="263" t="s">
        <v>452</v>
      </c>
      <c r="I570" s="264" t="s">
        <v>3595</v>
      </c>
      <c r="J570" s="247" t="s">
        <v>178</v>
      </c>
      <c r="K570" s="248">
        <v>27853</v>
      </c>
      <c r="L570" s="265" t="s">
        <v>179</v>
      </c>
      <c r="M570" s="250">
        <v>43760</v>
      </c>
      <c r="N570" s="250"/>
      <c r="O570" s="250" t="s">
        <v>3545</v>
      </c>
      <c r="P570" s="238" t="s">
        <v>339</v>
      </c>
      <c r="Q570" s="238" t="s">
        <v>181</v>
      </c>
      <c r="R570" s="252" t="s">
        <v>182</v>
      </c>
      <c r="S570" s="252" t="s">
        <v>2492</v>
      </c>
      <c r="T570" s="251"/>
      <c r="U570" s="251"/>
      <c r="V570" s="252" t="s">
        <v>190</v>
      </c>
      <c r="W570" s="252" t="s">
        <v>190</v>
      </c>
      <c r="X570" s="252">
        <v>6</v>
      </c>
      <c r="Y570" s="253" t="s">
        <v>3596</v>
      </c>
      <c r="Z570" s="254"/>
      <c r="AA570" s="254" t="s">
        <v>186</v>
      </c>
      <c r="AB570" s="252"/>
      <c r="AC570" s="255"/>
      <c r="AD570" s="256"/>
      <c r="AE570" s="256"/>
      <c r="AF570" s="257"/>
      <c r="AG570" s="258"/>
      <c r="AH570" s="259"/>
      <c r="AI570" s="259"/>
      <c r="AJ570" s="260" t="s">
        <v>203</v>
      </c>
      <c r="AK570" s="260" t="s">
        <v>190</v>
      </c>
      <c r="AL570" s="260" t="s">
        <v>190</v>
      </c>
      <c r="AM570" s="255" t="s">
        <v>3547</v>
      </c>
      <c r="AN570" s="22">
        <v>182</v>
      </c>
      <c r="AO570" s="22">
        <v>0</v>
      </c>
      <c r="AP570" s="22">
        <v>0</v>
      </c>
      <c r="AQ570" s="22">
        <v>0</v>
      </c>
      <c r="AR570" s="22">
        <v>0</v>
      </c>
      <c r="AS570" s="22">
        <v>7</v>
      </c>
      <c r="AT570" s="22">
        <v>10</v>
      </c>
      <c r="AU570" s="316">
        <f t="shared" si="89"/>
        <v>199</v>
      </c>
      <c r="AV570" s="22">
        <v>190</v>
      </c>
      <c r="AW570" s="22">
        <v>0</v>
      </c>
      <c r="AX570" s="22">
        <v>0</v>
      </c>
      <c r="AY570" s="22">
        <v>0</v>
      </c>
      <c r="AZ570" s="22">
        <v>0</v>
      </c>
      <c r="BA570" s="22">
        <v>7</v>
      </c>
      <c r="BB570" s="22">
        <v>10</v>
      </c>
      <c r="BC570" s="316">
        <f t="shared" si="90"/>
        <v>207</v>
      </c>
      <c r="BD570" s="58">
        <f t="shared" si="91"/>
        <v>8</v>
      </c>
      <c r="BE570" s="58">
        <f t="shared" si="92"/>
        <v>0</v>
      </c>
      <c r="BF570" s="58">
        <f t="shared" si="93"/>
        <v>0</v>
      </c>
      <c r="BG570" s="58">
        <f t="shared" si="94"/>
        <v>0</v>
      </c>
      <c r="BH570" s="58">
        <f t="shared" si="95"/>
        <v>0</v>
      </c>
      <c r="BI570" s="58">
        <f t="shared" si="96"/>
        <v>0</v>
      </c>
      <c r="BJ570" s="58">
        <f t="shared" si="97"/>
        <v>0</v>
      </c>
      <c r="BK570" s="58">
        <f t="shared" si="98"/>
        <v>8</v>
      </c>
    </row>
    <row r="571" spans="1:63" ht="27" customHeight="1">
      <c r="A571" s="238">
        <f t="shared" si="99"/>
        <v>569</v>
      </c>
      <c r="B571" s="239"/>
      <c r="C571" s="239">
        <v>3105</v>
      </c>
      <c r="D571" s="241">
        <v>0</v>
      </c>
      <c r="E571" s="242" t="s">
        <v>3597</v>
      </c>
      <c r="F571" s="243" t="s">
        <v>837</v>
      </c>
      <c r="G571" s="244" t="s">
        <v>3598</v>
      </c>
      <c r="H571" s="263" t="s">
        <v>3599</v>
      </c>
      <c r="I571" s="264" t="s">
        <v>3600</v>
      </c>
      <c r="J571" s="247" t="s">
        <v>178</v>
      </c>
      <c r="K571" s="248">
        <v>29983</v>
      </c>
      <c r="L571" s="265" t="s">
        <v>179</v>
      </c>
      <c r="M571" s="250">
        <v>43739</v>
      </c>
      <c r="N571" s="250"/>
      <c r="O571" s="250" t="s">
        <v>3585</v>
      </c>
      <c r="P571" s="238" t="s">
        <v>348</v>
      </c>
      <c r="Q571" s="238" t="s">
        <v>181</v>
      </c>
      <c r="R571" s="252" t="s">
        <v>182</v>
      </c>
      <c r="S571" s="252" t="s">
        <v>3601</v>
      </c>
      <c r="T571" s="251"/>
      <c r="U571" s="251"/>
      <c r="V571" s="252" t="s">
        <v>203</v>
      </c>
      <c r="W571" s="252" t="s">
        <v>190</v>
      </c>
      <c r="X571" s="252">
        <v>3</v>
      </c>
      <c r="Y571" s="253" t="s">
        <v>3602</v>
      </c>
      <c r="Z571" s="254"/>
      <c r="AA571" s="254" t="s">
        <v>186</v>
      </c>
      <c r="AB571" s="252"/>
      <c r="AC571" s="255"/>
      <c r="AD571" s="256"/>
      <c r="AE571" s="256"/>
      <c r="AF571" s="257"/>
      <c r="AG571" s="258"/>
      <c r="AH571" s="259"/>
      <c r="AI571" s="259"/>
      <c r="AJ571" s="260" t="s">
        <v>203</v>
      </c>
      <c r="AK571" s="260" t="s">
        <v>190</v>
      </c>
      <c r="AL571" s="260" t="s">
        <v>190</v>
      </c>
      <c r="AM571" s="255" t="s">
        <v>2499</v>
      </c>
      <c r="AN571" s="22">
        <v>182</v>
      </c>
      <c r="AO571" s="22">
        <v>0</v>
      </c>
      <c r="AP571" s="22">
        <v>0</v>
      </c>
      <c r="AQ571" s="22">
        <v>0</v>
      </c>
      <c r="AR571" s="22">
        <v>0</v>
      </c>
      <c r="AS571" s="22">
        <v>7</v>
      </c>
      <c r="AT571" s="22">
        <v>10</v>
      </c>
      <c r="AU571" s="316">
        <f t="shared" si="89"/>
        <v>199</v>
      </c>
      <c r="AV571" s="22">
        <v>190</v>
      </c>
      <c r="AW571" s="22">
        <v>0</v>
      </c>
      <c r="AX571" s="22">
        <v>0</v>
      </c>
      <c r="AY571" s="22">
        <v>0</v>
      </c>
      <c r="AZ571" s="22">
        <v>0</v>
      </c>
      <c r="BA571" s="22">
        <v>7</v>
      </c>
      <c r="BB571" s="22">
        <v>10</v>
      </c>
      <c r="BC571" s="316">
        <f t="shared" si="90"/>
        <v>207</v>
      </c>
      <c r="BD571" s="58">
        <f t="shared" si="91"/>
        <v>8</v>
      </c>
      <c r="BE571" s="58">
        <f t="shared" si="92"/>
        <v>0</v>
      </c>
      <c r="BF571" s="58">
        <f t="shared" si="93"/>
        <v>0</v>
      </c>
      <c r="BG571" s="58">
        <f t="shared" si="94"/>
        <v>0</v>
      </c>
      <c r="BH571" s="58">
        <f t="shared" si="95"/>
        <v>0</v>
      </c>
      <c r="BI571" s="58">
        <f t="shared" si="96"/>
        <v>0</v>
      </c>
      <c r="BJ571" s="58">
        <f t="shared" si="97"/>
        <v>0</v>
      </c>
      <c r="BK571" s="58">
        <f t="shared" si="98"/>
        <v>8</v>
      </c>
    </row>
    <row r="572" spans="1:63" ht="27" customHeight="1">
      <c r="A572" s="238">
        <f t="shared" si="99"/>
        <v>570</v>
      </c>
      <c r="B572" s="239"/>
      <c r="C572" s="239">
        <v>3389</v>
      </c>
      <c r="D572" s="241" t="s">
        <v>3603</v>
      </c>
      <c r="E572" s="242" t="s">
        <v>3604</v>
      </c>
      <c r="F572" s="243" t="s">
        <v>3147</v>
      </c>
      <c r="G572" s="244" t="s">
        <v>1451</v>
      </c>
      <c r="H572" s="263" t="s">
        <v>3605</v>
      </c>
      <c r="I572" s="264" t="s">
        <v>1453</v>
      </c>
      <c r="J572" s="247" t="s">
        <v>178</v>
      </c>
      <c r="K572" s="248">
        <v>31521</v>
      </c>
      <c r="L572" s="265" t="s">
        <v>179</v>
      </c>
      <c r="M572" s="250">
        <v>43760</v>
      </c>
      <c r="N572" s="250"/>
      <c r="O572" s="250" t="s">
        <v>3551</v>
      </c>
      <c r="P572" s="238" t="s">
        <v>265</v>
      </c>
      <c r="Q572" s="238" t="s">
        <v>181</v>
      </c>
      <c r="R572" s="252" t="s">
        <v>182</v>
      </c>
      <c r="S572" s="252" t="s">
        <v>2384</v>
      </c>
      <c r="T572" s="251"/>
      <c r="U572" s="251"/>
      <c r="V572" s="252" t="s">
        <v>190</v>
      </c>
      <c r="W572" s="252" t="s">
        <v>190</v>
      </c>
      <c r="X572" s="252">
        <v>5</v>
      </c>
      <c r="Y572" s="253" t="s">
        <v>3606</v>
      </c>
      <c r="Z572" s="254"/>
      <c r="AA572" s="254" t="s">
        <v>186</v>
      </c>
      <c r="AB572" s="252"/>
      <c r="AC572" s="255" t="s">
        <v>202</v>
      </c>
      <c r="AD572" s="256" t="s">
        <v>188</v>
      </c>
      <c r="AE572" s="256" t="s">
        <v>3607</v>
      </c>
      <c r="AF572" s="257"/>
      <c r="AG572" s="258"/>
      <c r="AH572" s="259"/>
      <c r="AI572" s="259"/>
      <c r="AJ572" s="260" t="s">
        <v>203</v>
      </c>
      <c r="AK572" s="260" t="s">
        <v>190</v>
      </c>
      <c r="AL572" s="260" t="s">
        <v>190</v>
      </c>
      <c r="AM572" s="255" t="s">
        <v>3547</v>
      </c>
      <c r="AN572" s="22">
        <v>182</v>
      </c>
      <c r="AO572" s="22">
        <v>0</v>
      </c>
      <c r="AP572" s="22">
        <v>0</v>
      </c>
      <c r="AQ572" s="22">
        <v>0</v>
      </c>
      <c r="AR572" s="22">
        <v>0</v>
      </c>
      <c r="AS572" s="22">
        <v>7</v>
      </c>
      <c r="AT572" s="22">
        <v>10</v>
      </c>
      <c r="AU572" s="316">
        <f t="shared" si="89"/>
        <v>199</v>
      </c>
      <c r="AV572" s="22">
        <v>190</v>
      </c>
      <c r="AW572" s="22">
        <v>0</v>
      </c>
      <c r="AX572" s="22">
        <v>0</v>
      </c>
      <c r="AY572" s="22">
        <v>0</v>
      </c>
      <c r="AZ572" s="22">
        <v>0</v>
      </c>
      <c r="BA572" s="22">
        <v>7</v>
      </c>
      <c r="BB572" s="22">
        <v>10</v>
      </c>
      <c r="BC572" s="316">
        <f t="shared" si="90"/>
        <v>207</v>
      </c>
      <c r="BD572" s="58">
        <f t="shared" si="91"/>
        <v>8</v>
      </c>
      <c r="BE572" s="58">
        <f t="shared" si="92"/>
        <v>0</v>
      </c>
      <c r="BF572" s="58">
        <f t="shared" si="93"/>
        <v>0</v>
      </c>
      <c r="BG572" s="58">
        <f t="shared" si="94"/>
        <v>0</v>
      </c>
      <c r="BH572" s="58">
        <f t="shared" si="95"/>
        <v>0</v>
      </c>
      <c r="BI572" s="58">
        <f t="shared" si="96"/>
        <v>0</v>
      </c>
      <c r="BJ572" s="58">
        <f t="shared" si="97"/>
        <v>0</v>
      </c>
      <c r="BK572" s="58">
        <f t="shared" si="98"/>
        <v>8</v>
      </c>
    </row>
    <row r="573" spans="1:63" ht="27" customHeight="1">
      <c r="A573" s="238">
        <f t="shared" si="99"/>
        <v>571</v>
      </c>
      <c r="B573" s="239"/>
      <c r="C573" s="239">
        <v>3411</v>
      </c>
      <c r="D573" s="241" t="s">
        <v>3608</v>
      </c>
      <c r="E573" s="242" t="s">
        <v>3609</v>
      </c>
      <c r="F573" s="243" t="s">
        <v>963</v>
      </c>
      <c r="G573" s="244" t="s">
        <v>3610</v>
      </c>
      <c r="H573" s="263" t="s">
        <v>964</v>
      </c>
      <c r="I573" s="264" t="s">
        <v>3611</v>
      </c>
      <c r="J573" s="247" t="s">
        <v>178</v>
      </c>
      <c r="K573" s="248">
        <v>32048</v>
      </c>
      <c r="L573" s="265" t="s">
        <v>179</v>
      </c>
      <c r="M573" s="250">
        <v>43763</v>
      </c>
      <c r="N573" s="250"/>
      <c r="O573" s="250" t="s">
        <v>3551</v>
      </c>
      <c r="P573" s="238" t="s">
        <v>265</v>
      </c>
      <c r="Q573" s="238" t="s">
        <v>181</v>
      </c>
      <c r="R573" s="252" t="s">
        <v>182</v>
      </c>
      <c r="S573" s="252" t="s">
        <v>2384</v>
      </c>
      <c r="T573" s="251"/>
      <c r="U573" s="251"/>
      <c r="V573" s="252" t="s">
        <v>190</v>
      </c>
      <c r="W573" s="252" t="s">
        <v>190</v>
      </c>
      <c r="X573" s="252">
        <v>9</v>
      </c>
      <c r="Y573" s="253" t="s">
        <v>3612</v>
      </c>
      <c r="Z573" s="254"/>
      <c r="AA573" s="254"/>
      <c r="AB573" s="254" t="s">
        <v>186</v>
      </c>
      <c r="AC573" s="255"/>
      <c r="AD573" s="256"/>
      <c r="AE573" s="256"/>
      <c r="AF573" s="257"/>
      <c r="AG573" s="258"/>
      <c r="AH573" s="259"/>
      <c r="AI573" s="259"/>
      <c r="AJ573" s="260" t="s">
        <v>203</v>
      </c>
      <c r="AK573" s="260" t="s">
        <v>190</v>
      </c>
      <c r="AL573" s="260" t="s">
        <v>190</v>
      </c>
      <c r="AM573" s="255" t="s">
        <v>3613</v>
      </c>
      <c r="AN573" s="22">
        <v>182</v>
      </c>
      <c r="AO573" s="22">
        <v>0</v>
      </c>
      <c r="AP573" s="22">
        <v>0</v>
      </c>
      <c r="AQ573" s="22">
        <v>0</v>
      </c>
      <c r="AR573" s="22">
        <v>0</v>
      </c>
      <c r="AS573" s="22">
        <v>7</v>
      </c>
      <c r="AT573" s="22">
        <v>10</v>
      </c>
      <c r="AU573" s="316">
        <f t="shared" si="89"/>
        <v>199</v>
      </c>
      <c r="AV573" s="22">
        <v>190</v>
      </c>
      <c r="AW573" s="22">
        <v>0</v>
      </c>
      <c r="AX573" s="22">
        <v>0</v>
      </c>
      <c r="AY573" s="22">
        <v>0</v>
      </c>
      <c r="AZ573" s="22">
        <v>0</v>
      </c>
      <c r="BA573" s="22">
        <v>7</v>
      </c>
      <c r="BB573" s="22">
        <v>10</v>
      </c>
      <c r="BC573" s="316">
        <f t="shared" si="90"/>
        <v>207</v>
      </c>
      <c r="BD573" s="58">
        <f t="shared" si="91"/>
        <v>8</v>
      </c>
      <c r="BE573" s="58">
        <f t="shared" si="92"/>
        <v>0</v>
      </c>
      <c r="BF573" s="58">
        <f t="shared" si="93"/>
        <v>0</v>
      </c>
      <c r="BG573" s="58">
        <f t="shared" si="94"/>
        <v>0</v>
      </c>
      <c r="BH573" s="58">
        <f t="shared" si="95"/>
        <v>0</v>
      </c>
      <c r="BI573" s="58">
        <f t="shared" si="96"/>
        <v>0</v>
      </c>
      <c r="BJ573" s="58">
        <f t="shared" si="97"/>
        <v>0</v>
      </c>
      <c r="BK573" s="58">
        <f t="shared" si="98"/>
        <v>8</v>
      </c>
    </row>
    <row r="574" spans="1:63" ht="27" customHeight="1">
      <c r="A574" s="238">
        <f t="shared" si="99"/>
        <v>572</v>
      </c>
      <c r="B574" s="239"/>
      <c r="C574" s="239">
        <v>3352</v>
      </c>
      <c r="D574" s="241" t="s">
        <v>3614</v>
      </c>
      <c r="E574" s="242" t="s">
        <v>3615</v>
      </c>
      <c r="F574" s="243" t="s">
        <v>218</v>
      </c>
      <c r="G574" s="244" t="s">
        <v>690</v>
      </c>
      <c r="H574" s="263" t="s">
        <v>1989</v>
      </c>
      <c r="I574" s="264" t="s">
        <v>692</v>
      </c>
      <c r="J574" s="247" t="s">
        <v>178</v>
      </c>
      <c r="K574" s="248">
        <v>33119</v>
      </c>
      <c r="L574" s="265" t="s">
        <v>179</v>
      </c>
      <c r="M574" s="250">
        <v>43755</v>
      </c>
      <c r="N574" s="250"/>
      <c r="O574" s="250" t="s">
        <v>3559</v>
      </c>
      <c r="P574" s="238" t="s">
        <v>301</v>
      </c>
      <c r="Q574" s="238" t="s">
        <v>181</v>
      </c>
      <c r="R574" s="252" t="s">
        <v>182</v>
      </c>
      <c r="S574" s="252" t="s">
        <v>2384</v>
      </c>
      <c r="T574" s="251"/>
      <c r="U574" s="251"/>
      <c r="V574" s="252" t="s">
        <v>190</v>
      </c>
      <c r="W574" s="252" t="s">
        <v>190</v>
      </c>
      <c r="X574" s="252">
        <v>5</v>
      </c>
      <c r="Y574" s="253" t="s">
        <v>3616</v>
      </c>
      <c r="Z574" s="254" t="s">
        <v>186</v>
      </c>
      <c r="AA574" s="254"/>
      <c r="AB574" s="252"/>
      <c r="AC574" s="255"/>
      <c r="AD574" s="256"/>
      <c r="AE574" s="256"/>
      <c r="AF574" s="257"/>
      <c r="AG574" s="258"/>
      <c r="AH574" s="259"/>
      <c r="AI574" s="259"/>
      <c r="AJ574" s="260" t="s">
        <v>203</v>
      </c>
      <c r="AK574" s="260" t="s">
        <v>190</v>
      </c>
      <c r="AL574" s="260" t="s">
        <v>190</v>
      </c>
      <c r="AM574" s="255" t="s">
        <v>3575</v>
      </c>
      <c r="AN574" s="22">
        <v>182</v>
      </c>
      <c r="AO574" s="22">
        <v>0</v>
      </c>
      <c r="AP574" s="22">
        <v>0</v>
      </c>
      <c r="AQ574" s="22">
        <v>0</v>
      </c>
      <c r="AR574" s="22">
        <v>0</v>
      </c>
      <c r="AS574" s="22">
        <v>7</v>
      </c>
      <c r="AT574" s="22">
        <v>10</v>
      </c>
      <c r="AU574" s="316">
        <f t="shared" si="89"/>
        <v>199</v>
      </c>
      <c r="AV574" s="22">
        <v>190</v>
      </c>
      <c r="AW574" s="22">
        <v>0</v>
      </c>
      <c r="AX574" s="22">
        <v>0</v>
      </c>
      <c r="AY574" s="22">
        <v>0</v>
      </c>
      <c r="AZ574" s="22">
        <v>0</v>
      </c>
      <c r="BA574" s="22">
        <v>7</v>
      </c>
      <c r="BB574" s="22">
        <v>10</v>
      </c>
      <c r="BC574" s="316">
        <f t="shared" si="90"/>
        <v>207</v>
      </c>
      <c r="BD574" s="58">
        <f t="shared" si="91"/>
        <v>8</v>
      </c>
      <c r="BE574" s="58">
        <f t="shared" si="92"/>
        <v>0</v>
      </c>
      <c r="BF574" s="58">
        <f t="shared" si="93"/>
        <v>0</v>
      </c>
      <c r="BG574" s="58">
        <f t="shared" si="94"/>
        <v>0</v>
      </c>
      <c r="BH574" s="58">
        <f t="shared" si="95"/>
        <v>0</v>
      </c>
      <c r="BI574" s="58">
        <f t="shared" si="96"/>
        <v>0</v>
      </c>
      <c r="BJ574" s="58">
        <f t="shared" si="97"/>
        <v>0</v>
      </c>
      <c r="BK574" s="58">
        <f t="shared" si="98"/>
        <v>8</v>
      </c>
    </row>
    <row r="575" spans="1:63" ht="27" customHeight="1">
      <c r="A575" s="238">
        <f t="shared" si="99"/>
        <v>573</v>
      </c>
      <c r="B575" s="239"/>
      <c r="C575" s="239">
        <v>3413</v>
      </c>
      <c r="D575" s="241">
        <v>0</v>
      </c>
      <c r="E575" s="242" t="s">
        <v>3617</v>
      </c>
      <c r="F575" s="243" t="s">
        <v>1090</v>
      </c>
      <c r="G575" s="244" t="s">
        <v>3618</v>
      </c>
      <c r="H575" s="263" t="s">
        <v>300</v>
      </c>
      <c r="I575" s="264" t="s">
        <v>3619</v>
      </c>
      <c r="J575" s="247" t="s">
        <v>178</v>
      </c>
      <c r="K575" s="248">
        <v>34355</v>
      </c>
      <c r="L575" s="265" t="s">
        <v>179</v>
      </c>
      <c r="M575" s="250">
        <v>43762</v>
      </c>
      <c r="N575" s="250"/>
      <c r="O575" s="250" t="s">
        <v>3551</v>
      </c>
      <c r="P575" s="238" t="s">
        <v>265</v>
      </c>
      <c r="Q575" s="238" t="s">
        <v>181</v>
      </c>
      <c r="R575" s="252" t="s">
        <v>182</v>
      </c>
      <c r="S575" s="252" t="s">
        <v>2397</v>
      </c>
      <c r="T575" s="251"/>
      <c r="U575" s="251"/>
      <c r="V575" s="252" t="s">
        <v>190</v>
      </c>
      <c r="W575" s="252" t="s">
        <v>190</v>
      </c>
      <c r="X575" s="252">
        <v>6</v>
      </c>
      <c r="Y575" s="253" t="s">
        <v>3620</v>
      </c>
      <c r="Z575" s="254"/>
      <c r="AA575" s="254" t="s">
        <v>186</v>
      </c>
      <c r="AB575" s="252"/>
      <c r="AC575" s="255" t="s">
        <v>3621</v>
      </c>
      <c r="AD575" s="256" t="s">
        <v>188</v>
      </c>
      <c r="AE575" s="256"/>
      <c r="AF575" s="257"/>
      <c r="AG575" s="258"/>
      <c r="AH575" s="259"/>
      <c r="AI575" s="259"/>
      <c r="AJ575" s="260" t="s">
        <v>203</v>
      </c>
      <c r="AK575" s="260" t="s">
        <v>190</v>
      </c>
      <c r="AL575" s="260" t="s">
        <v>190</v>
      </c>
      <c r="AM575" s="255" t="s">
        <v>3547</v>
      </c>
      <c r="AN575" s="22">
        <v>182</v>
      </c>
      <c r="AO575" s="22">
        <v>0</v>
      </c>
      <c r="AP575" s="22">
        <v>0</v>
      </c>
      <c r="AQ575" s="22">
        <v>0</v>
      </c>
      <c r="AR575" s="22">
        <v>0</v>
      </c>
      <c r="AS575" s="22">
        <v>7</v>
      </c>
      <c r="AT575" s="22">
        <v>10</v>
      </c>
      <c r="AU575" s="316">
        <f t="shared" si="89"/>
        <v>199</v>
      </c>
      <c r="AV575" s="22">
        <v>190</v>
      </c>
      <c r="AW575" s="22">
        <v>0</v>
      </c>
      <c r="AX575" s="22">
        <v>0</v>
      </c>
      <c r="AY575" s="22">
        <v>0</v>
      </c>
      <c r="AZ575" s="22">
        <v>0</v>
      </c>
      <c r="BA575" s="22">
        <v>7</v>
      </c>
      <c r="BB575" s="22">
        <v>10</v>
      </c>
      <c r="BC575" s="316">
        <f t="shared" si="90"/>
        <v>207</v>
      </c>
      <c r="BD575" s="58">
        <f t="shared" si="91"/>
        <v>8</v>
      </c>
      <c r="BE575" s="58">
        <f t="shared" si="92"/>
        <v>0</v>
      </c>
      <c r="BF575" s="58">
        <f t="shared" si="93"/>
        <v>0</v>
      </c>
      <c r="BG575" s="58">
        <f t="shared" si="94"/>
        <v>0</v>
      </c>
      <c r="BH575" s="58">
        <f t="shared" si="95"/>
        <v>0</v>
      </c>
      <c r="BI575" s="58">
        <f t="shared" si="96"/>
        <v>0</v>
      </c>
      <c r="BJ575" s="58">
        <f t="shared" si="97"/>
        <v>0</v>
      </c>
      <c r="BK575" s="58">
        <f t="shared" si="98"/>
        <v>8</v>
      </c>
    </row>
    <row r="576" spans="1:63" ht="27" customHeight="1">
      <c r="A576" s="238">
        <f t="shared" si="99"/>
        <v>574</v>
      </c>
      <c r="B576" s="239"/>
      <c r="C576" s="239">
        <v>3381</v>
      </c>
      <c r="D576" s="241" t="s">
        <v>3622</v>
      </c>
      <c r="E576" s="242" t="s">
        <v>3623</v>
      </c>
      <c r="F576" s="243" t="s">
        <v>2001</v>
      </c>
      <c r="G576" s="244" t="s">
        <v>3624</v>
      </c>
      <c r="H576" s="263" t="s">
        <v>942</v>
      </c>
      <c r="I576" s="264" t="s">
        <v>3625</v>
      </c>
      <c r="J576" s="247" t="s">
        <v>178</v>
      </c>
      <c r="K576" s="248">
        <v>31579</v>
      </c>
      <c r="L576" s="265" t="s">
        <v>179</v>
      </c>
      <c r="M576" s="250">
        <v>43755</v>
      </c>
      <c r="N576" s="250"/>
      <c r="O576" s="250" t="s">
        <v>3551</v>
      </c>
      <c r="P576" s="238" t="s">
        <v>265</v>
      </c>
      <c r="Q576" s="238" t="s">
        <v>181</v>
      </c>
      <c r="R576" s="252" t="s">
        <v>182</v>
      </c>
      <c r="S576" s="252" t="s">
        <v>2384</v>
      </c>
      <c r="T576" s="251"/>
      <c r="U576" s="251"/>
      <c r="V576" s="252" t="s">
        <v>190</v>
      </c>
      <c r="W576" s="252" t="s">
        <v>190</v>
      </c>
      <c r="X576" s="252"/>
      <c r="Y576" s="253" t="s">
        <v>3626</v>
      </c>
      <c r="Z576" s="254"/>
      <c r="AA576" s="254" t="s">
        <v>186</v>
      </c>
      <c r="AB576" s="252"/>
      <c r="AC576" s="255" t="s">
        <v>202</v>
      </c>
      <c r="AD576" s="256" t="s">
        <v>188</v>
      </c>
      <c r="AE576" s="256"/>
      <c r="AF576" s="257"/>
      <c r="AG576" s="258"/>
      <c r="AH576" s="259"/>
      <c r="AI576" s="259"/>
      <c r="AJ576" s="260" t="s">
        <v>203</v>
      </c>
      <c r="AK576" s="260" t="s">
        <v>190</v>
      </c>
      <c r="AL576" s="260" t="s">
        <v>190</v>
      </c>
      <c r="AM576" s="255" t="s">
        <v>2354</v>
      </c>
      <c r="AN576" s="22">
        <v>182</v>
      </c>
      <c r="AO576" s="22">
        <v>0</v>
      </c>
      <c r="AP576" s="22">
        <v>0</v>
      </c>
      <c r="AQ576" s="22">
        <v>0</v>
      </c>
      <c r="AR576" s="22">
        <v>0</v>
      </c>
      <c r="AS576" s="22">
        <v>7</v>
      </c>
      <c r="AT576" s="22">
        <v>10</v>
      </c>
      <c r="AU576" s="316">
        <f t="shared" si="89"/>
        <v>199</v>
      </c>
      <c r="AV576" s="22">
        <v>190</v>
      </c>
      <c r="AW576" s="22">
        <v>0</v>
      </c>
      <c r="AX576" s="22">
        <v>0</v>
      </c>
      <c r="AY576" s="22">
        <v>0</v>
      </c>
      <c r="AZ576" s="22">
        <v>0</v>
      </c>
      <c r="BA576" s="22">
        <v>7</v>
      </c>
      <c r="BB576" s="22">
        <v>10</v>
      </c>
      <c r="BC576" s="316">
        <f t="shared" si="90"/>
        <v>207</v>
      </c>
      <c r="BD576" s="58">
        <f t="shared" si="91"/>
        <v>8</v>
      </c>
      <c r="BE576" s="58">
        <f t="shared" si="92"/>
        <v>0</v>
      </c>
      <c r="BF576" s="58">
        <f t="shared" si="93"/>
        <v>0</v>
      </c>
      <c r="BG576" s="58">
        <f t="shared" si="94"/>
        <v>0</v>
      </c>
      <c r="BH576" s="58">
        <f t="shared" si="95"/>
        <v>0</v>
      </c>
      <c r="BI576" s="58">
        <f t="shared" si="96"/>
        <v>0</v>
      </c>
      <c r="BJ576" s="58">
        <f t="shared" si="97"/>
        <v>0</v>
      </c>
      <c r="BK576" s="58">
        <f t="shared" si="98"/>
        <v>8</v>
      </c>
    </row>
    <row r="577" spans="1:63" ht="27" customHeight="1">
      <c r="A577" s="238">
        <f t="shared" si="99"/>
        <v>575</v>
      </c>
      <c r="B577" s="239"/>
      <c r="C577" s="239">
        <v>3360</v>
      </c>
      <c r="D577" s="241" t="s">
        <v>3627</v>
      </c>
      <c r="E577" s="242" t="s">
        <v>3628</v>
      </c>
      <c r="F577" s="243" t="s">
        <v>3629</v>
      </c>
      <c r="G577" s="244" t="s">
        <v>457</v>
      </c>
      <c r="H577" s="263" t="s">
        <v>3630</v>
      </c>
      <c r="I577" s="264" t="s">
        <v>459</v>
      </c>
      <c r="J577" s="247" t="s">
        <v>178</v>
      </c>
      <c r="K577" s="248">
        <v>27357</v>
      </c>
      <c r="L577" s="265" t="s">
        <v>179</v>
      </c>
      <c r="M577" s="250">
        <v>43754</v>
      </c>
      <c r="N577" s="250"/>
      <c r="O577" s="250" t="s">
        <v>3585</v>
      </c>
      <c r="P577" s="238" t="s">
        <v>348</v>
      </c>
      <c r="Q577" s="238" t="s">
        <v>181</v>
      </c>
      <c r="R577" s="252" t="s">
        <v>182</v>
      </c>
      <c r="S577" s="252" t="s">
        <v>2430</v>
      </c>
      <c r="T577" s="251"/>
      <c r="U577" s="251"/>
      <c r="V577" s="252" t="s">
        <v>190</v>
      </c>
      <c r="W577" s="252" t="s">
        <v>190</v>
      </c>
      <c r="X577" s="252">
        <v>3</v>
      </c>
      <c r="Y577" s="253" t="s">
        <v>3631</v>
      </c>
      <c r="Z577" s="254"/>
      <c r="AA577" s="254" t="s">
        <v>186</v>
      </c>
      <c r="AB577" s="252"/>
      <c r="AC577" s="255"/>
      <c r="AD577" s="256"/>
      <c r="AE577" s="256"/>
      <c r="AF577" s="257"/>
      <c r="AG577" s="258"/>
      <c r="AH577" s="259"/>
      <c r="AI577" s="259"/>
      <c r="AJ577" s="260" t="s">
        <v>203</v>
      </c>
      <c r="AK577" s="260" t="s">
        <v>190</v>
      </c>
      <c r="AL577" s="260" t="s">
        <v>190</v>
      </c>
      <c r="AM577" s="255" t="s">
        <v>2499</v>
      </c>
      <c r="AN577" s="22">
        <v>182</v>
      </c>
      <c r="AO577" s="22">
        <v>0</v>
      </c>
      <c r="AP577" s="22">
        <v>0</v>
      </c>
      <c r="AQ577" s="22">
        <v>0</v>
      </c>
      <c r="AR577" s="22">
        <v>0</v>
      </c>
      <c r="AS577" s="22">
        <v>7</v>
      </c>
      <c r="AT577" s="22">
        <v>10</v>
      </c>
      <c r="AU577" s="316">
        <f t="shared" si="89"/>
        <v>199</v>
      </c>
      <c r="AV577" s="22">
        <v>190</v>
      </c>
      <c r="AW577" s="22">
        <v>0</v>
      </c>
      <c r="AX577" s="22">
        <v>0</v>
      </c>
      <c r="AY577" s="22">
        <v>0</v>
      </c>
      <c r="AZ577" s="22">
        <v>0</v>
      </c>
      <c r="BA577" s="22">
        <v>7</v>
      </c>
      <c r="BB577" s="22">
        <v>10</v>
      </c>
      <c r="BC577" s="316">
        <f t="shared" si="90"/>
        <v>207</v>
      </c>
      <c r="BD577" s="58">
        <f t="shared" si="91"/>
        <v>8</v>
      </c>
      <c r="BE577" s="58">
        <f t="shared" si="92"/>
        <v>0</v>
      </c>
      <c r="BF577" s="58">
        <f t="shared" si="93"/>
        <v>0</v>
      </c>
      <c r="BG577" s="58">
        <f t="shared" si="94"/>
        <v>0</v>
      </c>
      <c r="BH577" s="58">
        <f t="shared" si="95"/>
        <v>0</v>
      </c>
      <c r="BI577" s="58">
        <f t="shared" si="96"/>
        <v>0</v>
      </c>
      <c r="BJ577" s="58">
        <f t="shared" si="97"/>
        <v>0</v>
      </c>
      <c r="BK577" s="58">
        <f t="shared" si="98"/>
        <v>8</v>
      </c>
    </row>
    <row r="578" spans="1:63" ht="27" customHeight="1">
      <c r="A578" s="238">
        <f t="shared" si="99"/>
        <v>576</v>
      </c>
      <c r="B578" s="239"/>
      <c r="C578" s="239">
        <v>3756</v>
      </c>
      <c r="D578" s="241" t="s">
        <v>3632</v>
      </c>
      <c r="E578" s="242" t="s">
        <v>3633</v>
      </c>
      <c r="F578" s="243" t="s">
        <v>1340</v>
      </c>
      <c r="G578" s="244" t="s">
        <v>1577</v>
      </c>
      <c r="H578" s="245" t="s">
        <v>1342</v>
      </c>
      <c r="I578" s="246" t="s">
        <v>1579</v>
      </c>
      <c r="J578" s="247" t="s">
        <v>178</v>
      </c>
      <c r="K578" s="248">
        <v>35187</v>
      </c>
      <c r="L578" s="249" t="s">
        <v>179</v>
      </c>
      <c r="M578" s="250">
        <v>43762</v>
      </c>
      <c r="N578" s="250"/>
      <c r="O578" s="250"/>
      <c r="P578" s="238" t="s">
        <v>3634</v>
      </c>
      <c r="Q578" s="238" t="s">
        <v>249</v>
      </c>
      <c r="R578" s="238" t="s">
        <v>182</v>
      </c>
      <c r="S578" s="238" t="s">
        <v>2505</v>
      </c>
      <c r="T578" s="251"/>
      <c r="U578" s="251"/>
      <c r="V578" s="252" t="s">
        <v>190</v>
      </c>
      <c r="W578" s="252" t="s">
        <v>190</v>
      </c>
      <c r="X578" s="252">
        <v>6</v>
      </c>
      <c r="Y578" s="253" t="s">
        <v>3635</v>
      </c>
      <c r="Z578" s="254"/>
      <c r="AA578" s="254" t="s">
        <v>186</v>
      </c>
      <c r="AB578" s="252"/>
      <c r="AC578" s="255"/>
      <c r="AD578" s="256" t="s">
        <v>188</v>
      </c>
      <c r="AE578" s="256"/>
      <c r="AF578" s="257"/>
      <c r="AG578" s="258"/>
      <c r="AH578" s="259"/>
      <c r="AI578" s="259"/>
      <c r="AJ578" s="260" t="s">
        <v>190</v>
      </c>
      <c r="AK578" s="260" t="s">
        <v>190</v>
      </c>
      <c r="AL578" s="260" t="s">
        <v>190</v>
      </c>
      <c r="AM578" s="255" t="s">
        <v>3636</v>
      </c>
      <c r="AN578" s="22">
        <v>182</v>
      </c>
      <c r="AO578" s="22">
        <v>0</v>
      </c>
      <c r="AP578" s="22">
        <v>20</v>
      </c>
      <c r="AQ578" s="22">
        <v>0</v>
      </c>
      <c r="AR578" s="22">
        <v>0</v>
      </c>
      <c r="AS578" s="22">
        <v>7</v>
      </c>
      <c r="AT578" s="22">
        <v>10</v>
      </c>
      <c r="AU578" s="316">
        <f t="shared" si="89"/>
        <v>219</v>
      </c>
      <c r="AV578" s="22">
        <v>190</v>
      </c>
      <c r="AW578" s="22">
        <v>0</v>
      </c>
      <c r="AX578" s="22">
        <v>20</v>
      </c>
      <c r="AY578" s="22">
        <v>0</v>
      </c>
      <c r="AZ578" s="22">
        <v>0</v>
      </c>
      <c r="BA578" s="22">
        <v>7</v>
      </c>
      <c r="BB578" s="22">
        <v>10</v>
      </c>
      <c r="BC578" s="316">
        <f t="shared" si="90"/>
        <v>227</v>
      </c>
      <c r="BD578" s="58">
        <f t="shared" si="91"/>
        <v>8</v>
      </c>
      <c r="BE578" s="58">
        <f t="shared" si="92"/>
        <v>0</v>
      </c>
      <c r="BF578" s="58">
        <f t="shared" si="93"/>
        <v>0</v>
      </c>
      <c r="BG578" s="58">
        <f t="shared" si="94"/>
        <v>0</v>
      </c>
      <c r="BH578" s="58">
        <f t="shared" si="95"/>
        <v>0</v>
      </c>
      <c r="BI578" s="58">
        <f t="shared" si="96"/>
        <v>0</v>
      </c>
      <c r="BJ578" s="58">
        <f t="shared" si="97"/>
        <v>0</v>
      </c>
      <c r="BK578" s="58">
        <f t="shared" si="98"/>
        <v>8</v>
      </c>
    </row>
    <row r="579" spans="1:63" ht="27" customHeight="1">
      <c r="A579" s="238">
        <f t="shared" si="99"/>
        <v>577</v>
      </c>
      <c r="B579" s="239"/>
      <c r="C579" s="239">
        <v>3625</v>
      </c>
      <c r="D579" s="241">
        <v>0</v>
      </c>
      <c r="E579" s="242" t="s">
        <v>296</v>
      </c>
      <c r="F579" s="243" t="s">
        <v>1230</v>
      </c>
      <c r="G579" s="244" t="s">
        <v>3637</v>
      </c>
      <c r="H579" s="245">
        <v>0</v>
      </c>
      <c r="I579" s="246">
        <v>0</v>
      </c>
      <c r="J579" s="247" t="s">
        <v>178</v>
      </c>
      <c r="K579" s="248">
        <v>36626</v>
      </c>
      <c r="L579" s="249" t="s">
        <v>179</v>
      </c>
      <c r="M579" s="250">
        <v>43750</v>
      </c>
      <c r="N579" s="250"/>
      <c r="O579" s="250"/>
      <c r="P579" s="238" t="s">
        <v>3638</v>
      </c>
      <c r="Q579" s="238" t="s">
        <v>249</v>
      </c>
      <c r="R579" s="238" t="s">
        <v>182</v>
      </c>
      <c r="S579" s="238" t="s">
        <v>2359</v>
      </c>
      <c r="T579" s="251"/>
      <c r="U579" s="251"/>
      <c r="V579" s="252" t="s">
        <v>190</v>
      </c>
      <c r="W579" s="252" t="s">
        <v>190</v>
      </c>
      <c r="X579" s="252">
        <v>7</v>
      </c>
      <c r="Y579" s="253"/>
      <c r="Z579" s="254"/>
      <c r="AA579" s="254" t="s">
        <v>186</v>
      </c>
      <c r="AB579" s="252"/>
      <c r="AC579" s="255"/>
      <c r="AD579" s="256"/>
      <c r="AE579" s="256"/>
      <c r="AF579" s="257"/>
      <c r="AG579" s="258"/>
      <c r="AH579" s="259"/>
      <c r="AI579" s="259"/>
      <c r="AJ579" s="260" t="s">
        <v>190</v>
      </c>
      <c r="AK579" s="260" t="s">
        <v>190</v>
      </c>
      <c r="AL579" s="260" t="s">
        <v>190</v>
      </c>
      <c r="AM579" s="255" t="s">
        <v>2499</v>
      </c>
      <c r="AN579" s="22">
        <v>182</v>
      </c>
      <c r="AO579" s="22">
        <v>0</v>
      </c>
      <c r="AP579" s="22">
        <v>0</v>
      </c>
      <c r="AQ579" s="22">
        <v>0</v>
      </c>
      <c r="AR579" s="22">
        <v>0</v>
      </c>
      <c r="AS579" s="22">
        <v>7</v>
      </c>
      <c r="AT579" s="22">
        <v>10</v>
      </c>
      <c r="AU579" s="316">
        <f t="shared" si="89"/>
        <v>199</v>
      </c>
      <c r="AV579" s="22">
        <v>190</v>
      </c>
      <c r="AW579" s="22">
        <v>0</v>
      </c>
      <c r="AX579" s="22">
        <v>0</v>
      </c>
      <c r="AY579" s="22">
        <v>0</v>
      </c>
      <c r="AZ579" s="22">
        <v>0</v>
      </c>
      <c r="BA579" s="22">
        <v>7</v>
      </c>
      <c r="BB579" s="22">
        <v>10</v>
      </c>
      <c r="BC579" s="316">
        <f t="shared" si="90"/>
        <v>207</v>
      </c>
      <c r="BD579" s="58">
        <f t="shared" si="91"/>
        <v>8</v>
      </c>
      <c r="BE579" s="58">
        <f t="shared" si="92"/>
        <v>0</v>
      </c>
      <c r="BF579" s="58">
        <f t="shared" si="93"/>
        <v>0</v>
      </c>
      <c r="BG579" s="58">
        <f t="shared" si="94"/>
        <v>0</v>
      </c>
      <c r="BH579" s="58">
        <f t="shared" si="95"/>
        <v>0</v>
      </c>
      <c r="BI579" s="58">
        <f t="shared" si="96"/>
        <v>0</v>
      </c>
      <c r="BJ579" s="58">
        <f t="shared" si="97"/>
        <v>0</v>
      </c>
      <c r="BK579" s="58">
        <f t="shared" si="98"/>
        <v>8</v>
      </c>
    </row>
    <row r="580" spans="1:63" ht="27" customHeight="1">
      <c r="A580" s="238">
        <f t="shared" si="99"/>
        <v>578</v>
      </c>
      <c r="B580" s="239"/>
      <c r="C580" s="239">
        <v>3170</v>
      </c>
      <c r="D580" s="241">
        <v>0</v>
      </c>
      <c r="E580" s="242" t="s">
        <v>296</v>
      </c>
      <c r="F580" s="243" t="s">
        <v>1814</v>
      </c>
      <c r="G580" s="244" t="s">
        <v>1298</v>
      </c>
      <c r="H580" s="245" t="s">
        <v>1816</v>
      </c>
      <c r="I580" s="246" t="s">
        <v>1300</v>
      </c>
      <c r="J580" s="247" t="s">
        <v>209</v>
      </c>
      <c r="K580" s="248">
        <v>30694</v>
      </c>
      <c r="L580" s="249" t="s">
        <v>179</v>
      </c>
      <c r="M580" s="250">
        <v>43741</v>
      </c>
      <c r="N580" s="250"/>
      <c r="O580" s="250"/>
      <c r="P580" s="238" t="s">
        <v>2498</v>
      </c>
      <c r="Q580" s="238" t="s">
        <v>249</v>
      </c>
      <c r="R580" s="238" t="s">
        <v>182</v>
      </c>
      <c r="S580" s="238" t="s">
        <v>2598</v>
      </c>
      <c r="T580" s="251"/>
      <c r="U580" s="251"/>
      <c r="V580" s="252" t="s">
        <v>190</v>
      </c>
      <c r="W580" s="252" t="s">
        <v>190</v>
      </c>
      <c r="X580" s="252">
        <v>4</v>
      </c>
      <c r="Y580" s="253" t="s">
        <v>3639</v>
      </c>
      <c r="Z580" s="254"/>
      <c r="AA580" s="254" t="s">
        <v>186</v>
      </c>
      <c r="AB580" s="252"/>
      <c r="AC580" s="255"/>
      <c r="AD580" s="256" t="s">
        <v>188</v>
      </c>
      <c r="AE580" s="256" t="s">
        <v>188</v>
      </c>
      <c r="AF580" s="256" t="s">
        <v>188</v>
      </c>
      <c r="AG580" s="258"/>
      <c r="AH580" s="259"/>
      <c r="AI580" s="259"/>
      <c r="AJ580" s="260" t="s">
        <v>190</v>
      </c>
      <c r="AK580" s="260" t="s">
        <v>190</v>
      </c>
      <c r="AL580" s="260" t="s">
        <v>190</v>
      </c>
      <c r="AM580" s="255" t="s">
        <v>2499</v>
      </c>
      <c r="AN580" s="22">
        <v>182</v>
      </c>
      <c r="AO580" s="22">
        <v>0</v>
      </c>
      <c r="AP580" s="22">
        <v>20</v>
      </c>
      <c r="AQ580" s="22">
        <v>0</v>
      </c>
      <c r="AR580" s="22">
        <v>0</v>
      </c>
      <c r="AS580" s="22">
        <v>7</v>
      </c>
      <c r="AT580" s="22">
        <v>10</v>
      </c>
      <c r="AU580" s="316">
        <f t="shared" ref="AU580:AU643" si="100">SUM(AN580:AT580)</f>
        <v>219</v>
      </c>
      <c r="AV580" s="22">
        <v>190</v>
      </c>
      <c r="AW580" s="22">
        <v>0</v>
      </c>
      <c r="AX580" s="22">
        <v>20</v>
      </c>
      <c r="AY580" s="22">
        <v>0</v>
      </c>
      <c r="AZ580" s="22">
        <v>0</v>
      </c>
      <c r="BA580" s="22">
        <v>7</v>
      </c>
      <c r="BB580" s="22">
        <v>10</v>
      </c>
      <c r="BC580" s="316">
        <f t="shared" ref="BC580:BC643" si="101">SUM(AV580:BB580)</f>
        <v>227</v>
      </c>
      <c r="BD580" s="58">
        <f t="shared" ref="BD580:BD643" si="102">AV580-AN580</f>
        <v>8</v>
      </c>
      <c r="BE580" s="58">
        <f t="shared" ref="BE580:BE643" si="103">AW580-AO580</f>
        <v>0</v>
      </c>
      <c r="BF580" s="58">
        <f t="shared" ref="BF580:BF643" si="104">AX580-AP580</f>
        <v>0</v>
      </c>
      <c r="BG580" s="58">
        <f t="shared" ref="BG580:BG643" si="105">AY580-AQ580</f>
        <v>0</v>
      </c>
      <c r="BH580" s="58">
        <f t="shared" ref="BH580:BH643" si="106">AZ580-AR580</f>
        <v>0</v>
      </c>
      <c r="BI580" s="58">
        <f t="shared" ref="BI580:BI643" si="107">BA580-AS580</f>
        <v>0</v>
      </c>
      <c r="BJ580" s="58">
        <f t="shared" ref="BJ580:BJ643" si="108">BB580-AT580</f>
        <v>0</v>
      </c>
      <c r="BK580" s="58">
        <f t="shared" ref="BK580:BK643" si="109">BC580-AU580</f>
        <v>8</v>
      </c>
    </row>
    <row r="581" spans="1:63" ht="27" customHeight="1">
      <c r="A581" s="238">
        <f t="shared" ref="A581:A644" si="110">1+A580</f>
        <v>579</v>
      </c>
      <c r="B581" s="239"/>
      <c r="C581" s="239">
        <v>3646</v>
      </c>
      <c r="D581" s="241">
        <v>0</v>
      </c>
      <c r="E581" s="242" t="s">
        <v>3640</v>
      </c>
      <c r="F581" s="243" t="s">
        <v>3032</v>
      </c>
      <c r="G581" s="244" t="s">
        <v>3641</v>
      </c>
      <c r="H581" s="245" t="s">
        <v>3642</v>
      </c>
      <c r="I581" s="246" t="s">
        <v>3643</v>
      </c>
      <c r="J581" s="247" t="s">
        <v>178</v>
      </c>
      <c r="K581" s="248">
        <v>33327</v>
      </c>
      <c r="L581" s="249" t="s">
        <v>179</v>
      </c>
      <c r="M581" s="250">
        <v>43754</v>
      </c>
      <c r="N581" s="250"/>
      <c r="O581" s="250" t="s">
        <v>3644</v>
      </c>
      <c r="P581" s="238" t="s">
        <v>318</v>
      </c>
      <c r="Q581" s="238" t="s">
        <v>249</v>
      </c>
      <c r="R581" s="238" t="s">
        <v>182</v>
      </c>
      <c r="S581" s="238" t="s">
        <v>2359</v>
      </c>
      <c r="T581" s="251"/>
      <c r="U581" s="251"/>
      <c r="V581" s="252" t="s">
        <v>190</v>
      </c>
      <c r="W581" s="252" t="s">
        <v>190</v>
      </c>
      <c r="X581" s="252">
        <v>8</v>
      </c>
      <c r="Y581" s="252" t="s">
        <v>3645</v>
      </c>
      <c r="Z581" s="254"/>
      <c r="AA581" s="254" t="s">
        <v>186</v>
      </c>
      <c r="AB581" s="252"/>
      <c r="AC581" s="255"/>
      <c r="AD581" s="256" t="s">
        <v>3607</v>
      </c>
      <c r="AE581" s="256"/>
      <c r="AF581" s="257"/>
      <c r="AG581" s="258"/>
      <c r="AH581" s="259"/>
      <c r="AI581" s="259"/>
      <c r="AJ581" s="260" t="s">
        <v>190</v>
      </c>
      <c r="AK581" s="260" t="s">
        <v>190</v>
      </c>
      <c r="AL581" s="260" t="s">
        <v>190</v>
      </c>
      <c r="AM581" s="255" t="s">
        <v>2499</v>
      </c>
      <c r="AN581" s="22">
        <v>182</v>
      </c>
      <c r="AO581" s="22">
        <v>0</v>
      </c>
      <c r="AP581" s="22">
        <v>0</v>
      </c>
      <c r="AQ581" s="22">
        <v>0</v>
      </c>
      <c r="AR581" s="22">
        <v>0</v>
      </c>
      <c r="AS581" s="22">
        <v>7</v>
      </c>
      <c r="AT581" s="22">
        <v>10</v>
      </c>
      <c r="AU581" s="316">
        <f t="shared" si="100"/>
        <v>199</v>
      </c>
      <c r="AV581" s="22">
        <v>190</v>
      </c>
      <c r="AW581" s="22">
        <v>0</v>
      </c>
      <c r="AX581" s="22">
        <v>0</v>
      </c>
      <c r="AY581" s="22">
        <v>0</v>
      </c>
      <c r="AZ581" s="22">
        <v>0</v>
      </c>
      <c r="BA581" s="22">
        <v>7</v>
      </c>
      <c r="BB581" s="22">
        <v>10</v>
      </c>
      <c r="BC581" s="316">
        <f t="shared" si="101"/>
        <v>207</v>
      </c>
      <c r="BD581" s="58">
        <f t="shared" si="102"/>
        <v>8</v>
      </c>
      <c r="BE581" s="58">
        <f t="shared" si="103"/>
        <v>0</v>
      </c>
      <c r="BF581" s="58">
        <f t="shared" si="104"/>
        <v>0</v>
      </c>
      <c r="BG581" s="58">
        <f t="shared" si="105"/>
        <v>0</v>
      </c>
      <c r="BH581" s="58">
        <f t="shared" si="106"/>
        <v>0</v>
      </c>
      <c r="BI581" s="58">
        <f t="shared" si="107"/>
        <v>0</v>
      </c>
      <c r="BJ581" s="58">
        <f t="shared" si="108"/>
        <v>0</v>
      </c>
      <c r="BK581" s="58">
        <f t="shared" si="109"/>
        <v>8</v>
      </c>
    </row>
    <row r="582" spans="1:63" ht="27" customHeight="1">
      <c r="A582" s="238">
        <f t="shared" si="110"/>
        <v>580</v>
      </c>
      <c r="B582" s="239"/>
      <c r="C582" s="239">
        <v>3293</v>
      </c>
      <c r="D582" s="241">
        <v>0</v>
      </c>
      <c r="E582" s="242" t="s">
        <v>3646</v>
      </c>
      <c r="F582" s="243" t="s">
        <v>1814</v>
      </c>
      <c r="G582" s="244" t="s">
        <v>3647</v>
      </c>
      <c r="H582" s="245" t="s">
        <v>1816</v>
      </c>
      <c r="I582" s="246" t="s">
        <v>3648</v>
      </c>
      <c r="J582" s="247" t="s">
        <v>178</v>
      </c>
      <c r="K582" s="248">
        <v>35868</v>
      </c>
      <c r="L582" s="249" t="s">
        <v>179</v>
      </c>
      <c r="M582" s="250">
        <v>43746</v>
      </c>
      <c r="N582" s="250"/>
      <c r="O582" s="250"/>
      <c r="P582" s="238" t="s">
        <v>3649</v>
      </c>
      <c r="Q582" s="238" t="s">
        <v>249</v>
      </c>
      <c r="R582" s="238" t="s">
        <v>182</v>
      </c>
      <c r="S582" s="238" t="s">
        <v>3650</v>
      </c>
      <c r="T582" s="251"/>
      <c r="U582" s="251"/>
      <c r="V582" s="252" t="s">
        <v>190</v>
      </c>
      <c r="W582" s="252" t="s">
        <v>190</v>
      </c>
      <c r="X582" s="252">
        <v>7</v>
      </c>
      <c r="Y582" s="253" t="s">
        <v>3651</v>
      </c>
      <c r="Z582" s="254"/>
      <c r="AA582" s="254" t="s">
        <v>186</v>
      </c>
      <c r="AB582" s="252"/>
      <c r="AC582" s="255"/>
      <c r="AD582" s="256" t="s">
        <v>3607</v>
      </c>
      <c r="AE582" s="256"/>
      <c r="AF582" s="257"/>
      <c r="AG582" s="258"/>
      <c r="AH582" s="259"/>
      <c r="AI582" s="259"/>
      <c r="AJ582" s="260" t="s">
        <v>190</v>
      </c>
      <c r="AK582" s="260" t="s">
        <v>190</v>
      </c>
      <c r="AL582" s="260" t="s">
        <v>190</v>
      </c>
      <c r="AM582" s="255" t="s">
        <v>2499</v>
      </c>
      <c r="AN582" s="22">
        <v>182</v>
      </c>
      <c r="AO582" s="22">
        <v>0</v>
      </c>
      <c r="AP582" s="22">
        <v>20</v>
      </c>
      <c r="AQ582" s="22">
        <v>0</v>
      </c>
      <c r="AR582" s="22">
        <v>0</v>
      </c>
      <c r="AS582" s="22">
        <v>7</v>
      </c>
      <c r="AT582" s="22">
        <v>10</v>
      </c>
      <c r="AU582" s="316">
        <f t="shared" si="100"/>
        <v>219</v>
      </c>
      <c r="AV582" s="22">
        <v>190</v>
      </c>
      <c r="AW582" s="22">
        <v>0</v>
      </c>
      <c r="AX582" s="22">
        <v>20</v>
      </c>
      <c r="AY582" s="22">
        <v>0</v>
      </c>
      <c r="AZ582" s="22">
        <v>0</v>
      </c>
      <c r="BA582" s="22">
        <v>7</v>
      </c>
      <c r="BB582" s="22">
        <v>10</v>
      </c>
      <c r="BC582" s="316">
        <f t="shared" si="101"/>
        <v>227</v>
      </c>
      <c r="BD582" s="58">
        <f t="shared" si="102"/>
        <v>8</v>
      </c>
      <c r="BE582" s="58">
        <f t="shared" si="103"/>
        <v>0</v>
      </c>
      <c r="BF582" s="58">
        <f t="shared" si="104"/>
        <v>0</v>
      </c>
      <c r="BG582" s="58">
        <f t="shared" si="105"/>
        <v>0</v>
      </c>
      <c r="BH582" s="58">
        <f t="shared" si="106"/>
        <v>0</v>
      </c>
      <c r="BI582" s="58">
        <f t="shared" si="107"/>
        <v>0</v>
      </c>
      <c r="BJ582" s="58">
        <f t="shared" si="108"/>
        <v>0</v>
      </c>
      <c r="BK582" s="58">
        <f t="shared" si="109"/>
        <v>8</v>
      </c>
    </row>
    <row r="583" spans="1:63" ht="27" customHeight="1">
      <c r="A583" s="238">
        <f t="shared" si="110"/>
        <v>581</v>
      </c>
      <c r="B583" s="239"/>
      <c r="C583" s="239">
        <v>3259</v>
      </c>
      <c r="D583" s="241" t="s">
        <v>3652</v>
      </c>
      <c r="E583" s="242" t="s">
        <v>296</v>
      </c>
      <c r="F583" s="243" t="s">
        <v>436</v>
      </c>
      <c r="G583" s="244" t="s">
        <v>3653</v>
      </c>
      <c r="H583" s="245" t="s">
        <v>1188</v>
      </c>
      <c r="I583" s="246" t="s">
        <v>3654</v>
      </c>
      <c r="J583" s="247" t="s">
        <v>178</v>
      </c>
      <c r="K583" s="248">
        <v>34596</v>
      </c>
      <c r="L583" s="249" t="s">
        <v>179</v>
      </c>
      <c r="M583" s="250">
        <v>43746</v>
      </c>
      <c r="N583" s="250"/>
      <c r="O583" s="250"/>
      <c r="P583" s="238" t="s">
        <v>3649</v>
      </c>
      <c r="Q583" s="238" t="s">
        <v>249</v>
      </c>
      <c r="R583" s="238" t="s">
        <v>182</v>
      </c>
      <c r="S583" s="238" t="s">
        <v>2397</v>
      </c>
      <c r="T583" s="251"/>
      <c r="U583" s="251"/>
      <c r="V583" s="252" t="s">
        <v>190</v>
      </c>
      <c r="W583" s="252" t="s">
        <v>190</v>
      </c>
      <c r="X583" s="252">
        <v>1</v>
      </c>
      <c r="Y583" s="253" t="s">
        <v>3655</v>
      </c>
      <c r="Z583" s="254"/>
      <c r="AA583" s="254" t="s">
        <v>186</v>
      </c>
      <c r="AB583" s="252"/>
      <c r="AC583" s="255"/>
      <c r="AD583" s="256" t="s">
        <v>188</v>
      </c>
      <c r="AE583" s="256"/>
      <c r="AF583" s="257"/>
      <c r="AG583" s="258"/>
      <c r="AH583" s="259"/>
      <c r="AI583" s="259"/>
      <c r="AJ583" s="260" t="s">
        <v>190</v>
      </c>
      <c r="AK583" s="260" t="s">
        <v>190</v>
      </c>
      <c r="AL583" s="260" t="s">
        <v>190</v>
      </c>
      <c r="AM583" s="255" t="s">
        <v>2499</v>
      </c>
      <c r="AN583" s="22">
        <v>182</v>
      </c>
      <c r="AO583" s="22">
        <v>0</v>
      </c>
      <c r="AP583" s="22">
        <v>20</v>
      </c>
      <c r="AQ583" s="22">
        <v>0</v>
      </c>
      <c r="AR583" s="22">
        <v>0</v>
      </c>
      <c r="AS583" s="22">
        <v>7</v>
      </c>
      <c r="AT583" s="22">
        <v>10</v>
      </c>
      <c r="AU583" s="316">
        <f t="shared" si="100"/>
        <v>219</v>
      </c>
      <c r="AV583" s="22">
        <v>190</v>
      </c>
      <c r="AW583" s="22">
        <v>0</v>
      </c>
      <c r="AX583" s="22">
        <v>20</v>
      </c>
      <c r="AY583" s="22">
        <v>0</v>
      </c>
      <c r="AZ583" s="22">
        <v>0</v>
      </c>
      <c r="BA583" s="22">
        <v>7</v>
      </c>
      <c r="BB583" s="22">
        <v>10</v>
      </c>
      <c r="BC583" s="316">
        <f t="shared" si="101"/>
        <v>227</v>
      </c>
      <c r="BD583" s="58">
        <f t="shared" si="102"/>
        <v>8</v>
      </c>
      <c r="BE583" s="58">
        <f t="shared" si="103"/>
        <v>0</v>
      </c>
      <c r="BF583" s="58">
        <f t="shared" si="104"/>
        <v>0</v>
      </c>
      <c r="BG583" s="58">
        <f t="shared" si="105"/>
        <v>0</v>
      </c>
      <c r="BH583" s="58">
        <f t="shared" si="106"/>
        <v>0</v>
      </c>
      <c r="BI583" s="58">
        <f t="shared" si="107"/>
        <v>0</v>
      </c>
      <c r="BJ583" s="58">
        <f t="shared" si="108"/>
        <v>0</v>
      </c>
      <c r="BK583" s="58">
        <f t="shared" si="109"/>
        <v>8</v>
      </c>
    </row>
    <row r="584" spans="1:63" ht="27" customHeight="1">
      <c r="A584" s="238">
        <f t="shared" si="110"/>
        <v>582</v>
      </c>
      <c r="B584" s="239"/>
      <c r="C584" s="239">
        <v>3256</v>
      </c>
      <c r="D584" s="241">
        <v>0</v>
      </c>
      <c r="E584" s="242" t="s">
        <v>296</v>
      </c>
      <c r="F584" s="243" t="s">
        <v>3656</v>
      </c>
      <c r="G584" s="244" t="s">
        <v>3657</v>
      </c>
      <c r="H584" s="245">
        <v>0</v>
      </c>
      <c r="I584" s="246">
        <v>0</v>
      </c>
      <c r="J584" s="247" t="s">
        <v>178</v>
      </c>
      <c r="K584" s="248"/>
      <c r="L584" s="249" t="s">
        <v>179</v>
      </c>
      <c r="M584" s="250">
        <v>43741</v>
      </c>
      <c r="N584" s="250"/>
      <c r="O584" s="250"/>
      <c r="P584" s="238" t="s">
        <v>3649</v>
      </c>
      <c r="Q584" s="238" t="s">
        <v>249</v>
      </c>
      <c r="R584" s="238" t="s">
        <v>182</v>
      </c>
      <c r="S584" s="238" t="s">
        <v>2359</v>
      </c>
      <c r="T584" s="251"/>
      <c r="U584" s="251"/>
      <c r="V584" s="252" t="s">
        <v>190</v>
      </c>
      <c r="W584" s="252" t="s">
        <v>190</v>
      </c>
      <c r="X584" s="252">
        <v>5</v>
      </c>
      <c r="Y584" s="253" t="s">
        <v>3658</v>
      </c>
      <c r="Z584" s="254"/>
      <c r="AA584" s="254" t="s">
        <v>186</v>
      </c>
      <c r="AB584" s="252"/>
      <c r="AC584" s="255"/>
      <c r="AD584" s="256" t="s">
        <v>188</v>
      </c>
      <c r="AE584" s="256" t="s">
        <v>3607</v>
      </c>
      <c r="AF584" s="257"/>
      <c r="AG584" s="258"/>
      <c r="AH584" s="259"/>
      <c r="AI584" s="259"/>
      <c r="AJ584" s="260" t="s">
        <v>190</v>
      </c>
      <c r="AK584" s="260" t="s">
        <v>190</v>
      </c>
      <c r="AL584" s="260" t="s">
        <v>190</v>
      </c>
      <c r="AM584" s="255" t="s">
        <v>3659</v>
      </c>
      <c r="AN584" s="22">
        <v>182</v>
      </c>
      <c r="AO584" s="22">
        <v>0</v>
      </c>
      <c r="AP584" s="22">
        <v>20</v>
      </c>
      <c r="AQ584" s="22">
        <v>20</v>
      </c>
      <c r="AR584" s="22">
        <v>0</v>
      </c>
      <c r="AS584" s="22">
        <v>7</v>
      </c>
      <c r="AT584" s="22">
        <v>10</v>
      </c>
      <c r="AU584" s="316">
        <f t="shared" si="100"/>
        <v>239</v>
      </c>
      <c r="AV584" s="22">
        <v>190</v>
      </c>
      <c r="AW584" s="22">
        <v>0</v>
      </c>
      <c r="AX584" s="22">
        <v>20</v>
      </c>
      <c r="AY584" s="22">
        <v>20</v>
      </c>
      <c r="AZ584" s="22">
        <v>0</v>
      </c>
      <c r="BA584" s="22">
        <v>7</v>
      </c>
      <c r="BB584" s="22">
        <v>10</v>
      </c>
      <c r="BC584" s="316">
        <f t="shared" si="101"/>
        <v>247</v>
      </c>
      <c r="BD584" s="58">
        <f t="shared" si="102"/>
        <v>8</v>
      </c>
      <c r="BE584" s="58">
        <f t="shared" si="103"/>
        <v>0</v>
      </c>
      <c r="BF584" s="58">
        <f t="shared" si="104"/>
        <v>0</v>
      </c>
      <c r="BG584" s="58">
        <f t="shared" si="105"/>
        <v>0</v>
      </c>
      <c r="BH584" s="58">
        <f t="shared" si="106"/>
        <v>0</v>
      </c>
      <c r="BI584" s="58">
        <f t="shared" si="107"/>
        <v>0</v>
      </c>
      <c r="BJ584" s="58">
        <f t="shared" si="108"/>
        <v>0</v>
      </c>
      <c r="BK584" s="58">
        <f t="shared" si="109"/>
        <v>8</v>
      </c>
    </row>
    <row r="585" spans="1:63" ht="27" customHeight="1">
      <c r="A585" s="238">
        <f t="shared" si="110"/>
        <v>583</v>
      </c>
      <c r="B585" s="239"/>
      <c r="C585" s="239">
        <v>3626</v>
      </c>
      <c r="D585" s="241">
        <v>0</v>
      </c>
      <c r="E585" s="242" t="s">
        <v>3660</v>
      </c>
      <c r="F585" s="243" t="s">
        <v>3661</v>
      </c>
      <c r="G585" s="244" t="s">
        <v>3662</v>
      </c>
      <c r="H585" s="245" t="s">
        <v>3663</v>
      </c>
      <c r="I585" s="246" t="s">
        <v>3664</v>
      </c>
      <c r="J585" s="247" t="s">
        <v>209</v>
      </c>
      <c r="K585" s="248">
        <v>36595</v>
      </c>
      <c r="L585" s="249" t="s">
        <v>179</v>
      </c>
      <c r="M585" s="250">
        <v>43750</v>
      </c>
      <c r="N585" s="250"/>
      <c r="O585" s="250" t="s">
        <v>3644</v>
      </c>
      <c r="P585" s="238" t="s">
        <v>3638</v>
      </c>
      <c r="Q585" s="238" t="s">
        <v>249</v>
      </c>
      <c r="R585" s="238" t="s">
        <v>182</v>
      </c>
      <c r="S585" s="238" t="s">
        <v>2359</v>
      </c>
      <c r="T585" s="251"/>
      <c r="U585" s="251"/>
      <c r="V585" s="252" t="s">
        <v>190</v>
      </c>
      <c r="W585" s="252" t="s">
        <v>190</v>
      </c>
      <c r="X585" s="252">
        <v>11</v>
      </c>
      <c r="Y585" s="253" t="s">
        <v>3665</v>
      </c>
      <c r="Z585" s="254"/>
      <c r="AA585" s="254" t="s">
        <v>186</v>
      </c>
      <c r="AB585" s="252"/>
      <c r="AC585" s="255"/>
      <c r="AD585" s="256"/>
      <c r="AE585" s="256"/>
      <c r="AF585" s="257"/>
      <c r="AG585" s="258"/>
      <c r="AH585" s="259"/>
      <c r="AI585" s="259"/>
      <c r="AJ585" s="260" t="s">
        <v>190</v>
      </c>
      <c r="AK585" s="260" t="s">
        <v>190</v>
      </c>
      <c r="AL585" s="260" t="s">
        <v>190</v>
      </c>
      <c r="AM585" s="255" t="s">
        <v>2499</v>
      </c>
      <c r="AN585" s="22">
        <v>182</v>
      </c>
      <c r="AO585" s="22">
        <v>0</v>
      </c>
      <c r="AP585" s="22">
        <v>0</v>
      </c>
      <c r="AQ585" s="22">
        <v>0</v>
      </c>
      <c r="AR585" s="22">
        <v>0</v>
      </c>
      <c r="AS585" s="22">
        <v>7</v>
      </c>
      <c r="AT585" s="22">
        <v>10</v>
      </c>
      <c r="AU585" s="316">
        <f t="shared" si="100"/>
        <v>199</v>
      </c>
      <c r="AV585" s="22">
        <v>190</v>
      </c>
      <c r="AW585" s="22">
        <v>0</v>
      </c>
      <c r="AX585" s="22">
        <v>0</v>
      </c>
      <c r="AY585" s="22">
        <v>0</v>
      </c>
      <c r="AZ585" s="22">
        <v>0</v>
      </c>
      <c r="BA585" s="22">
        <v>7</v>
      </c>
      <c r="BB585" s="22">
        <v>10</v>
      </c>
      <c r="BC585" s="316">
        <f t="shared" si="101"/>
        <v>207</v>
      </c>
      <c r="BD585" s="58">
        <f t="shared" si="102"/>
        <v>8</v>
      </c>
      <c r="BE585" s="58">
        <f t="shared" si="103"/>
        <v>0</v>
      </c>
      <c r="BF585" s="58">
        <f t="shared" si="104"/>
        <v>0</v>
      </c>
      <c r="BG585" s="58">
        <f t="shared" si="105"/>
        <v>0</v>
      </c>
      <c r="BH585" s="58">
        <f t="shared" si="106"/>
        <v>0</v>
      </c>
      <c r="BI585" s="58">
        <f t="shared" si="107"/>
        <v>0</v>
      </c>
      <c r="BJ585" s="58">
        <f t="shared" si="108"/>
        <v>0</v>
      </c>
      <c r="BK585" s="58">
        <f t="shared" si="109"/>
        <v>8</v>
      </c>
    </row>
    <row r="586" spans="1:63" ht="27" customHeight="1">
      <c r="A586" s="238">
        <f t="shared" si="110"/>
        <v>584</v>
      </c>
      <c r="B586" s="239"/>
      <c r="C586" s="239">
        <v>3342</v>
      </c>
      <c r="D586" s="241" t="s">
        <v>3666</v>
      </c>
      <c r="E586" s="242" t="s">
        <v>3667</v>
      </c>
      <c r="F586" s="243" t="s">
        <v>1114</v>
      </c>
      <c r="G586" s="244" t="s">
        <v>3668</v>
      </c>
      <c r="H586" s="245" t="s">
        <v>3669</v>
      </c>
      <c r="I586" s="246" t="s">
        <v>3670</v>
      </c>
      <c r="J586" s="247" t="s">
        <v>178</v>
      </c>
      <c r="K586" s="248">
        <v>31755</v>
      </c>
      <c r="L586" s="249" t="s">
        <v>179</v>
      </c>
      <c r="M586" s="250">
        <v>43743</v>
      </c>
      <c r="N586" s="250"/>
      <c r="O586" s="250"/>
      <c r="P586" s="238" t="s">
        <v>339</v>
      </c>
      <c r="Q586" s="238" t="s">
        <v>181</v>
      </c>
      <c r="R586" s="238" t="s">
        <v>182</v>
      </c>
      <c r="S586" s="238" t="s">
        <v>3514</v>
      </c>
      <c r="T586" s="251"/>
      <c r="U586" s="251"/>
      <c r="V586" s="252" t="s">
        <v>184</v>
      </c>
      <c r="W586" s="252" t="s">
        <v>184</v>
      </c>
      <c r="X586" s="252">
        <v>6</v>
      </c>
      <c r="Y586" s="253"/>
      <c r="Z586" s="254"/>
      <c r="AA586" s="254" t="s">
        <v>186</v>
      </c>
      <c r="AB586" s="252"/>
      <c r="AC586" s="255"/>
      <c r="AD586" s="256"/>
      <c r="AE586" s="256"/>
      <c r="AF586" s="257"/>
      <c r="AG586" s="258"/>
      <c r="AH586" s="259"/>
      <c r="AI586" s="259"/>
      <c r="AJ586" s="260" t="s">
        <v>203</v>
      </c>
      <c r="AK586" s="260" t="s">
        <v>190</v>
      </c>
      <c r="AL586" s="260" t="s">
        <v>190</v>
      </c>
      <c r="AM586" s="255" t="s">
        <v>2499</v>
      </c>
      <c r="AN586" s="22">
        <v>182</v>
      </c>
      <c r="AO586" s="22">
        <v>0</v>
      </c>
      <c r="AP586" s="22">
        <v>0</v>
      </c>
      <c r="AQ586" s="22">
        <v>0</v>
      </c>
      <c r="AR586" s="22">
        <v>0</v>
      </c>
      <c r="AS586" s="22">
        <v>7</v>
      </c>
      <c r="AT586" s="22">
        <v>10</v>
      </c>
      <c r="AU586" s="316">
        <f t="shared" si="100"/>
        <v>199</v>
      </c>
      <c r="AV586" s="22">
        <v>190</v>
      </c>
      <c r="AW586" s="22">
        <v>0</v>
      </c>
      <c r="AX586" s="22">
        <v>0</v>
      </c>
      <c r="AY586" s="22">
        <v>0</v>
      </c>
      <c r="AZ586" s="22">
        <v>0</v>
      </c>
      <c r="BA586" s="22">
        <v>7</v>
      </c>
      <c r="BB586" s="22">
        <v>10</v>
      </c>
      <c r="BC586" s="316">
        <f t="shared" si="101"/>
        <v>207</v>
      </c>
      <c r="BD586" s="58">
        <f t="shared" si="102"/>
        <v>8</v>
      </c>
      <c r="BE586" s="58">
        <f t="shared" si="103"/>
        <v>0</v>
      </c>
      <c r="BF586" s="58">
        <f t="shared" si="104"/>
        <v>0</v>
      </c>
      <c r="BG586" s="58">
        <f t="shared" si="105"/>
        <v>0</v>
      </c>
      <c r="BH586" s="58">
        <f t="shared" si="106"/>
        <v>0</v>
      </c>
      <c r="BI586" s="58">
        <f t="shared" si="107"/>
        <v>0</v>
      </c>
      <c r="BJ586" s="58">
        <f t="shared" si="108"/>
        <v>0</v>
      </c>
      <c r="BK586" s="58">
        <f t="shared" si="109"/>
        <v>8</v>
      </c>
    </row>
    <row r="587" spans="1:63" ht="27" customHeight="1">
      <c r="A587" s="238">
        <f t="shared" si="110"/>
        <v>585</v>
      </c>
      <c r="B587" s="239"/>
      <c r="C587" s="239">
        <v>3414</v>
      </c>
      <c r="D587" s="241" t="s">
        <v>3671</v>
      </c>
      <c r="E587" s="242" t="s">
        <v>3672</v>
      </c>
      <c r="F587" s="243" t="s">
        <v>3673</v>
      </c>
      <c r="G587" s="244" t="s">
        <v>3027</v>
      </c>
      <c r="H587" s="245" t="s">
        <v>3674</v>
      </c>
      <c r="I587" s="246" t="s">
        <v>115</v>
      </c>
      <c r="J587" s="247" t="s">
        <v>178</v>
      </c>
      <c r="K587" s="248">
        <v>31109</v>
      </c>
      <c r="L587" s="249" t="s">
        <v>179</v>
      </c>
      <c r="M587" s="250">
        <v>43763</v>
      </c>
      <c r="N587" s="250"/>
      <c r="O587" s="250"/>
      <c r="P587" s="238" t="s">
        <v>309</v>
      </c>
      <c r="Q587" s="238" t="s">
        <v>181</v>
      </c>
      <c r="R587" s="238" t="s">
        <v>182</v>
      </c>
      <c r="S587" s="238" t="s">
        <v>2430</v>
      </c>
      <c r="T587" s="251"/>
      <c r="U587" s="251"/>
      <c r="V587" s="252" t="s">
        <v>184</v>
      </c>
      <c r="W587" s="252" t="s">
        <v>184</v>
      </c>
      <c r="X587" s="252">
        <v>7</v>
      </c>
      <c r="Y587" s="253" t="s">
        <v>3675</v>
      </c>
      <c r="Z587" s="254"/>
      <c r="AA587" s="254" t="s">
        <v>186</v>
      </c>
      <c r="AB587" s="252"/>
      <c r="AC587" s="255"/>
      <c r="AD587" s="256"/>
      <c r="AE587" s="256"/>
      <c r="AF587" s="257"/>
      <c r="AG587" s="258"/>
      <c r="AH587" s="259"/>
      <c r="AI587" s="259"/>
      <c r="AJ587" s="260" t="s">
        <v>203</v>
      </c>
      <c r="AK587" s="260" t="s">
        <v>190</v>
      </c>
      <c r="AL587" s="260" t="s">
        <v>190</v>
      </c>
      <c r="AM587" s="255" t="s">
        <v>2499</v>
      </c>
      <c r="AN587" s="22">
        <v>182</v>
      </c>
      <c r="AO587" s="22">
        <v>0</v>
      </c>
      <c r="AP587" s="22">
        <v>0</v>
      </c>
      <c r="AQ587" s="22">
        <v>0</v>
      </c>
      <c r="AR587" s="22">
        <v>0</v>
      </c>
      <c r="AS587" s="22">
        <v>7</v>
      </c>
      <c r="AT587" s="22">
        <v>10</v>
      </c>
      <c r="AU587" s="316">
        <f t="shared" si="100"/>
        <v>199</v>
      </c>
      <c r="AV587" s="22">
        <v>190</v>
      </c>
      <c r="AW587" s="22">
        <v>0</v>
      </c>
      <c r="AX587" s="22">
        <v>0</v>
      </c>
      <c r="AY587" s="22">
        <v>0</v>
      </c>
      <c r="AZ587" s="22">
        <v>0</v>
      </c>
      <c r="BA587" s="22">
        <v>7</v>
      </c>
      <c r="BB587" s="22">
        <v>10</v>
      </c>
      <c r="BC587" s="316">
        <f t="shared" si="101"/>
        <v>207</v>
      </c>
      <c r="BD587" s="58">
        <f t="shared" si="102"/>
        <v>8</v>
      </c>
      <c r="BE587" s="58">
        <f t="shared" si="103"/>
        <v>0</v>
      </c>
      <c r="BF587" s="58">
        <f t="shared" si="104"/>
        <v>0</v>
      </c>
      <c r="BG587" s="58">
        <f t="shared" si="105"/>
        <v>0</v>
      </c>
      <c r="BH587" s="58">
        <f t="shared" si="106"/>
        <v>0</v>
      </c>
      <c r="BI587" s="58">
        <f t="shared" si="107"/>
        <v>0</v>
      </c>
      <c r="BJ587" s="58">
        <f t="shared" si="108"/>
        <v>0</v>
      </c>
      <c r="BK587" s="58">
        <f t="shared" si="109"/>
        <v>8</v>
      </c>
    </row>
    <row r="588" spans="1:63" ht="27" customHeight="1">
      <c r="A588" s="238">
        <f t="shared" si="110"/>
        <v>586</v>
      </c>
      <c r="B588" s="239"/>
      <c r="C588" s="239">
        <v>3667</v>
      </c>
      <c r="D588" s="241" t="s">
        <v>3676</v>
      </c>
      <c r="E588" s="242" t="s">
        <v>296</v>
      </c>
      <c r="F588" s="243" t="s">
        <v>2037</v>
      </c>
      <c r="G588" s="244" t="s">
        <v>3677</v>
      </c>
      <c r="H588" s="245" t="s">
        <v>2259</v>
      </c>
      <c r="I588" s="246" t="s">
        <v>3678</v>
      </c>
      <c r="J588" s="247" t="s">
        <v>178</v>
      </c>
      <c r="K588" s="248">
        <v>36369</v>
      </c>
      <c r="L588" s="249" t="s">
        <v>179</v>
      </c>
      <c r="M588" s="250">
        <v>43757</v>
      </c>
      <c r="N588" s="250"/>
      <c r="O588" s="250"/>
      <c r="P588" s="238" t="s">
        <v>3634</v>
      </c>
      <c r="Q588" s="238" t="s">
        <v>249</v>
      </c>
      <c r="R588" s="238" t="s">
        <v>182</v>
      </c>
      <c r="S588" s="238" t="s">
        <v>2505</v>
      </c>
      <c r="T588" s="251"/>
      <c r="U588" s="251"/>
      <c r="V588" s="252" t="s">
        <v>184</v>
      </c>
      <c r="W588" s="252" t="s">
        <v>184</v>
      </c>
      <c r="X588" s="252">
        <v>4</v>
      </c>
      <c r="Y588" s="253" t="s">
        <v>3679</v>
      </c>
      <c r="Z588" s="254"/>
      <c r="AA588" s="254" t="s">
        <v>186</v>
      </c>
      <c r="AB588" s="252"/>
      <c r="AC588" s="255"/>
      <c r="AD588" s="256"/>
      <c r="AE588" s="256"/>
      <c r="AF588" s="257"/>
      <c r="AG588" s="258"/>
      <c r="AH588" s="259"/>
      <c r="AI588" s="259"/>
      <c r="AJ588" s="260" t="s">
        <v>203</v>
      </c>
      <c r="AK588" s="260" t="s">
        <v>190</v>
      </c>
      <c r="AL588" s="260" t="s">
        <v>190</v>
      </c>
      <c r="AM588" s="255" t="s">
        <v>2499</v>
      </c>
      <c r="AN588" s="22">
        <v>182</v>
      </c>
      <c r="AO588" s="22">
        <v>0</v>
      </c>
      <c r="AP588" s="22">
        <v>20</v>
      </c>
      <c r="AQ588" s="22">
        <v>0</v>
      </c>
      <c r="AR588" s="22">
        <v>0</v>
      </c>
      <c r="AS588" s="22">
        <v>7</v>
      </c>
      <c r="AT588" s="22">
        <v>10</v>
      </c>
      <c r="AU588" s="316">
        <f t="shared" si="100"/>
        <v>219</v>
      </c>
      <c r="AV588" s="22">
        <v>190</v>
      </c>
      <c r="AW588" s="22">
        <v>0</v>
      </c>
      <c r="AX588" s="22">
        <v>20</v>
      </c>
      <c r="AY588" s="22">
        <v>0</v>
      </c>
      <c r="AZ588" s="22">
        <v>0</v>
      </c>
      <c r="BA588" s="22">
        <v>7</v>
      </c>
      <c r="BB588" s="22">
        <v>10</v>
      </c>
      <c r="BC588" s="316">
        <f t="shared" si="101"/>
        <v>227</v>
      </c>
      <c r="BD588" s="58">
        <f t="shared" si="102"/>
        <v>8</v>
      </c>
      <c r="BE588" s="58">
        <f t="shared" si="103"/>
        <v>0</v>
      </c>
      <c r="BF588" s="58">
        <f t="shared" si="104"/>
        <v>0</v>
      </c>
      <c r="BG588" s="58">
        <f t="shared" si="105"/>
        <v>0</v>
      </c>
      <c r="BH588" s="58">
        <f t="shared" si="106"/>
        <v>0</v>
      </c>
      <c r="BI588" s="58">
        <f t="shared" si="107"/>
        <v>0</v>
      </c>
      <c r="BJ588" s="58">
        <f t="shared" si="108"/>
        <v>0</v>
      </c>
      <c r="BK588" s="58">
        <f t="shared" si="109"/>
        <v>8</v>
      </c>
    </row>
    <row r="589" spans="1:63" ht="27" customHeight="1">
      <c r="A589" s="238">
        <f t="shared" si="110"/>
        <v>587</v>
      </c>
      <c r="B589" s="239"/>
      <c r="C589" s="239">
        <v>3662</v>
      </c>
      <c r="D589" s="241" t="s">
        <v>3680</v>
      </c>
      <c r="E589" s="242" t="s">
        <v>3681</v>
      </c>
      <c r="F589" s="243" t="s">
        <v>3682</v>
      </c>
      <c r="G589" s="244" t="s">
        <v>3683</v>
      </c>
      <c r="H589" s="245" t="s">
        <v>2252</v>
      </c>
      <c r="I589" s="246" t="s">
        <v>3684</v>
      </c>
      <c r="J589" s="247" t="s">
        <v>178</v>
      </c>
      <c r="K589" s="248">
        <v>34015</v>
      </c>
      <c r="L589" s="249" t="s">
        <v>179</v>
      </c>
      <c r="M589" s="250">
        <v>43757</v>
      </c>
      <c r="N589" s="250"/>
      <c r="O589" s="250"/>
      <c r="P589" s="238" t="s">
        <v>3634</v>
      </c>
      <c r="Q589" s="238" t="s">
        <v>249</v>
      </c>
      <c r="R589" s="238" t="s">
        <v>182</v>
      </c>
      <c r="S589" s="238" t="s">
        <v>2505</v>
      </c>
      <c r="T589" s="251"/>
      <c r="U589" s="251"/>
      <c r="V589" s="252" t="s">
        <v>184</v>
      </c>
      <c r="W589" s="252" t="s">
        <v>184</v>
      </c>
      <c r="X589" s="252">
        <v>7</v>
      </c>
      <c r="Y589" s="253" t="s">
        <v>3685</v>
      </c>
      <c r="Z589" s="254"/>
      <c r="AA589" s="254" t="s">
        <v>186</v>
      </c>
      <c r="AB589" s="252"/>
      <c r="AC589" s="255"/>
      <c r="AD589" s="256"/>
      <c r="AE589" s="256"/>
      <c r="AF589" s="257"/>
      <c r="AG589" s="258"/>
      <c r="AH589" s="259"/>
      <c r="AI589" s="259"/>
      <c r="AJ589" s="260" t="s">
        <v>203</v>
      </c>
      <c r="AK589" s="260" t="s">
        <v>190</v>
      </c>
      <c r="AL589" s="260" t="s">
        <v>190</v>
      </c>
      <c r="AM589" s="255" t="s">
        <v>2499</v>
      </c>
      <c r="AN589" s="22">
        <v>182</v>
      </c>
      <c r="AO589" s="22">
        <v>0</v>
      </c>
      <c r="AP589" s="22">
        <v>0</v>
      </c>
      <c r="AQ589" s="22">
        <v>0</v>
      </c>
      <c r="AR589" s="22">
        <v>0</v>
      </c>
      <c r="AS589" s="22">
        <v>7</v>
      </c>
      <c r="AT589" s="22">
        <v>10</v>
      </c>
      <c r="AU589" s="316">
        <f t="shared" si="100"/>
        <v>199</v>
      </c>
      <c r="AV589" s="22">
        <v>190</v>
      </c>
      <c r="AW589" s="22">
        <v>0</v>
      </c>
      <c r="AX589" s="22">
        <v>0</v>
      </c>
      <c r="AY589" s="22">
        <v>0</v>
      </c>
      <c r="AZ589" s="22">
        <v>0</v>
      </c>
      <c r="BA589" s="22">
        <v>7</v>
      </c>
      <c r="BB589" s="22">
        <v>10</v>
      </c>
      <c r="BC589" s="316">
        <f t="shared" si="101"/>
        <v>207</v>
      </c>
      <c r="BD589" s="58">
        <f t="shared" si="102"/>
        <v>8</v>
      </c>
      <c r="BE589" s="58">
        <f t="shared" si="103"/>
        <v>0</v>
      </c>
      <c r="BF589" s="58">
        <f t="shared" si="104"/>
        <v>0</v>
      </c>
      <c r="BG589" s="58">
        <f t="shared" si="105"/>
        <v>0</v>
      </c>
      <c r="BH589" s="58">
        <f t="shared" si="106"/>
        <v>0</v>
      </c>
      <c r="BI589" s="58">
        <f t="shared" si="107"/>
        <v>0</v>
      </c>
      <c r="BJ589" s="58">
        <f t="shared" si="108"/>
        <v>0</v>
      </c>
      <c r="BK589" s="58">
        <f t="shared" si="109"/>
        <v>8</v>
      </c>
    </row>
    <row r="590" spans="1:63" ht="27" customHeight="1">
      <c r="A590" s="238">
        <f t="shared" si="110"/>
        <v>588</v>
      </c>
      <c r="B590" s="239"/>
      <c r="C590" s="239">
        <v>3660</v>
      </c>
      <c r="D590" s="241" t="s">
        <v>3686</v>
      </c>
      <c r="E590" s="242" t="s">
        <v>3687</v>
      </c>
      <c r="F590" s="243" t="s">
        <v>2151</v>
      </c>
      <c r="G590" s="244" t="s">
        <v>2125</v>
      </c>
      <c r="H590" s="245" t="s">
        <v>3688</v>
      </c>
      <c r="I590" s="246" t="s">
        <v>2127</v>
      </c>
      <c r="J590" s="247" t="s">
        <v>178</v>
      </c>
      <c r="K590" s="248">
        <v>33677</v>
      </c>
      <c r="L590" s="249" t="s">
        <v>179</v>
      </c>
      <c r="M590" s="250">
        <v>43757</v>
      </c>
      <c r="N590" s="250"/>
      <c r="O590" s="250"/>
      <c r="P590" s="238" t="s">
        <v>3649</v>
      </c>
      <c r="Q590" s="238" t="s">
        <v>249</v>
      </c>
      <c r="R590" s="238" t="s">
        <v>182</v>
      </c>
      <c r="S590" s="238" t="s">
        <v>2384</v>
      </c>
      <c r="T590" s="251"/>
      <c r="U590" s="251"/>
      <c r="V590" s="252" t="s">
        <v>184</v>
      </c>
      <c r="W590" s="252" t="s">
        <v>184</v>
      </c>
      <c r="X590" s="252">
        <v>8</v>
      </c>
      <c r="Y590" s="253" t="s">
        <v>3689</v>
      </c>
      <c r="Z590" s="254"/>
      <c r="AA590" s="254" t="s">
        <v>186</v>
      </c>
      <c r="AB590" s="252"/>
      <c r="AC590" s="255"/>
      <c r="AD590" s="256"/>
      <c r="AE590" s="256"/>
      <c r="AF590" s="257"/>
      <c r="AG590" s="258"/>
      <c r="AH590" s="259"/>
      <c r="AI590" s="259"/>
      <c r="AJ590" s="260" t="s">
        <v>203</v>
      </c>
      <c r="AK590" s="260" t="s">
        <v>190</v>
      </c>
      <c r="AL590" s="260" t="s">
        <v>190</v>
      </c>
      <c r="AM590" s="255" t="s">
        <v>2499</v>
      </c>
      <c r="AN590" s="22">
        <v>182</v>
      </c>
      <c r="AO590" s="22">
        <v>0</v>
      </c>
      <c r="AP590" s="22">
        <v>20</v>
      </c>
      <c r="AQ590" s="22">
        <v>0</v>
      </c>
      <c r="AR590" s="22">
        <v>0</v>
      </c>
      <c r="AS590" s="22">
        <v>7</v>
      </c>
      <c r="AT590" s="22">
        <v>10</v>
      </c>
      <c r="AU590" s="316">
        <f t="shared" si="100"/>
        <v>219</v>
      </c>
      <c r="AV590" s="22">
        <v>190</v>
      </c>
      <c r="AW590" s="22">
        <v>0</v>
      </c>
      <c r="AX590" s="22">
        <v>20</v>
      </c>
      <c r="AY590" s="22">
        <v>0</v>
      </c>
      <c r="AZ590" s="22">
        <v>0</v>
      </c>
      <c r="BA590" s="22">
        <v>7</v>
      </c>
      <c r="BB590" s="22">
        <v>10</v>
      </c>
      <c r="BC590" s="316">
        <f t="shared" si="101"/>
        <v>227</v>
      </c>
      <c r="BD590" s="58">
        <f t="shared" si="102"/>
        <v>8</v>
      </c>
      <c r="BE590" s="58">
        <f t="shared" si="103"/>
        <v>0</v>
      </c>
      <c r="BF590" s="58">
        <f t="shared" si="104"/>
        <v>0</v>
      </c>
      <c r="BG590" s="58">
        <f t="shared" si="105"/>
        <v>0</v>
      </c>
      <c r="BH590" s="58">
        <f t="shared" si="106"/>
        <v>0</v>
      </c>
      <c r="BI590" s="58">
        <f t="shared" si="107"/>
        <v>0</v>
      </c>
      <c r="BJ590" s="58">
        <f t="shared" si="108"/>
        <v>0</v>
      </c>
      <c r="BK590" s="58">
        <f t="shared" si="109"/>
        <v>8</v>
      </c>
    </row>
    <row r="591" spans="1:63" ht="27" customHeight="1">
      <c r="A591" s="238">
        <f t="shared" si="110"/>
        <v>589</v>
      </c>
      <c r="B591" s="239"/>
      <c r="C591" s="239">
        <v>3661</v>
      </c>
      <c r="D591" s="241" t="s">
        <v>3690</v>
      </c>
      <c r="E591" s="242" t="s">
        <v>3691</v>
      </c>
      <c r="F591" s="243" t="s">
        <v>407</v>
      </c>
      <c r="G591" s="244" t="s">
        <v>509</v>
      </c>
      <c r="H591" s="245" t="s">
        <v>3345</v>
      </c>
      <c r="I591" s="246" t="s">
        <v>46</v>
      </c>
      <c r="J591" s="247" t="s">
        <v>178</v>
      </c>
      <c r="K591" s="248">
        <v>33534</v>
      </c>
      <c r="L591" s="249" t="s">
        <v>179</v>
      </c>
      <c r="M591" s="250">
        <v>43757</v>
      </c>
      <c r="N591" s="250"/>
      <c r="O591" s="250"/>
      <c r="P591" s="238" t="s">
        <v>3634</v>
      </c>
      <c r="Q591" s="238" t="s">
        <v>249</v>
      </c>
      <c r="R591" s="238" t="s">
        <v>182</v>
      </c>
      <c r="S591" s="238" t="s">
        <v>2384</v>
      </c>
      <c r="T591" s="251"/>
      <c r="U591" s="251"/>
      <c r="V591" s="252" t="s">
        <v>184</v>
      </c>
      <c r="W591" s="252" t="s">
        <v>184</v>
      </c>
      <c r="X591" s="252">
        <v>8</v>
      </c>
      <c r="Y591" s="253" t="s">
        <v>3692</v>
      </c>
      <c r="Z591" s="254"/>
      <c r="AA591" s="254" t="s">
        <v>186</v>
      </c>
      <c r="AB591" s="252"/>
      <c r="AC591" s="255"/>
      <c r="AD591" s="256"/>
      <c r="AE591" s="256"/>
      <c r="AF591" s="257"/>
      <c r="AG591" s="258"/>
      <c r="AH591" s="259"/>
      <c r="AI591" s="259"/>
      <c r="AJ591" s="260" t="s">
        <v>203</v>
      </c>
      <c r="AK591" s="260" t="s">
        <v>190</v>
      </c>
      <c r="AL591" s="260" t="s">
        <v>190</v>
      </c>
      <c r="AM591" s="255" t="s">
        <v>2499</v>
      </c>
      <c r="AN591" s="22">
        <v>182</v>
      </c>
      <c r="AO591" s="22">
        <v>0</v>
      </c>
      <c r="AP591" s="22">
        <v>20</v>
      </c>
      <c r="AQ591" s="22">
        <v>0</v>
      </c>
      <c r="AR591" s="22">
        <v>0</v>
      </c>
      <c r="AS591" s="22">
        <v>7</v>
      </c>
      <c r="AT591" s="22">
        <v>10</v>
      </c>
      <c r="AU591" s="316">
        <f t="shared" si="100"/>
        <v>219</v>
      </c>
      <c r="AV591" s="22">
        <v>190</v>
      </c>
      <c r="AW591" s="22">
        <v>0</v>
      </c>
      <c r="AX591" s="22">
        <v>20</v>
      </c>
      <c r="AY591" s="22">
        <v>0</v>
      </c>
      <c r="AZ591" s="22">
        <v>0</v>
      </c>
      <c r="BA591" s="22">
        <v>7</v>
      </c>
      <c r="BB591" s="22">
        <v>10</v>
      </c>
      <c r="BC591" s="316">
        <f t="shared" si="101"/>
        <v>227</v>
      </c>
      <c r="BD591" s="58">
        <f t="shared" si="102"/>
        <v>8</v>
      </c>
      <c r="BE591" s="58">
        <f t="shared" si="103"/>
        <v>0</v>
      </c>
      <c r="BF591" s="58">
        <f t="shared" si="104"/>
        <v>0</v>
      </c>
      <c r="BG591" s="58">
        <f t="shared" si="105"/>
        <v>0</v>
      </c>
      <c r="BH591" s="58">
        <f t="shared" si="106"/>
        <v>0</v>
      </c>
      <c r="BI591" s="58">
        <f t="shared" si="107"/>
        <v>0</v>
      </c>
      <c r="BJ591" s="58">
        <f t="shared" si="108"/>
        <v>0</v>
      </c>
      <c r="BK591" s="58">
        <f t="shared" si="109"/>
        <v>8</v>
      </c>
    </row>
    <row r="592" spans="1:63" ht="27" customHeight="1">
      <c r="A592" s="238">
        <f t="shared" si="110"/>
        <v>590</v>
      </c>
      <c r="B592" s="239"/>
      <c r="C592" s="239">
        <v>3666</v>
      </c>
      <c r="D592" s="241" t="s">
        <v>3693</v>
      </c>
      <c r="E592" s="242" t="s">
        <v>3694</v>
      </c>
      <c r="F592" s="243" t="s">
        <v>3695</v>
      </c>
      <c r="G592" s="244" t="s">
        <v>3696</v>
      </c>
      <c r="H592" s="245" t="s">
        <v>2365</v>
      </c>
      <c r="I592" s="246" t="s">
        <v>3697</v>
      </c>
      <c r="J592" s="247" t="s">
        <v>178</v>
      </c>
      <c r="K592" s="248">
        <v>33056</v>
      </c>
      <c r="L592" s="249" t="s">
        <v>179</v>
      </c>
      <c r="M592" s="250">
        <v>43757</v>
      </c>
      <c r="N592" s="250"/>
      <c r="O592" s="250"/>
      <c r="P592" s="238" t="s">
        <v>3649</v>
      </c>
      <c r="Q592" s="238" t="s">
        <v>249</v>
      </c>
      <c r="R592" s="238" t="s">
        <v>182</v>
      </c>
      <c r="S592" s="238" t="s">
        <v>2484</v>
      </c>
      <c r="T592" s="251"/>
      <c r="U592" s="251"/>
      <c r="V592" s="252" t="s">
        <v>184</v>
      </c>
      <c r="W592" s="252" t="s">
        <v>184</v>
      </c>
      <c r="X592" s="252">
        <v>6</v>
      </c>
      <c r="Y592" s="253" t="s">
        <v>3698</v>
      </c>
      <c r="Z592" s="254" t="s">
        <v>186</v>
      </c>
      <c r="AA592" s="254"/>
      <c r="AB592" s="252"/>
      <c r="AC592" s="255"/>
      <c r="AD592" s="256"/>
      <c r="AE592" s="256"/>
      <c r="AF592" s="257"/>
      <c r="AG592" s="258"/>
      <c r="AH592" s="259"/>
      <c r="AI592" s="259"/>
      <c r="AJ592" s="260" t="s">
        <v>203</v>
      </c>
      <c r="AK592" s="260" t="s">
        <v>190</v>
      </c>
      <c r="AL592" s="260" t="s">
        <v>190</v>
      </c>
      <c r="AM592" s="255" t="s">
        <v>2499</v>
      </c>
      <c r="AN592" s="22">
        <v>182</v>
      </c>
      <c r="AO592" s="22">
        <v>0</v>
      </c>
      <c r="AP592" s="22">
        <v>20</v>
      </c>
      <c r="AQ592" s="22">
        <v>0</v>
      </c>
      <c r="AR592" s="22">
        <v>0</v>
      </c>
      <c r="AS592" s="22">
        <v>7</v>
      </c>
      <c r="AT592" s="22">
        <v>10</v>
      </c>
      <c r="AU592" s="316">
        <f t="shared" si="100"/>
        <v>219</v>
      </c>
      <c r="AV592" s="22">
        <v>190</v>
      </c>
      <c r="AW592" s="22">
        <v>0</v>
      </c>
      <c r="AX592" s="22">
        <v>20</v>
      </c>
      <c r="AY592" s="22">
        <v>0</v>
      </c>
      <c r="AZ592" s="22">
        <v>0</v>
      </c>
      <c r="BA592" s="22">
        <v>7</v>
      </c>
      <c r="BB592" s="22">
        <v>10</v>
      </c>
      <c r="BC592" s="316">
        <f t="shared" si="101"/>
        <v>227</v>
      </c>
      <c r="BD592" s="58">
        <f t="shared" si="102"/>
        <v>8</v>
      </c>
      <c r="BE592" s="58">
        <f t="shared" si="103"/>
        <v>0</v>
      </c>
      <c r="BF592" s="58">
        <f t="shared" si="104"/>
        <v>0</v>
      </c>
      <c r="BG592" s="58">
        <f t="shared" si="105"/>
        <v>0</v>
      </c>
      <c r="BH592" s="58">
        <f t="shared" si="106"/>
        <v>0</v>
      </c>
      <c r="BI592" s="58">
        <f t="shared" si="107"/>
        <v>0</v>
      </c>
      <c r="BJ592" s="58">
        <f t="shared" si="108"/>
        <v>0</v>
      </c>
      <c r="BK592" s="58">
        <f t="shared" si="109"/>
        <v>8</v>
      </c>
    </row>
    <row r="593" spans="1:63" ht="27" customHeight="1">
      <c r="A593" s="238">
        <f t="shared" si="110"/>
        <v>591</v>
      </c>
      <c r="B593" s="239"/>
      <c r="C593" s="239">
        <v>3674</v>
      </c>
      <c r="D593" s="241" t="s">
        <v>3699</v>
      </c>
      <c r="E593" s="242" t="s">
        <v>3700</v>
      </c>
      <c r="F593" s="243" t="s">
        <v>3701</v>
      </c>
      <c r="G593" s="244" t="s">
        <v>3162</v>
      </c>
      <c r="H593" s="245" t="s">
        <v>3702</v>
      </c>
      <c r="I593" s="246" t="s">
        <v>3164</v>
      </c>
      <c r="J593" s="247" t="s">
        <v>178</v>
      </c>
      <c r="K593" s="248">
        <v>31728</v>
      </c>
      <c r="L593" s="249" t="s">
        <v>179</v>
      </c>
      <c r="M593" s="250">
        <v>43757</v>
      </c>
      <c r="N593" s="250"/>
      <c r="O593" s="250"/>
      <c r="P593" s="238" t="s">
        <v>3649</v>
      </c>
      <c r="Q593" s="238" t="s">
        <v>249</v>
      </c>
      <c r="R593" s="238" t="s">
        <v>182</v>
      </c>
      <c r="S593" s="238" t="s">
        <v>2384</v>
      </c>
      <c r="T593" s="251"/>
      <c r="U593" s="251"/>
      <c r="V593" s="252" t="s">
        <v>184</v>
      </c>
      <c r="W593" s="252" t="s">
        <v>184</v>
      </c>
      <c r="X593" s="252">
        <v>5</v>
      </c>
      <c r="Y593" s="253" t="s">
        <v>3703</v>
      </c>
      <c r="Z593" s="254" t="s">
        <v>186</v>
      </c>
      <c r="AA593" s="254"/>
      <c r="AB593" s="252"/>
      <c r="AC593" s="255"/>
      <c r="AD593" s="256"/>
      <c r="AE593" s="256"/>
      <c r="AF593" s="257"/>
      <c r="AG593" s="258"/>
      <c r="AH593" s="259"/>
      <c r="AI593" s="259"/>
      <c r="AJ593" s="260" t="s">
        <v>203</v>
      </c>
      <c r="AK593" s="260" t="s">
        <v>190</v>
      </c>
      <c r="AL593" s="260" t="s">
        <v>190</v>
      </c>
      <c r="AM593" s="255" t="s">
        <v>2499</v>
      </c>
      <c r="AN593" s="22">
        <v>182</v>
      </c>
      <c r="AO593" s="22">
        <v>0</v>
      </c>
      <c r="AP593" s="22">
        <v>20</v>
      </c>
      <c r="AQ593" s="22">
        <v>0</v>
      </c>
      <c r="AR593" s="22">
        <v>0</v>
      </c>
      <c r="AS593" s="22">
        <v>7</v>
      </c>
      <c r="AT593" s="22">
        <v>10</v>
      </c>
      <c r="AU593" s="316">
        <f t="shared" si="100"/>
        <v>219</v>
      </c>
      <c r="AV593" s="22">
        <v>190</v>
      </c>
      <c r="AW593" s="22">
        <v>0</v>
      </c>
      <c r="AX593" s="22">
        <v>20</v>
      </c>
      <c r="AY593" s="22">
        <v>0</v>
      </c>
      <c r="AZ593" s="22">
        <v>0</v>
      </c>
      <c r="BA593" s="22">
        <v>7</v>
      </c>
      <c r="BB593" s="22">
        <v>10</v>
      </c>
      <c r="BC593" s="316">
        <f t="shared" si="101"/>
        <v>227</v>
      </c>
      <c r="BD593" s="58">
        <f t="shared" si="102"/>
        <v>8</v>
      </c>
      <c r="BE593" s="58">
        <f t="shared" si="103"/>
        <v>0</v>
      </c>
      <c r="BF593" s="58">
        <f t="shared" si="104"/>
        <v>0</v>
      </c>
      <c r="BG593" s="58">
        <f t="shared" si="105"/>
        <v>0</v>
      </c>
      <c r="BH593" s="58">
        <f t="shared" si="106"/>
        <v>0</v>
      </c>
      <c r="BI593" s="58">
        <f t="shared" si="107"/>
        <v>0</v>
      </c>
      <c r="BJ593" s="58">
        <f t="shared" si="108"/>
        <v>0</v>
      </c>
      <c r="BK593" s="58">
        <f t="shared" si="109"/>
        <v>8</v>
      </c>
    </row>
    <row r="594" spans="1:63" ht="27" customHeight="1">
      <c r="A594" s="238">
        <f t="shared" si="110"/>
        <v>592</v>
      </c>
      <c r="B594" s="239"/>
      <c r="C594" s="239">
        <v>3656</v>
      </c>
      <c r="D594" s="241" t="s">
        <v>3704</v>
      </c>
      <c r="E594" s="242" t="s">
        <v>3705</v>
      </c>
      <c r="F594" s="243" t="s">
        <v>1340</v>
      </c>
      <c r="G594" s="244" t="s">
        <v>2105</v>
      </c>
      <c r="H594" s="245" t="s">
        <v>3706</v>
      </c>
      <c r="I594" s="246" t="s">
        <v>3707</v>
      </c>
      <c r="J594" s="247" t="s">
        <v>178</v>
      </c>
      <c r="K594" s="248">
        <v>33606</v>
      </c>
      <c r="L594" s="249" t="s">
        <v>179</v>
      </c>
      <c r="M594" s="250">
        <v>43755</v>
      </c>
      <c r="N594" s="250"/>
      <c r="O594" s="250"/>
      <c r="P594" s="238" t="s">
        <v>282</v>
      </c>
      <c r="Q594" s="238" t="s">
        <v>249</v>
      </c>
      <c r="R594" s="238" t="s">
        <v>182</v>
      </c>
      <c r="S594" s="238" t="s">
        <v>3601</v>
      </c>
      <c r="T594" s="251"/>
      <c r="U594" s="251"/>
      <c r="V594" s="252" t="s">
        <v>184</v>
      </c>
      <c r="W594" s="252" t="s">
        <v>184</v>
      </c>
      <c r="X594" s="252">
        <v>5</v>
      </c>
      <c r="Y594" s="253" t="s">
        <v>3708</v>
      </c>
      <c r="Z594" s="254"/>
      <c r="AA594" s="254" t="s">
        <v>186</v>
      </c>
      <c r="AB594" s="252"/>
      <c r="AC594" s="255"/>
      <c r="AD594" s="256"/>
      <c r="AE594" s="256"/>
      <c r="AF594" s="257"/>
      <c r="AG594" s="258"/>
      <c r="AH594" s="259"/>
      <c r="AI594" s="259"/>
      <c r="AJ594" s="260" t="s">
        <v>203</v>
      </c>
      <c r="AK594" s="260" t="s">
        <v>190</v>
      </c>
      <c r="AL594" s="260" t="s">
        <v>190</v>
      </c>
      <c r="AM594" s="255" t="s">
        <v>2499</v>
      </c>
      <c r="AN594" s="22">
        <v>182</v>
      </c>
      <c r="AO594" s="22">
        <v>0</v>
      </c>
      <c r="AP594" s="22">
        <v>20</v>
      </c>
      <c r="AQ594" s="22">
        <v>0</v>
      </c>
      <c r="AR594" s="22">
        <v>0</v>
      </c>
      <c r="AS594" s="22">
        <v>7</v>
      </c>
      <c r="AT594" s="22">
        <v>10</v>
      </c>
      <c r="AU594" s="316">
        <f t="shared" si="100"/>
        <v>219</v>
      </c>
      <c r="AV594" s="22">
        <v>190</v>
      </c>
      <c r="AW594" s="22">
        <v>0</v>
      </c>
      <c r="AX594" s="22">
        <v>20</v>
      </c>
      <c r="AY594" s="22">
        <v>0</v>
      </c>
      <c r="AZ594" s="22">
        <v>0</v>
      </c>
      <c r="BA594" s="22">
        <v>7</v>
      </c>
      <c r="BB594" s="22">
        <v>10</v>
      </c>
      <c r="BC594" s="316">
        <f t="shared" si="101"/>
        <v>227</v>
      </c>
      <c r="BD594" s="58">
        <f t="shared" si="102"/>
        <v>8</v>
      </c>
      <c r="BE594" s="58">
        <f t="shared" si="103"/>
        <v>0</v>
      </c>
      <c r="BF594" s="58">
        <f t="shared" si="104"/>
        <v>0</v>
      </c>
      <c r="BG594" s="58">
        <f t="shared" si="105"/>
        <v>0</v>
      </c>
      <c r="BH594" s="58">
        <f t="shared" si="106"/>
        <v>0</v>
      </c>
      <c r="BI594" s="58">
        <f t="shared" si="107"/>
        <v>0</v>
      </c>
      <c r="BJ594" s="58">
        <f t="shared" si="108"/>
        <v>0</v>
      </c>
      <c r="BK594" s="58">
        <f t="shared" si="109"/>
        <v>8</v>
      </c>
    </row>
    <row r="595" spans="1:63" ht="27" customHeight="1">
      <c r="A595" s="238">
        <f t="shared" si="110"/>
        <v>593</v>
      </c>
      <c r="B595" s="239"/>
      <c r="C595" s="239">
        <v>3663</v>
      </c>
      <c r="D595" s="241" t="s">
        <v>3709</v>
      </c>
      <c r="E595" s="242" t="s">
        <v>3710</v>
      </c>
      <c r="F595" s="243" t="s">
        <v>3711</v>
      </c>
      <c r="G595" s="244" t="s">
        <v>3712</v>
      </c>
      <c r="H595" s="245" t="s">
        <v>3713</v>
      </c>
      <c r="I595" s="246" t="s">
        <v>2107</v>
      </c>
      <c r="J595" s="247" t="s">
        <v>178</v>
      </c>
      <c r="K595" s="248">
        <v>35103</v>
      </c>
      <c r="L595" s="249" t="s">
        <v>179</v>
      </c>
      <c r="M595" s="250">
        <v>43757</v>
      </c>
      <c r="N595" s="250"/>
      <c r="O595" s="250"/>
      <c r="P595" s="238" t="s">
        <v>3634</v>
      </c>
      <c r="Q595" s="238" t="s">
        <v>249</v>
      </c>
      <c r="R595" s="238" t="s">
        <v>182</v>
      </c>
      <c r="S595" s="238" t="s">
        <v>2492</v>
      </c>
      <c r="T595" s="251"/>
      <c r="U595" s="251"/>
      <c r="V595" s="252" t="s">
        <v>184</v>
      </c>
      <c r="W595" s="252" t="s">
        <v>184</v>
      </c>
      <c r="X595" s="252">
        <v>7</v>
      </c>
      <c r="Y595" s="253" t="s">
        <v>3714</v>
      </c>
      <c r="Z595" s="254"/>
      <c r="AA595" s="254" t="s">
        <v>186</v>
      </c>
      <c r="AB595" s="252"/>
      <c r="AC595" s="255"/>
      <c r="AD595" s="256"/>
      <c r="AE595" s="256"/>
      <c r="AF595" s="257"/>
      <c r="AG595" s="258"/>
      <c r="AH595" s="259"/>
      <c r="AI595" s="259"/>
      <c r="AJ595" s="260" t="s">
        <v>203</v>
      </c>
      <c r="AK595" s="260" t="s">
        <v>190</v>
      </c>
      <c r="AL595" s="260" t="s">
        <v>190</v>
      </c>
      <c r="AM595" s="255" t="s">
        <v>2499</v>
      </c>
      <c r="AN595" s="22">
        <v>182</v>
      </c>
      <c r="AO595" s="22">
        <v>0</v>
      </c>
      <c r="AP595" s="22">
        <v>20</v>
      </c>
      <c r="AQ595" s="22">
        <v>0</v>
      </c>
      <c r="AR595" s="22">
        <v>0</v>
      </c>
      <c r="AS595" s="22">
        <v>7</v>
      </c>
      <c r="AT595" s="22">
        <v>10</v>
      </c>
      <c r="AU595" s="316">
        <f t="shared" si="100"/>
        <v>219</v>
      </c>
      <c r="AV595" s="22">
        <v>190</v>
      </c>
      <c r="AW595" s="22">
        <v>0</v>
      </c>
      <c r="AX595" s="22">
        <v>20</v>
      </c>
      <c r="AY595" s="22">
        <v>0</v>
      </c>
      <c r="AZ595" s="22">
        <v>0</v>
      </c>
      <c r="BA595" s="22">
        <v>7</v>
      </c>
      <c r="BB595" s="22">
        <v>10</v>
      </c>
      <c r="BC595" s="316">
        <f t="shared" si="101"/>
        <v>227</v>
      </c>
      <c r="BD595" s="58">
        <f t="shared" si="102"/>
        <v>8</v>
      </c>
      <c r="BE595" s="58">
        <f t="shared" si="103"/>
        <v>0</v>
      </c>
      <c r="BF595" s="58">
        <f t="shared" si="104"/>
        <v>0</v>
      </c>
      <c r="BG595" s="58">
        <f t="shared" si="105"/>
        <v>0</v>
      </c>
      <c r="BH595" s="58">
        <f t="shared" si="106"/>
        <v>0</v>
      </c>
      <c r="BI595" s="58">
        <f t="shared" si="107"/>
        <v>0</v>
      </c>
      <c r="BJ595" s="58">
        <f t="shared" si="108"/>
        <v>0</v>
      </c>
      <c r="BK595" s="58">
        <f t="shared" si="109"/>
        <v>8</v>
      </c>
    </row>
    <row r="596" spans="1:63" ht="27" customHeight="1">
      <c r="A596" s="238">
        <f t="shared" si="110"/>
        <v>594</v>
      </c>
      <c r="B596" s="239"/>
      <c r="C596" s="239">
        <v>3671</v>
      </c>
      <c r="D596" s="241" t="s">
        <v>3715</v>
      </c>
      <c r="E596" s="242" t="s">
        <v>296</v>
      </c>
      <c r="F596" s="243" t="s">
        <v>3716</v>
      </c>
      <c r="G596" s="244" t="s">
        <v>3717</v>
      </c>
      <c r="H596" s="245" t="s">
        <v>3718</v>
      </c>
      <c r="I596" s="246" t="s">
        <v>3719</v>
      </c>
      <c r="J596" s="247" t="s">
        <v>178</v>
      </c>
      <c r="K596" s="248">
        <v>35432</v>
      </c>
      <c r="L596" s="249" t="s">
        <v>179</v>
      </c>
      <c r="M596" s="250">
        <v>43753</v>
      </c>
      <c r="N596" s="250"/>
      <c r="O596" s="250"/>
      <c r="P596" s="238" t="s">
        <v>3649</v>
      </c>
      <c r="Q596" s="238" t="s">
        <v>249</v>
      </c>
      <c r="R596" s="238" t="s">
        <v>182</v>
      </c>
      <c r="S596" s="238" t="s">
        <v>2384</v>
      </c>
      <c r="T596" s="251"/>
      <c r="U596" s="251"/>
      <c r="V596" s="252" t="s">
        <v>184</v>
      </c>
      <c r="W596" s="252" t="s">
        <v>184</v>
      </c>
      <c r="X596" s="252">
        <v>7</v>
      </c>
      <c r="Y596" s="253" t="s">
        <v>3720</v>
      </c>
      <c r="Z596" s="254" t="s">
        <v>186</v>
      </c>
      <c r="AA596" s="254"/>
      <c r="AB596" s="252"/>
      <c r="AC596" s="255"/>
      <c r="AD596" s="256"/>
      <c r="AE596" s="256"/>
      <c r="AF596" s="257"/>
      <c r="AG596" s="258"/>
      <c r="AH596" s="259"/>
      <c r="AI596" s="259"/>
      <c r="AJ596" s="260" t="s">
        <v>203</v>
      </c>
      <c r="AK596" s="260" t="s">
        <v>190</v>
      </c>
      <c r="AL596" s="260" t="s">
        <v>190</v>
      </c>
      <c r="AM596" s="255" t="s">
        <v>2499</v>
      </c>
      <c r="AN596" s="22">
        <v>182</v>
      </c>
      <c r="AO596" s="22">
        <v>0</v>
      </c>
      <c r="AP596" s="22">
        <v>0</v>
      </c>
      <c r="AQ596" s="22">
        <v>0</v>
      </c>
      <c r="AR596" s="22">
        <v>0</v>
      </c>
      <c r="AS596" s="22">
        <v>7</v>
      </c>
      <c r="AT596" s="22">
        <v>10</v>
      </c>
      <c r="AU596" s="316">
        <f t="shared" si="100"/>
        <v>199</v>
      </c>
      <c r="AV596" s="22">
        <v>190</v>
      </c>
      <c r="AW596" s="22">
        <v>0</v>
      </c>
      <c r="AX596" s="22">
        <v>0</v>
      </c>
      <c r="AY596" s="22">
        <v>0</v>
      </c>
      <c r="AZ596" s="22">
        <v>0</v>
      </c>
      <c r="BA596" s="22">
        <v>7</v>
      </c>
      <c r="BB596" s="22">
        <v>10</v>
      </c>
      <c r="BC596" s="316">
        <f t="shared" si="101"/>
        <v>207</v>
      </c>
      <c r="BD596" s="58">
        <f t="shared" si="102"/>
        <v>8</v>
      </c>
      <c r="BE596" s="58">
        <f t="shared" si="103"/>
        <v>0</v>
      </c>
      <c r="BF596" s="58">
        <f t="shared" si="104"/>
        <v>0</v>
      </c>
      <c r="BG596" s="58">
        <f t="shared" si="105"/>
        <v>0</v>
      </c>
      <c r="BH596" s="58">
        <f t="shared" si="106"/>
        <v>0</v>
      </c>
      <c r="BI596" s="58">
        <f t="shared" si="107"/>
        <v>0</v>
      </c>
      <c r="BJ596" s="58">
        <f t="shared" si="108"/>
        <v>0</v>
      </c>
      <c r="BK596" s="58">
        <f t="shared" si="109"/>
        <v>8</v>
      </c>
    </row>
    <row r="597" spans="1:63" ht="27" customHeight="1">
      <c r="A597" s="238">
        <f t="shared" si="110"/>
        <v>595</v>
      </c>
      <c r="B597" s="239"/>
      <c r="C597" s="239">
        <v>3657</v>
      </c>
      <c r="D597" s="241" t="s">
        <v>3721</v>
      </c>
      <c r="E597" s="242" t="s">
        <v>3722</v>
      </c>
      <c r="F597" s="243" t="s">
        <v>269</v>
      </c>
      <c r="G597" s="244" t="s">
        <v>3027</v>
      </c>
      <c r="H597" s="245" t="s">
        <v>271</v>
      </c>
      <c r="I597" s="246" t="s">
        <v>115</v>
      </c>
      <c r="J597" s="247" t="s">
        <v>209</v>
      </c>
      <c r="K597" s="248">
        <v>35402</v>
      </c>
      <c r="L597" s="249" t="s">
        <v>179</v>
      </c>
      <c r="M597" s="250">
        <v>43757</v>
      </c>
      <c r="N597" s="250"/>
      <c r="O597" s="250"/>
      <c r="P597" s="238" t="s">
        <v>3634</v>
      </c>
      <c r="Q597" s="238" t="s">
        <v>249</v>
      </c>
      <c r="R597" s="238" t="s">
        <v>182</v>
      </c>
      <c r="S597" s="238" t="s">
        <v>2430</v>
      </c>
      <c r="T597" s="251"/>
      <c r="U597" s="251"/>
      <c r="V597" s="252" t="s">
        <v>184</v>
      </c>
      <c r="W597" s="252" t="s">
        <v>184</v>
      </c>
      <c r="X597" s="252">
        <v>9</v>
      </c>
      <c r="Y597" s="253" t="s">
        <v>3723</v>
      </c>
      <c r="Z597" s="254" t="s">
        <v>186</v>
      </c>
      <c r="AA597" s="254"/>
      <c r="AB597" s="252"/>
      <c r="AC597" s="255"/>
      <c r="AD597" s="256"/>
      <c r="AE597" s="256"/>
      <c r="AF597" s="257"/>
      <c r="AG597" s="258"/>
      <c r="AH597" s="259"/>
      <c r="AI597" s="259"/>
      <c r="AJ597" s="260" t="s">
        <v>203</v>
      </c>
      <c r="AK597" s="260" t="s">
        <v>190</v>
      </c>
      <c r="AL597" s="260" t="s">
        <v>190</v>
      </c>
      <c r="AM597" s="255" t="s">
        <v>2499</v>
      </c>
      <c r="AN597" s="22">
        <v>182</v>
      </c>
      <c r="AO597" s="22">
        <v>0</v>
      </c>
      <c r="AP597" s="22">
        <v>0</v>
      </c>
      <c r="AQ597" s="22">
        <v>0</v>
      </c>
      <c r="AR597" s="22">
        <v>0</v>
      </c>
      <c r="AS597" s="22">
        <v>7</v>
      </c>
      <c r="AT597" s="22">
        <v>10</v>
      </c>
      <c r="AU597" s="316">
        <f t="shared" si="100"/>
        <v>199</v>
      </c>
      <c r="AV597" s="22">
        <v>190</v>
      </c>
      <c r="AW597" s="22">
        <v>0</v>
      </c>
      <c r="AX597" s="22">
        <v>0</v>
      </c>
      <c r="AY597" s="22">
        <v>0</v>
      </c>
      <c r="AZ597" s="22">
        <v>0</v>
      </c>
      <c r="BA597" s="22">
        <v>7</v>
      </c>
      <c r="BB597" s="22">
        <v>10</v>
      </c>
      <c r="BC597" s="316">
        <f t="shared" si="101"/>
        <v>207</v>
      </c>
      <c r="BD597" s="58">
        <f t="shared" si="102"/>
        <v>8</v>
      </c>
      <c r="BE597" s="58">
        <f t="shared" si="103"/>
        <v>0</v>
      </c>
      <c r="BF597" s="58">
        <f t="shared" si="104"/>
        <v>0</v>
      </c>
      <c r="BG597" s="58">
        <f t="shared" si="105"/>
        <v>0</v>
      </c>
      <c r="BH597" s="58">
        <f t="shared" si="106"/>
        <v>0</v>
      </c>
      <c r="BI597" s="58">
        <f t="shared" si="107"/>
        <v>0</v>
      </c>
      <c r="BJ597" s="58">
        <f t="shared" si="108"/>
        <v>0</v>
      </c>
      <c r="BK597" s="58">
        <f t="shared" si="109"/>
        <v>8</v>
      </c>
    </row>
    <row r="598" spans="1:63" ht="27" customHeight="1">
      <c r="A598" s="238">
        <f t="shared" si="110"/>
        <v>596</v>
      </c>
      <c r="B598" s="239"/>
      <c r="C598" s="239">
        <v>3689</v>
      </c>
      <c r="D598" s="241">
        <v>0</v>
      </c>
      <c r="E598" s="242" t="s">
        <v>296</v>
      </c>
      <c r="F598" s="243" t="s">
        <v>3724</v>
      </c>
      <c r="G598" s="244" t="s">
        <v>3725</v>
      </c>
      <c r="H598" s="245" t="s">
        <v>3726</v>
      </c>
      <c r="I598" s="246" t="s">
        <v>3727</v>
      </c>
      <c r="J598" s="247" t="s">
        <v>178</v>
      </c>
      <c r="K598" s="248">
        <v>35802</v>
      </c>
      <c r="L598" s="249" t="s">
        <v>179</v>
      </c>
      <c r="M598" s="250">
        <v>43762</v>
      </c>
      <c r="N598" s="250"/>
      <c r="O598" s="250"/>
      <c r="P598" s="238" t="s">
        <v>3638</v>
      </c>
      <c r="Q598" s="238" t="s">
        <v>249</v>
      </c>
      <c r="R598" s="238" t="s">
        <v>182</v>
      </c>
      <c r="S598" s="238" t="s">
        <v>1374</v>
      </c>
      <c r="T598" s="251"/>
      <c r="U598" s="251"/>
      <c r="V598" s="252" t="s">
        <v>184</v>
      </c>
      <c r="W598" s="252" t="s">
        <v>184</v>
      </c>
      <c r="X598" s="252">
        <v>10</v>
      </c>
      <c r="Y598" s="253" t="s">
        <v>3728</v>
      </c>
      <c r="Z598" s="254"/>
      <c r="AA598" s="254" t="s">
        <v>186</v>
      </c>
      <c r="AB598" s="252"/>
      <c r="AC598" s="255"/>
      <c r="AD598" s="256"/>
      <c r="AE598" s="256"/>
      <c r="AF598" s="257"/>
      <c r="AG598" s="258"/>
      <c r="AH598" s="259"/>
      <c r="AI598" s="259"/>
      <c r="AJ598" s="260" t="s">
        <v>203</v>
      </c>
      <c r="AK598" s="260" t="s">
        <v>190</v>
      </c>
      <c r="AL598" s="260" t="s">
        <v>190</v>
      </c>
      <c r="AM598" s="255" t="s">
        <v>2499</v>
      </c>
      <c r="AN598" s="22">
        <v>182</v>
      </c>
      <c r="AO598" s="22">
        <v>0</v>
      </c>
      <c r="AP598" s="22">
        <v>0</v>
      </c>
      <c r="AQ598" s="22">
        <v>0</v>
      </c>
      <c r="AR598" s="22">
        <v>0</v>
      </c>
      <c r="AS598" s="22">
        <v>7</v>
      </c>
      <c r="AT598" s="22">
        <v>10</v>
      </c>
      <c r="AU598" s="316">
        <f t="shared" si="100"/>
        <v>199</v>
      </c>
      <c r="AV598" s="22">
        <v>190</v>
      </c>
      <c r="AW598" s="22">
        <v>0</v>
      </c>
      <c r="AX598" s="22">
        <v>0</v>
      </c>
      <c r="AY598" s="22">
        <v>0</v>
      </c>
      <c r="AZ598" s="22">
        <v>0</v>
      </c>
      <c r="BA598" s="22">
        <v>7</v>
      </c>
      <c r="BB598" s="22">
        <v>10</v>
      </c>
      <c r="BC598" s="316">
        <f t="shared" si="101"/>
        <v>207</v>
      </c>
      <c r="BD598" s="58">
        <f t="shared" si="102"/>
        <v>8</v>
      </c>
      <c r="BE598" s="58">
        <f t="shared" si="103"/>
        <v>0</v>
      </c>
      <c r="BF598" s="58">
        <f t="shared" si="104"/>
        <v>0</v>
      </c>
      <c r="BG598" s="58">
        <f t="shared" si="105"/>
        <v>0</v>
      </c>
      <c r="BH598" s="58">
        <f t="shared" si="106"/>
        <v>0</v>
      </c>
      <c r="BI598" s="58">
        <f t="shared" si="107"/>
        <v>0</v>
      </c>
      <c r="BJ598" s="58">
        <f t="shared" si="108"/>
        <v>0</v>
      </c>
      <c r="BK598" s="58">
        <f t="shared" si="109"/>
        <v>8</v>
      </c>
    </row>
    <row r="599" spans="1:63" ht="27" customHeight="1">
      <c r="A599" s="238">
        <f t="shared" si="110"/>
        <v>597</v>
      </c>
      <c r="B599" s="239"/>
      <c r="C599" s="239">
        <v>3673</v>
      </c>
      <c r="D599" s="241" t="s">
        <v>3729</v>
      </c>
      <c r="E599" s="242" t="s">
        <v>3730</v>
      </c>
      <c r="F599" s="243" t="s">
        <v>527</v>
      </c>
      <c r="G599" s="244" t="s">
        <v>3731</v>
      </c>
      <c r="H599" s="245" t="s">
        <v>90</v>
      </c>
      <c r="I599" s="246" t="s">
        <v>3732</v>
      </c>
      <c r="J599" s="247" t="s">
        <v>178</v>
      </c>
      <c r="K599" s="248">
        <v>36072</v>
      </c>
      <c r="L599" s="249" t="s">
        <v>179</v>
      </c>
      <c r="M599" s="250">
        <v>43757</v>
      </c>
      <c r="N599" s="250"/>
      <c r="O599" s="250"/>
      <c r="P599" s="238" t="s">
        <v>3634</v>
      </c>
      <c r="Q599" s="238" t="s">
        <v>249</v>
      </c>
      <c r="R599" s="238" t="s">
        <v>182</v>
      </c>
      <c r="S599" s="238" t="s">
        <v>1551</v>
      </c>
      <c r="T599" s="251"/>
      <c r="U599" s="251"/>
      <c r="V599" s="252" t="s">
        <v>184</v>
      </c>
      <c r="W599" s="252" t="s">
        <v>184</v>
      </c>
      <c r="X599" s="252">
        <v>5</v>
      </c>
      <c r="Y599" s="253" t="s">
        <v>3733</v>
      </c>
      <c r="Z599" s="254"/>
      <c r="AA599" s="254" t="s">
        <v>186</v>
      </c>
      <c r="AB599" s="252"/>
      <c r="AC599" s="255"/>
      <c r="AD599" s="256"/>
      <c r="AE599" s="256"/>
      <c r="AF599" s="257"/>
      <c r="AG599" s="258"/>
      <c r="AH599" s="259"/>
      <c r="AI599" s="259"/>
      <c r="AJ599" s="260" t="s">
        <v>203</v>
      </c>
      <c r="AK599" s="260" t="s">
        <v>190</v>
      </c>
      <c r="AL599" s="260" t="s">
        <v>190</v>
      </c>
      <c r="AM599" s="255" t="s">
        <v>2499</v>
      </c>
      <c r="AN599" s="22">
        <v>182</v>
      </c>
      <c r="AO599" s="22">
        <v>0</v>
      </c>
      <c r="AP599" s="22">
        <v>20</v>
      </c>
      <c r="AQ599" s="22">
        <v>0</v>
      </c>
      <c r="AR599" s="22">
        <v>0</v>
      </c>
      <c r="AS599" s="22">
        <v>7</v>
      </c>
      <c r="AT599" s="22">
        <v>10</v>
      </c>
      <c r="AU599" s="316">
        <f t="shared" si="100"/>
        <v>219</v>
      </c>
      <c r="AV599" s="22">
        <v>190</v>
      </c>
      <c r="AW599" s="22">
        <v>0</v>
      </c>
      <c r="AX599" s="22">
        <v>20</v>
      </c>
      <c r="AY599" s="22">
        <v>0</v>
      </c>
      <c r="AZ599" s="22">
        <v>0</v>
      </c>
      <c r="BA599" s="22">
        <v>7</v>
      </c>
      <c r="BB599" s="22">
        <v>10</v>
      </c>
      <c r="BC599" s="316">
        <f t="shared" si="101"/>
        <v>227</v>
      </c>
      <c r="BD599" s="58">
        <f t="shared" si="102"/>
        <v>8</v>
      </c>
      <c r="BE599" s="58">
        <f t="shared" si="103"/>
        <v>0</v>
      </c>
      <c r="BF599" s="58">
        <f t="shared" si="104"/>
        <v>0</v>
      </c>
      <c r="BG599" s="58">
        <f t="shared" si="105"/>
        <v>0</v>
      </c>
      <c r="BH599" s="58">
        <f t="shared" si="106"/>
        <v>0</v>
      </c>
      <c r="BI599" s="58">
        <f t="shared" si="107"/>
        <v>0</v>
      </c>
      <c r="BJ599" s="58">
        <f t="shared" si="108"/>
        <v>0</v>
      </c>
      <c r="BK599" s="58">
        <f t="shared" si="109"/>
        <v>8</v>
      </c>
    </row>
    <row r="600" spans="1:63" ht="27" customHeight="1">
      <c r="A600" s="238">
        <f t="shared" si="110"/>
        <v>598</v>
      </c>
      <c r="B600" s="239"/>
      <c r="C600" s="239">
        <v>3672</v>
      </c>
      <c r="D600" s="241" t="s">
        <v>3734</v>
      </c>
      <c r="E600" s="242" t="s">
        <v>3735</v>
      </c>
      <c r="F600" s="243" t="s">
        <v>860</v>
      </c>
      <c r="G600" s="244" t="s">
        <v>3736</v>
      </c>
      <c r="H600" s="245" t="s">
        <v>3737</v>
      </c>
      <c r="I600" s="246" t="s">
        <v>3738</v>
      </c>
      <c r="J600" s="247" t="s">
        <v>178</v>
      </c>
      <c r="K600" s="248">
        <v>31598</v>
      </c>
      <c r="L600" s="249" t="s">
        <v>179</v>
      </c>
      <c r="M600" s="250">
        <v>43757</v>
      </c>
      <c r="N600" s="250"/>
      <c r="O600" s="250"/>
      <c r="P600" s="238" t="s">
        <v>3649</v>
      </c>
      <c r="Q600" s="238" t="s">
        <v>249</v>
      </c>
      <c r="R600" s="238" t="s">
        <v>182</v>
      </c>
      <c r="S600" s="238" t="s">
        <v>2505</v>
      </c>
      <c r="T600" s="251"/>
      <c r="U600" s="251"/>
      <c r="V600" s="252" t="s">
        <v>184</v>
      </c>
      <c r="W600" s="252" t="s">
        <v>184</v>
      </c>
      <c r="X600" s="252">
        <v>6</v>
      </c>
      <c r="Y600" s="253" t="s">
        <v>3739</v>
      </c>
      <c r="Z600" s="254"/>
      <c r="AA600" s="254" t="s">
        <v>186</v>
      </c>
      <c r="AB600" s="252"/>
      <c r="AC600" s="255"/>
      <c r="AD600" s="256"/>
      <c r="AE600" s="256"/>
      <c r="AF600" s="257"/>
      <c r="AG600" s="258"/>
      <c r="AH600" s="259"/>
      <c r="AI600" s="259"/>
      <c r="AJ600" s="260" t="s">
        <v>203</v>
      </c>
      <c r="AK600" s="260" t="s">
        <v>190</v>
      </c>
      <c r="AL600" s="260" t="s">
        <v>190</v>
      </c>
      <c r="AM600" s="255" t="s">
        <v>2499</v>
      </c>
      <c r="AN600" s="22">
        <v>182</v>
      </c>
      <c r="AO600" s="22">
        <v>0</v>
      </c>
      <c r="AP600" s="22">
        <v>20</v>
      </c>
      <c r="AQ600" s="22">
        <v>0</v>
      </c>
      <c r="AR600" s="22">
        <v>0</v>
      </c>
      <c r="AS600" s="22">
        <v>7</v>
      </c>
      <c r="AT600" s="22">
        <v>10</v>
      </c>
      <c r="AU600" s="316">
        <f t="shared" si="100"/>
        <v>219</v>
      </c>
      <c r="AV600" s="22">
        <v>190</v>
      </c>
      <c r="AW600" s="22">
        <v>0</v>
      </c>
      <c r="AX600" s="22">
        <v>20</v>
      </c>
      <c r="AY600" s="22">
        <v>0</v>
      </c>
      <c r="AZ600" s="22">
        <v>0</v>
      </c>
      <c r="BA600" s="22">
        <v>7</v>
      </c>
      <c r="BB600" s="22">
        <v>10</v>
      </c>
      <c r="BC600" s="316">
        <f t="shared" si="101"/>
        <v>227</v>
      </c>
      <c r="BD600" s="58">
        <f t="shared" si="102"/>
        <v>8</v>
      </c>
      <c r="BE600" s="58">
        <f t="shared" si="103"/>
        <v>0</v>
      </c>
      <c r="BF600" s="58">
        <f t="shared" si="104"/>
        <v>0</v>
      </c>
      <c r="BG600" s="58">
        <f t="shared" si="105"/>
        <v>0</v>
      </c>
      <c r="BH600" s="58">
        <f t="shared" si="106"/>
        <v>0</v>
      </c>
      <c r="BI600" s="58">
        <f t="shared" si="107"/>
        <v>0</v>
      </c>
      <c r="BJ600" s="58">
        <f t="shared" si="108"/>
        <v>0</v>
      </c>
      <c r="BK600" s="58">
        <f t="shared" si="109"/>
        <v>8</v>
      </c>
    </row>
    <row r="601" spans="1:63" ht="27" customHeight="1">
      <c r="A601" s="238">
        <f t="shared" si="110"/>
        <v>599</v>
      </c>
      <c r="B601" s="239"/>
      <c r="C601" s="239">
        <v>3669</v>
      </c>
      <c r="D601" s="241" t="s">
        <v>3740</v>
      </c>
      <c r="E601" s="242" t="s">
        <v>3741</v>
      </c>
      <c r="F601" s="243" t="s">
        <v>1162</v>
      </c>
      <c r="G601" s="244" t="s">
        <v>3742</v>
      </c>
      <c r="H601" s="245" t="s">
        <v>54</v>
      </c>
      <c r="I601" s="246" t="s">
        <v>2366</v>
      </c>
      <c r="J601" s="247" t="s">
        <v>178</v>
      </c>
      <c r="K601" s="248">
        <v>29344</v>
      </c>
      <c r="L601" s="249" t="s">
        <v>179</v>
      </c>
      <c r="M601" s="250">
        <v>43757</v>
      </c>
      <c r="N601" s="250"/>
      <c r="O601" s="250"/>
      <c r="P601" s="238" t="s">
        <v>3634</v>
      </c>
      <c r="Q601" s="238" t="s">
        <v>249</v>
      </c>
      <c r="R601" s="238" t="s">
        <v>182</v>
      </c>
      <c r="S601" s="238" t="s">
        <v>2484</v>
      </c>
      <c r="T601" s="251"/>
      <c r="U601" s="251"/>
      <c r="V601" s="252" t="s">
        <v>184</v>
      </c>
      <c r="W601" s="252" t="s">
        <v>184</v>
      </c>
      <c r="X601" s="252">
        <v>5</v>
      </c>
      <c r="Y601" s="253" t="s">
        <v>3743</v>
      </c>
      <c r="Z601" s="254"/>
      <c r="AA601" s="254" t="s">
        <v>186</v>
      </c>
      <c r="AB601" s="252"/>
      <c r="AC601" s="255"/>
      <c r="AD601" s="256"/>
      <c r="AE601" s="256"/>
      <c r="AF601" s="257"/>
      <c r="AG601" s="258"/>
      <c r="AH601" s="259"/>
      <c r="AI601" s="259"/>
      <c r="AJ601" s="260" t="s">
        <v>203</v>
      </c>
      <c r="AK601" s="260" t="s">
        <v>190</v>
      </c>
      <c r="AL601" s="260" t="s">
        <v>190</v>
      </c>
      <c r="AM601" s="255" t="s">
        <v>2499</v>
      </c>
      <c r="AN601" s="22">
        <v>182</v>
      </c>
      <c r="AO601" s="22">
        <v>0</v>
      </c>
      <c r="AP601" s="22">
        <v>0</v>
      </c>
      <c r="AQ601" s="22">
        <v>0</v>
      </c>
      <c r="AR601" s="22">
        <v>0</v>
      </c>
      <c r="AS601" s="22">
        <v>7</v>
      </c>
      <c r="AT601" s="22">
        <v>10</v>
      </c>
      <c r="AU601" s="316">
        <f t="shared" si="100"/>
        <v>199</v>
      </c>
      <c r="AV601" s="22">
        <v>190</v>
      </c>
      <c r="AW601" s="22">
        <v>0</v>
      </c>
      <c r="AX601" s="22">
        <v>0</v>
      </c>
      <c r="AY601" s="22">
        <v>0</v>
      </c>
      <c r="AZ601" s="22">
        <v>0</v>
      </c>
      <c r="BA601" s="22">
        <v>7</v>
      </c>
      <c r="BB601" s="22">
        <v>10</v>
      </c>
      <c r="BC601" s="316">
        <f t="shared" si="101"/>
        <v>207</v>
      </c>
      <c r="BD601" s="58">
        <f t="shared" si="102"/>
        <v>8</v>
      </c>
      <c r="BE601" s="58">
        <f t="shared" si="103"/>
        <v>0</v>
      </c>
      <c r="BF601" s="58">
        <f t="shared" si="104"/>
        <v>0</v>
      </c>
      <c r="BG601" s="58">
        <f t="shared" si="105"/>
        <v>0</v>
      </c>
      <c r="BH601" s="58">
        <f t="shared" si="106"/>
        <v>0</v>
      </c>
      <c r="BI601" s="58">
        <f t="shared" si="107"/>
        <v>0</v>
      </c>
      <c r="BJ601" s="58">
        <f t="shared" si="108"/>
        <v>0</v>
      </c>
      <c r="BK601" s="58">
        <f t="shared" si="109"/>
        <v>8</v>
      </c>
    </row>
    <row r="602" spans="1:63" ht="27" customHeight="1">
      <c r="A602" s="238">
        <f t="shared" si="110"/>
        <v>600</v>
      </c>
      <c r="B602" s="239"/>
      <c r="C602" s="239">
        <v>3668</v>
      </c>
      <c r="D602" s="241" t="s">
        <v>3744</v>
      </c>
      <c r="E602" s="242" t="s">
        <v>3745</v>
      </c>
      <c r="F602" s="243" t="s">
        <v>3746</v>
      </c>
      <c r="G602" s="244" t="s">
        <v>3747</v>
      </c>
      <c r="H602" s="245" t="s">
        <v>3748</v>
      </c>
      <c r="I602" s="246" t="s">
        <v>3749</v>
      </c>
      <c r="J602" s="247" t="s">
        <v>178</v>
      </c>
      <c r="K602" s="248">
        <v>29603</v>
      </c>
      <c r="L602" s="249" t="s">
        <v>179</v>
      </c>
      <c r="M602" s="250">
        <v>43757</v>
      </c>
      <c r="N602" s="250"/>
      <c r="O602" s="250"/>
      <c r="P602" s="238" t="s">
        <v>3634</v>
      </c>
      <c r="Q602" s="238" t="s">
        <v>249</v>
      </c>
      <c r="R602" s="238" t="s">
        <v>182</v>
      </c>
      <c r="S602" s="238" t="s">
        <v>2397</v>
      </c>
      <c r="T602" s="251"/>
      <c r="U602" s="251"/>
      <c r="V602" s="252" t="s">
        <v>184</v>
      </c>
      <c r="W602" s="252" t="s">
        <v>184</v>
      </c>
      <c r="X602" s="252">
        <v>5</v>
      </c>
      <c r="Y602" s="253" t="s">
        <v>3750</v>
      </c>
      <c r="Z602" s="254"/>
      <c r="AA602" s="254" t="s">
        <v>186</v>
      </c>
      <c r="AB602" s="252"/>
      <c r="AC602" s="255"/>
      <c r="AD602" s="256"/>
      <c r="AE602" s="256"/>
      <c r="AF602" s="257"/>
      <c r="AG602" s="258"/>
      <c r="AH602" s="259"/>
      <c r="AI602" s="259"/>
      <c r="AJ602" s="260" t="s">
        <v>203</v>
      </c>
      <c r="AK602" s="260" t="s">
        <v>190</v>
      </c>
      <c r="AL602" s="260" t="s">
        <v>190</v>
      </c>
      <c r="AM602" s="255" t="s">
        <v>2499</v>
      </c>
      <c r="AN602" s="22">
        <v>182</v>
      </c>
      <c r="AO602" s="22">
        <v>0</v>
      </c>
      <c r="AP602" s="22">
        <v>20</v>
      </c>
      <c r="AQ602" s="22">
        <v>0</v>
      </c>
      <c r="AR602" s="22">
        <v>0</v>
      </c>
      <c r="AS602" s="22">
        <v>7</v>
      </c>
      <c r="AT602" s="22">
        <v>10</v>
      </c>
      <c r="AU602" s="316">
        <f t="shared" si="100"/>
        <v>219</v>
      </c>
      <c r="AV602" s="22">
        <v>190</v>
      </c>
      <c r="AW602" s="22">
        <v>0</v>
      </c>
      <c r="AX602" s="22">
        <v>20</v>
      </c>
      <c r="AY602" s="22">
        <v>0</v>
      </c>
      <c r="AZ602" s="22">
        <v>0</v>
      </c>
      <c r="BA602" s="22">
        <v>7</v>
      </c>
      <c r="BB602" s="22">
        <v>10</v>
      </c>
      <c r="BC602" s="316">
        <f t="shared" si="101"/>
        <v>227</v>
      </c>
      <c r="BD602" s="58">
        <f t="shared" si="102"/>
        <v>8</v>
      </c>
      <c r="BE602" s="58">
        <f t="shared" si="103"/>
        <v>0</v>
      </c>
      <c r="BF602" s="58">
        <f t="shared" si="104"/>
        <v>0</v>
      </c>
      <c r="BG602" s="58">
        <f t="shared" si="105"/>
        <v>0</v>
      </c>
      <c r="BH602" s="58">
        <f t="shared" si="106"/>
        <v>0</v>
      </c>
      <c r="BI602" s="58">
        <f t="shared" si="107"/>
        <v>0</v>
      </c>
      <c r="BJ602" s="58">
        <f t="shared" si="108"/>
        <v>0</v>
      </c>
      <c r="BK602" s="58">
        <f t="shared" si="109"/>
        <v>8</v>
      </c>
    </row>
    <row r="603" spans="1:63" ht="27" customHeight="1">
      <c r="A603" s="238">
        <f t="shared" si="110"/>
        <v>601</v>
      </c>
      <c r="B603" s="239"/>
      <c r="C603" s="239">
        <v>3677</v>
      </c>
      <c r="D603" s="241" t="s">
        <v>3751</v>
      </c>
      <c r="E603" s="242" t="s">
        <v>3752</v>
      </c>
      <c r="F603" s="243" t="s">
        <v>1178</v>
      </c>
      <c r="G603" s="244" t="s">
        <v>2296</v>
      </c>
      <c r="H603" s="245" t="s">
        <v>3323</v>
      </c>
      <c r="I603" s="246" t="s">
        <v>3753</v>
      </c>
      <c r="J603" s="247" t="s">
        <v>178</v>
      </c>
      <c r="K603" s="248">
        <v>29747</v>
      </c>
      <c r="L603" s="249" t="s">
        <v>179</v>
      </c>
      <c r="M603" s="250">
        <v>43757</v>
      </c>
      <c r="N603" s="250"/>
      <c r="O603" s="250"/>
      <c r="P603" s="238" t="s">
        <v>3754</v>
      </c>
      <c r="Q603" s="238" t="s">
        <v>249</v>
      </c>
      <c r="R603" s="238" t="s">
        <v>182</v>
      </c>
      <c r="S603" s="238" t="s">
        <v>2397</v>
      </c>
      <c r="T603" s="251"/>
      <c r="U603" s="251"/>
      <c r="V603" s="252" t="s">
        <v>184</v>
      </c>
      <c r="W603" s="252" t="s">
        <v>184</v>
      </c>
      <c r="X603" s="252">
        <v>3</v>
      </c>
      <c r="Y603" s="253" t="s">
        <v>3755</v>
      </c>
      <c r="Z603" s="254"/>
      <c r="AA603" s="254" t="s">
        <v>186</v>
      </c>
      <c r="AB603" s="252"/>
      <c r="AC603" s="255"/>
      <c r="AD603" s="256"/>
      <c r="AE603" s="256"/>
      <c r="AF603" s="257"/>
      <c r="AG603" s="258"/>
      <c r="AH603" s="259"/>
      <c r="AI603" s="259"/>
      <c r="AJ603" s="260" t="s">
        <v>203</v>
      </c>
      <c r="AK603" s="260" t="s">
        <v>190</v>
      </c>
      <c r="AL603" s="260" t="s">
        <v>190</v>
      </c>
      <c r="AM603" s="255" t="s">
        <v>2499</v>
      </c>
      <c r="AN603" s="22">
        <v>182</v>
      </c>
      <c r="AO603" s="22">
        <v>0</v>
      </c>
      <c r="AP603" s="22">
        <v>20</v>
      </c>
      <c r="AQ603" s="22">
        <v>0</v>
      </c>
      <c r="AR603" s="22">
        <v>0</v>
      </c>
      <c r="AS603" s="22">
        <v>7</v>
      </c>
      <c r="AT603" s="22">
        <v>10</v>
      </c>
      <c r="AU603" s="316">
        <f t="shared" si="100"/>
        <v>219</v>
      </c>
      <c r="AV603" s="22">
        <v>190</v>
      </c>
      <c r="AW603" s="22">
        <v>0</v>
      </c>
      <c r="AX603" s="22">
        <v>20</v>
      </c>
      <c r="AY603" s="22">
        <v>0</v>
      </c>
      <c r="AZ603" s="22">
        <v>0</v>
      </c>
      <c r="BA603" s="22">
        <v>7</v>
      </c>
      <c r="BB603" s="22">
        <v>10</v>
      </c>
      <c r="BC603" s="316">
        <f t="shared" si="101"/>
        <v>227</v>
      </c>
      <c r="BD603" s="58">
        <f t="shared" si="102"/>
        <v>8</v>
      </c>
      <c r="BE603" s="58">
        <f t="shared" si="103"/>
        <v>0</v>
      </c>
      <c r="BF603" s="58">
        <f t="shared" si="104"/>
        <v>0</v>
      </c>
      <c r="BG603" s="58">
        <f t="shared" si="105"/>
        <v>0</v>
      </c>
      <c r="BH603" s="58">
        <f t="shared" si="106"/>
        <v>0</v>
      </c>
      <c r="BI603" s="58">
        <f t="shared" si="107"/>
        <v>0</v>
      </c>
      <c r="BJ603" s="58">
        <f t="shared" si="108"/>
        <v>0</v>
      </c>
      <c r="BK603" s="58">
        <f t="shared" si="109"/>
        <v>8</v>
      </c>
    </row>
    <row r="604" spans="1:63" ht="27" customHeight="1">
      <c r="A604" s="238">
        <f t="shared" si="110"/>
        <v>602</v>
      </c>
      <c r="B604" s="239"/>
      <c r="C604" s="239">
        <v>3670</v>
      </c>
      <c r="D604" s="241" t="s">
        <v>3756</v>
      </c>
      <c r="E604" s="242" t="s">
        <v>3757</v>
      </c>
      <c r="F604" s="243" t="s">
        <v>573</v>
      </c>
      <c r="G604" s="244" t="s">
        <v>3758</v>
      </c>
      <c r="H604" s="245" t="s">
        <v>2197</v>
      </c>
      <c r="I604" s="246" t="s">
        <v>3759</v>
      </c>
      <c r="J604" s="247" t="s">
        <v>178</v>
      </c>
      <c r="K604" s="248">
        <v>33217</v>
      </c>
      <c r="L604" s="249" t="s">
        <v>179</v>
      </c>
      <c r="M604" s="250">
        <v>43757</v>
      </c>
      <c r="N604" s="250"/>
      <c r="O604" s="250"/>
      <c r="P604" s="238" t="s">
        <v>3634</v>
      </c>
      <c r="Q604" s="238" t="s">
        <v>249</v>
      </c>
      <c r="R604" s="238" t="s">
        <v>182</v>
      </c>
      <c r="S604" s="238" t="s">
        <v>2430</v>
      </c>
      <c r="T604" s="251"/>
      <c r="U604" s="251"/>
      <c r="V604" s="252" t="s">
        <v>184</v>
      </c>
      <c r="W604" s="252" t="s">
        <v>184</v>
      </c>
      <c r="X604" s="252">
        <v>7</v>
      </c>
      <c r="Y604" s="253" t="s">
        <v>3760</v>
      </c>
      <c r="Z604" s="254" t="s">
        <v>186</v>
      </c>
      <c r="AA604" s="254"/>
      <c r="AB604" s="252"/>
      <c r="AC604" s="255"/>
      <c r="AD604" s="256"/>
      <c r="AE604" s="256"/>
      <c r="AF604" s="257"/>
      <c r="AG604" s="258"/>
      <c r="AH604" s="259"/>
      <c r="AI604" s="259"/>
      <c r="AJ604" s="260" t="s">
        <v>203</v>
      </c>
      <c r="AK604" s="260" t="s">
        <v>190</v>
      </c>
      <c r="AL604" s="260" t="s">
        <v>190</v>
      </c>
      <c r="AM604" s="255" t="s">
        <v>2499</v>
      </c>
      <c r="AN604" s="22">
        <v>182</v>
      </c>
      <c r="AO604" s="22">
        <v>0</v>
      </c>
      <c r="AP604" s="22">
        <v>20</v>
      </c>
      <c r="AQ604" s="22">
        <v>0</v>
      </c>
      <c r="AR604" s="22">
        <v>0</v>
      </c>
      <c r="AS604" s="22">
        <v>7</v>
      </c>
      <c r="AT604" s="22">
        <v>10</v>
      </c>
      <c r="AU604" s="316">
        <f t="shared" si="100"/>
        <v>219</v>
      </c>
      <c r="AV604" s="22">
        <v>190</v>
      </c>
      <c r="AW604" s="22">
        <v>0</v>
      </c>
      <c r="AX604" s="22">
        <v>20</v>
      </c>
      <c r="AY604" s="22">
        <v>0</v>
      </c>
      <c r="AZ604" s="22">
        <v>0</v>
      </c>
      <c r="BA604" s="22">
        <v>7</v>
      </c>
      <c r="BB604" s="22">
        <v>10</v>
      </c>
      <c r="BC604" s="316">
        <f t="shared" si="101"/>
        <v>227</v>
      </c>
      <c r="BD604" s="58">
        <f t="shared" si="102"/>
        <v>8</v>
      </c>
      <c r="BE604" s="58">
        <f t="shared" si="103"/>
        <v>0</v>
      </c>
      <c r="BF604" s="58">
        <f t="shared" si="104"/>
        <v>0</v>
      </c>
      <c r="BG604" s="58">
        <f t="shared" si="105"/>
        <v>0</v>
      </c>
      <c r="BH604" s="58">
        <f t="shared" si="106"/>
        <v>0</v>
      </c>
      <c r="BI604" s="58">
        <f t="shared" si="107"/>
        <v>0</v>
      </c>
      <c r="BJ604" s="58">
        <f t="shared" si="108"/>
        <v>0</v>
      </c>
      <c r="BK604" s="58">
        <f t="shared" si="109"/>
        <v>8</v>
      </c>
    </row>
    <row r="605" spans="1:63" ht="27" customHeight="1">
      <c r="A605" s="238">
        <f t="shared" si="110"/>
        <v>603</v>
      </c>
      <c r="B605" s="239"/>
      <c r="C605" s="239">
        <v>3653</v>
      </c>
      <c r="D605" s="241" t="s">
        <v>3761</v>
      </c>
      <c r="E605" s="242" t="s">
        <v>3762</v>
      </c>
      <c r="F605" s="243" t="s">
        <v>482</v>
      </c>
      <c r="G605" s="244" t="s">
        <v>3763</v>
      </c>
      <c r="H605" s="245" t="s">
        <v>3764</v>
      </c>
      <c r="I605" s="246" t="s">
        <v>3765</v>
      </c>
      <c r="J605" s="247" t="s">
        <v>178</v>
      </c>
      <c r="K605" s="248">
        <v>34620</v>
      </c>
      <c r="L605" s="249" t="s">
        <v>179</v>
      </c>
      <c r="M605" s="250">
        <v>43757</v>
      </c>
      <c r="N605" s="250"/>
      <c r="O605" s="250"/>
      <c r="P605" s="238" t="s">
        <v>2498</v>
      </c>
      <c r="Q605" s="238" t="s">
        <v>249</v>
      </c>
      <c r="R605" s="238" t="s">
        <v>182</v>
      </c>
      <c r="S605" s="238" t="s">
        <v>2505</v>
      </c>
      <c r="T605" s="251"/>
      <c r="U605" s="251"/>
      <c r="V605" s="252" t="s">
        <v>184</v>
      </c>
      <c r="W605" s="252" t="s">
        <v>184</v>
      </c>
      <c r="X605" s="252">
        <v>5</v>
      </c>
      <c r="Y605" s="253" t="s">
        <v>3766</v>
      </c>
      <c r="Z605" s="254" t="s">
        <v>186</v>
      </c>
      <c r="AA605" s="254"/>
      <c r="AB605" s="252"/>
      <c r="AC605" s="255"/>
      <c r="AD605" s="256"/>
      <c r="AE605" s="256"/>
      <c r="AF605" s="257"/>
      <c r="AG605" s="258"/>
      <c r="AH605" s="259"/>
      <c r="AI605" s="259"/>
      <c r="AJ605" s="260" t="s">
        <v>203</v>
      </c>
      <c r="AK605" s="260" t="s">
        <v>190</v>
      </c>
      <c r="AL605" s="260" t="s">
        <v>190</v>
      </c>
      <c r="AM605" s="255" t="s">
        <v>2499</v>
      </c>
      <c r="AN605" s="22">
        <v>182</v>
      </c>
      <c r="AO605" s="22">
        <v>0</v>
      </c>
      <c r="AP605" s="22">
        <v>20</v>
      </c>
      <c r="AQ605" s="22">
        <v>0</v>
      </c>
      <c r="AR605" s="22">
        <v>0</v>
      </c>
      <c r="AS605" s="22">
        <v>7</v>
      </c>
      <c r="AT605" s="22">
        <v>10</v>
      </c>
      <c r="AU605" s="316">
        <f t="shared" si="100"/>
        <v>219</v>
      </c>
      <c r="AV605" s="22">
        <v>190</v>
      </c>
      <c r="AW605" s="22">
        <v>0</v>
      </c>
      <c r="AX605" s="22">
        <v>20</v>
      </c>
      <c r="AY605" s="22">
        <v>0</v>
      </c>
      <c r="AZ605" s="22">
        <v>0</v>
      </c>
      <c r="BA605" s="22">
        <v>7</v>
      </c>
      <c r="BB605" s="22">
        <v>10</v>
      </c>
      <c r="BC605" s="316">
        <f t="shared" si="101"/>
        <v>227</v>
      </c>
      <c r="BD605" s="58">
        <f t="shared" si="102"/>
        <v>8</v>
      </c>
      <c r="BE605" s="58">
        <f t="shared" si="103"/>
        <v>0</v>
      </c>
      <c r="BF605" s="58">
        <f t="shared" si="104"/>
        <v>0</v>
      </c>
      <c r="BG605" s="58">
        <f t="shared" si="105"/>
        <v>0</v>
      </c>
      <c r="BH605" s="58">
        <f t="shared" si="106"/>
        <v>0</v>
      </c>
      <c r="BI605" s="58">
        <f t="shared" si="107"/>
        <v>0</v>
      </c>
      <c r="BJ605" s="58">
        <f t="shared" si="108"/>
        <v>0</v>
      </c>
      <c r="BK605" s="58">
        <f t="shared" si="109"/>
        <v>8</v>
      </c>
    </row>
    <row r="606" spans="1:63" ht="27" customHeight="1">
      <c r="A606" s="238">
        <f t="shared" si="110"/>
        <v>604</v>
      </c>
      <c r="B606" s="239"/>
      <c r="C606" s="239">
        <v>3752</v>
      </c>
      <c r="D606" s="241">
        <v>0</v>
      </c>
      <c r="E606" s="242" t="s">
        <v>3767</v>
      </c>
      <c r="F606" s="243" t="s">
        <v>3768</v>
      </c>
      <c r="G606" s="244" t="s">
        <v>2093</v>
      </c>
      <c r="H606" s="245" t="s">
        <v>3769</v>
      </c>
      <c r="I606" s="246" t="s">
        <v>2476</v>
      </c>
      <c r="J606" s="247" t="s">
        <v>209</v>
      </c>
      <c r="K606" s="248">
        <v>32694</v>
      </c>
      <c r="L606" s="249" t="s">
        <v>179</v>
      </c>
      <c r="M606" s="250">
        <v>43763</v>
      </c>
      <c r="N606" s="250"/>
      <c r="O606" s="250"/>
      <c r="P606" s="238" t="s">
        <v>3770</v>
      </c>
      <c r="Q606" s="238" t="s">
        <v>249</v>
      </c>
      <c r="R606" s="238" t="s">
        <v>182</v>
      </c>
      <c r="S606" s="238" t="s">
        <v>2430</v>
      </c>
      <c r="T606" s="251"/>
      <c r="U606" s="251"/>
      <c r="V606" s="252" t="s">
        <v>184</v>
      </c>
      <c r="W606" s="252" t="s">
        <v>184</v>
      </c>
      <c r="X606" s="252">
        <v>4</v>
      </c>
      <c r="Y606" s="253" t="s">
        <v>3771</v>
      </c>
      <c r="Z606" s="254"/>
      <c r="AA606" s="254" t="s">
        <v>186</v>
      </c>
      <c r="AB606" s="252"/>
      <c r="AC606" s="255"/>
      <c r="AD606" s="256" t="s">
        <v>188</v>
      </c>
      <c r="AE606" s="256"/>
      <c r="AF606" s="257"/>
      <c r="AG606" s="258"/>
      <c r="AH606" s="259"/>
      <c r="AI606" s="259"/>
      <c r="AJ606" s="260" t="s">
        <v>203</v>
      </c>
      <c r="AK606" s="260" t="s">
        <v>190</v>
      </c>
      <c r="AL606" s="260" t="s">
        <v>190</v>
      </c>
      <c r="AM606" s="255" t="s">
        <v>2499</v>
      </c>
      <c r="AN606" s="22">
        <v>182</v>
      </c>
      <c r="AO606" s="22">
        <v>0</v>
      </c>
      <c r="AP606" s="22">
        <v>20</v>
      </c>
      <c r="AQ606" s="22">
        <v>0</v>
      </c>
      <c r="AR606" s="22">
        <v>0</v>
      </c>
      <c r="AS606" s="22">
        <v>7</v>
      </c>
      <c r="AT606" s="22">
        <v>10</v>
      </c>
      <c r="AU606" s="316">
        <f t="shared" si="100"/>
        <v>219</v>
      </c>
      <c r="AV606" s="22">
        <v>190</v>
      </c>
      <c r="AW606" s="22">
        <v>0</v>
      </c>
      <c r="AX606" s="22">
        <v>20</v>
      </c>
      <c r="AY606" s="22">
        <v>0</v>
      </c>
      <c r="AZ606" s="22">
        <v>0</v>
      </c>
      <c r="BA606" s="22">
        <v>7</v>
      </c>
      <c r="BB606" s="22">
        <v>10</v>
      </c>
      <c r="BC606" s="316">
        <f t="shared" si="101"/>
        <v>227</v>
      </c>
      <c r="BD606" s="58">
        <f t="shared" si="102"/>
        <v>8</v>
      </c>
      <c r="BE606" s="58">
        <f t="shared" si="103"/>
        <v>0</v>
      </c>
      <c r="BF606" s="58">
        <f t="shared" si="104"/>
        <v>0</v>
      </c>
      <c r="BG606" s="58">
        <f t="shared" si="105"/>
        <v>0</v>
      </c>
      <c r="BH606" s="58">
        <f t="shared" si="106"/>
        <v>0</v>
      </c>
      <c r="BI606" s="58">
        <f t="shared" si="107"/>
        <v>0</v>
      </c>
      <c r="BJ606" s="58">
        <f t="shared" si="108"/>
        <v>0</v>
      </c>
      <c r="BK606" s="58">
        <f t="shared" si="109"/>
        <v>8</v>
      </c>
    </row>
    <row r="607" spans="1:63" ht="27" customHeight="1">
      <c r="A607" s="238">
        <f t="shared" si="110"/>
        <v>605</v>
      </c>
      <c r="B607" s="239"/>
      <c r="C607" s="239">
        <v>3522</v>
      </c>
      <c r="D607" s="241" t="s">
        <v>3772</v>
      </c>
      <c r="E607" s="242" t="s">
        <v>3773</v>
      </c>
      <c r="F607" s="243" t="s">
        <v>1657</v>
      </c>
      <c r="G607" s="244" t="s">
        <v>1789</v>
      </c>
      <c r="H607" s="245" t="s">
        <v>3774</v>
      </c>
      <c r="I607" s="246" t="s">
        <v>3769</v>
      </c>
      <c r="J607" s="247" t="s">
        <v>178</v>
      </c>
      <c r="K607" s="248">
        <v>31977</v>
      </c>
      <c r="L607" s="249" t="s">
        <v>179</v>
      </c>
      <c r="M607" s="250">
        <v>43746</v>
      </c>
      <c r="N607" s="250"/>
      <c r="O607" s="250"/>
      <c r="P607" s="238" t="s">
        <v>3775</v>
      </c>
      <c r="Q607" s="238" t="s">
        <v>249</v>
      </c>
      <c r="R607" s="238" t="s">
        <v>182</v>
      </c>
      <c r="S607" s="238" t="s">
        <v>2359</v>
      </c>
      <c r="T607" s="251"/>
      <c r="U607" s="251"/>
      <c r="V607" s="252" t="s">
        <v>184</v>
      </c>
      <c r="W607" s="252" t="s">
        <v>184</v>
      </c>
      <c r="X607" s="252">
        <v>2</v>
      </c>
      <c r="Y607" s="253" t="s">
        <v>3776</v>
      </c>
      <c r="Z607" s="254"/>
      <c r="AA607" s="254" t="s">
        <v>186</v>
      </c>
      <c r="AB607" s="252"/>
      <c r="AC607" s="255"/>
      <c r="AD607" s="256"/>
      <c r="AE607" s="256"/>
      <c r="AF607" s="257"/>
      <c r="AG607" s="258"/>
      <c r="AH607" s="259"/>
      <c r="AI607" s="259"/>
      <c r="AJ607" s="260" t="s">
        <v>203</v>
      </c>
      <c r="AK607" s="260" t="s">
        <v>190</v>
      </c>
      <c r="AL607" s="260" t="s">
        <v>190</v>
      </c>
      <c r="AM607" s="255" t="s">
        <v>2499</v>
      </c>
      <c r="AN607" s="22">
        <v>182</v>
      </c>
      <c r="AO607" s="22">
        <v>0</v>
      </c>
      <c r="AP607" s="22">
        <v>20</v>
      </c>
      <c r="AQ607" s="22">
        <v>0</v>
      </c>
      <c r="AR607" s="22">
        <v>0</v>
      </c>
      <c r="AS607" s="22">
        <v>7</v>
      </c>
      <c r="AT607" s="22">
        <v>10</v>
      </c>
      <c r="AU607" s="316">
        <f t="shared" si="100"/>
        <v>219</v>
      </c>
      <c r="AV607" s="22">
        <v>190</v>
      </c>
      <c r="AW607" s="22">
        <v>0</v>
      </c>
      <c r="AX607" s="22">
        <v>20</v>
      </c>
      <c r="AY607" s="22">
        <v>0</v>
      </c>
      <c r="AZ607" s="22">
        <v>0</v>
      </c>
      <c r="BA607" s="22">
        <v>7</v>
      </c>
      <c r="BB607" s="22">
        <v>10</v>
      </c>
      <c r="BC607" s="316">
        <f t="shared" si="101"/>
        <v>227</v>
      </c>
      <c r="BD607" s="58">
        <f t="shared" si="102"/>
        <v>8</v>
      </c>
      <c r="BE607" s="58">
        <f t="shared" si="103"/>
        <v>0</v>
      </c>
      <c r="BF607" s="58">
        <f t="shared" si="104"/>
        <v>0</v>
      </c>
      <c r="BG607" s="58">
        <f t="shared" si="105"/>
        <v>0</v>
      </c>
      <c r="BH607" s="58">
        <f t="shared" si="106"/>
        <v>0</v>
      </c>
      <c r="BI607" s="58">
        <f t="shared" si="107"/>
        <v>0</v>
      </c>
      <c r="BJ607" s="58">
        <f t="shared" si="108"/>
        <v>0</v>
      </c>
      <c r="BK607" s="58">
        <f t="shared" si="109"/>
        <v>8</v>
      </c>
    </row>
    <row r="608" spans="1:63" ht="27" customHeight="1">
      <c r="A608" s="238">
        <f t="shared" si="110"/>
        <v>606</v>
      </c>
      <c r="B608" s="239"/>
      <c r="C608" s="239">
        <v>3547</v>
      </c>
      <c r="D608" s="241" t="s">
        <v>3777</v>
      </c>
      <c r="E608" s="242" t="s">
        <v>3778</v>
      </c>
      <c r="F608" s="243" t="s">
        <v>2414</v>
      </c>
      <c r="G608" s="244" t="s">
        <v>3779</v>
      </c>
      <c r="H608" s="245" t="s">
        <v>2416</v>
      </c>
      <c r="I608" s="246" t="s">
        <v>3780</v>
      </c>
      <c r="J608" s="247" t="s">
        <v>209</v>
      </c>
      <c r="K608" s="248">
        <v>33894</v>
      </c>
      <c r="L608" s="249" t="s">
        <v>179</v>
      </c>
      <c r="M608" s="250">
        <v>43747</v>
      </c>
      <c r="N608" s="250"/>
      <c r="O608" s="250"/>
      <c r="P608" s="238" t="s">
        <v>3754</v>
      </c>
      <c r="Q608" s="238" t="s">
        <v>249</v>
      </c>
      <c r="R608" s="238" t="s">
        <v>182</v>
      </c>
      <c r="S608" s="238" t="s">
        <v>2465</v>
      </c>
      <c r="T608" s="251"/>
      <c r="U608" s="251"/>
      <c r="V608" s="252" t="s">
        <v>184</v>
      </c>
      <c r="W608" s="252" t="s">
        <v>184</v>
      </c>
      <c r="X608" s="252">
        <v>9</v>
      </c>
      <c r="Y608" s="253" t="s">
        <v>3781</v>
      </c>
      <c r="Z608" s="254" t="s">
        <v>186</v>
      </c>
      <c r="AA608" s="254"/>
      <c r="AB608" s="252"/>
      <c r="AC608" s="255"/>
      <c r="AD608" s="256"/>
      <c r="AE608" s="256"/>
      <c r="AF608" s="257"/>
      <c r="AG608" s="258"/>
      <c r="AH608" s="259"/>
      <c r="AI608" s="259"/>
      <c r="AJ608" s="260" t="s">
        <v>203</v>
      </c>
      <c r="AK608" s="260" t="s">
        <v>190</v>
      </c>
      <c r="AL608" s="260" t="s">
        <v>190</v>
      </c>
      <c r="AM608" s="255" t="s">
        <v>2499</v>
      </c>
      <c r="AN608" s="22">
        <v>182</v>
      </c>
      <c r="AO608" s="22">
        <v>0</v>
      </c>
      <c r="AP608" s="22">
        <v>20</v>
      </c>
      <c r="AQ608" s="22">
        <v>0</v>
      </c>
      <c r="AR608" s="22">
        <v>0</v>
      </c>
      <c r="AS608" s="22">
        <v>7</v>
      </c>
      <c r="AT608" s="22">
        <v>10</v>
      </c>
      <c r="AU608" s="316">
        <f t="shared" si="100"/>
        <v>219</v>
      </c>
      <c r="AV608" s="22">
        <v>190</v>
      </c>
      <c r="AW608" s="22">
        <v>0</v>
      </c>
      <c r="AX608" s="22">
        <v>20</v>
      </c>
      <c r="AY608" s="22">
        <v>0</v>
      </c>
      <c r="AZ608" s="22">
        <v>0</v>
      </c>
      <c r="BA608" s="22">
        <v>7</v>
      </c>
      <c r="BB608" s="22">
        <v>10</v>
      </c>
      <c r="BC608" s="316">
        <f t="shared" si="101"/>
        <v>227</v>
      </c>
      <c r="BD608" s="58">
        <f t="shared" si="102"/>
        <v>8</v>
      </c>
      <c r="BE608" s="58">
        <f t="shared" si="103"/>
        <v>0</v>
      </c>
      <c r="BF608" s="58">
        <f t="shared" si="104"/>
        <v>0</v>
      </c>
      <c r="BG608" s="58">
        <f t="shared" si="105"/>
        <v>0</v>
      </c>
      <c r="BH608" s="58">
        <f t="shared" si="106"/>
        <v>0</v>
      </c>
      <c r="BI608" s="58">
        <f t="shared" si="107"/>
        <v>0</v>
      </c>
      <c r="BJ608" s="58">
        <f t="shared" si="108"/>
        <v>0</v>
      </c>
      <c r="BK608" s="58">
        <f t="shared" si="109"/>
        <v>8</v>
      </c>
    </row>
    <row r="609" spans="1:63" ht="27" customHeight="1">
      <c r="A609" s="238">
        <f t="shared" si="110"/>
        <v>607</v>
      </c>
      <c r="B609" s="239"/>
      <c r="C609" s="239">
        <v>3651</v>
      </c>
      <c r="D609" s="241" t="s">
        <v>3782</v>
      </c>
      <c r="E609" s="242" t="s">
        <v>3783</v>
      </c>
      <c r="F609" s="243" t="s">
        <v>2310</v>
      </c>
      <c r="G609" s="244" t="s">
        <v>580</v>
      </c>
      <c r="H609" s="245" t="s">
        <v>2312</v>
      </c>
      <c r="I609" s="246" t="s">
        <v>3784</v>
      </c>
      <c r="J609" s="247" t="s">
        <v>178</v>
      </c>
      <c r="K609" s="248">
        <v>31478</v>
      </c>
      <c r="L609" s="249" t="s">
        <v>179</v>
      </c>
      <c r="M609" s="250">
        <v>43755</v>
      </c>
      <c r="N609" s="250"/>
      <c r="O609" s="250"/>
      <c r="P609" s="238" t="s">
        <v>3785</v>
      </c>
      <c r="Q609" s="238" t="s">
        <v>249</v>
      </c>
      <c r="R609" s="238" t="s">
        <v>182</v>
      </c>
      <c r="S609" s="238" t="s">
        <v>2430</v>
      </c>
      <c r="T609" s="251"/>
      <c r="U609" s="251"/>
      <c r="V609" s="252" t="s">
        <v>184</v>
      </c>
      <c r="W609" s="252" t="s">
        <v>184</v>
      </c>
      <c r="X609" s="252">
        <v>9</v>
      </c>
      <c r="Y609" s="253" t="s">
        <v>3786</v>
      </c>
      <c r="Z609" s="254"/>
      <c r="AA609" s="254" t="s">
        <v>186</v>
      </c>
      <c r="AB609" s="252"/>
      <c r="AC609" s="255"/>
      <c r="AD609" s="256"/>
      <c r="AE609" s="256"/>
      <c r="AF609" s="257"/>
      <c r="AG609" s="258"/>
      <c r="AH609" s="259"/>
      <c r="AI609" s="259"/>
      <c r="AJ609" s="260" t="s">
        <v>203</v>
      </c>
      <c r="AK609" s="260" t="s">
        <v>190</v>
      </c>
      <c r="AL609" s="260" t="s">
        <v>190</v>
      </c>
      <c r="AM609" s="255" t="s">
        <v>2499</v>
      </c>
      <c r="AN609" s="22">
        <v>182</v>
      </c>
      <c r="AO609" s="22">
        <v>0</v>
      </c>
      <c r="AP609" s="22">
        <v>20</v>
      </c>
      <c r="AQ609" s="22">
        <v>0</v>
      </c>
      <c r="AR609" s="22">
        <v>0</v>
      </c>
      <c r="AS609" s="22">
        <v>7</v>
      </c>
      <c r="AT609" s="22">
        <v>10</v>
      </c>
      <c r="AU609" s="316">
        <f t="shared" si="100"/>
        <v>219</v>
      </c>
      <c r="AV609" s="22">
        <v>190</v>
      </c>
      <c r="AW609" s="22">
        <v>0</v>
      </c>
      <c r="AX609" s="22">
        <v>20</v>
      </c>
      <c r="AY609" s="22">
        <v>0</v>
      </c>
      <c r="AZ609" s="22">
        <v>0</v>
      </c>
      <c r="BA609" s="22">
        <v>7</v>
      </c>
      <c r="BB609" s="22">
        <v>10</v>
      </c>
      <c r="BC609" s="316">
        <f t="shared" si="101"/>
        <v>227</v>
      </c>
      <c r="BD609" s="58">
        <f t="shared" si="102"/>
        <v>8</v>
      </c>
      <c r="BE609" s="58">
        <f t="shared" si="103"/>
        <v>0</v>
      </c>
      <c r="BF609" s="58">
        <f t="shared" si="104"/>
        <v>0</v>
      </c>
      <c r="BG609" s="58">
        <f t="shared" si="105"/>
        <v>0</v>
      </c>
      <c r="BH609" s="58">
        <f t="shared" si="106"/>
        <v>0</v>
      </c>
      <c r="BI609" s="58">
        <f t="shared" si="107"/>
        <v>0</v>
      </c>
      <c r="BJ609" s="58">
        <f t="shared" si="108"/>
        <v>0</v>
      </c>
      <c r="BK609" s="58">
        <f t="shared" si="109"/>
        <v>8</v>
      </c>
    </row>
    <row r="610" spans="1:63" ht="27" customHeight="1">
      <c r="A610" s="238">
        <f t="shared" si="110"/>
        <v>608</v>
      </c>
      <c r="B610" s="239"/>
      <c r="C610" s="239">
        <v>3658</v>
      </c>
      <c r="D610" s="241" t="s">
        <v>3787</v>
      </c>
      <c r="E610" s="242" t="s">
        <v>3788</v>
      </c>
      <c r="F610" s="243" t="s">
        <v>195</v>
      </c>
      <c r="G610" s="244" t="s">
        <v>3789</v>
      </c>
      <c r="H610" s="245" t="s">
        <v>197</v>
      </c>
      <c r="I610" s="246" t="s">
        <v>3790</v>
      </c>
      <c r="J610" s="247" t="s">
        <v>209</v>
      </c>
      <c r="K610" s="248">
        <v>29959</v>
      </c>
      <c r="L610" s="249" t="s">
        <v>179</v>
      </c>
      <c r="M610" s="250">
        <v>43757</v>
      </c>
      <c r="N610" s="250"/>
      <c r="O610" s="250"/>
      <c r="P610" s="238" t="s">
        <v>3634</v>
      </c>
      <c r="Q610" s="238" t="s">
        <v>249</v>
      </c>
      <c r="R610" s="238" t="s">
        <v>182</v>
      </c>
      <c r="S610" s="238" t="s">
        <v>2505</v>
      </c>
      <c r="T610" s="251"/>
      <c r="U610" s="251"/>
      <c r="V610" s="252" t="s">
        <v>184</v>
      </c>
      <c r="W610" s="252" t="s">
        <v>184</v>
      </c>
      <c r="X610" s="252">
        <v>5</v>
      </c>
      <c r="Y610" s="253" t="s">
        <v>3791</v>
      </c>
      <c r="Z610" s="254"/>
      <c r="AA610" s="254" t="s">
        <v>186</v>
      </c>
      <c r="AB610" s="252"/>
      <c r="AC610" s="255"/>
      <c r="AD610" s="256"/>
      <c r="AE610" s="256"/>
      <c r="AF610" s="257"/>
      <c r="AG610" s="258"/>
      <c r="AH610" s="259"/>
      <c r="AI610" s="259"/>
      <c r="AJ610" s="260" t="s">
        <v>203</v>
      </c>
      <c r="AK610" s="260" t="s">
        <v>190</v>
      </c>
      <c r="AL610" s="260" t="s">
        <v>190</v>
      </c>
      <c r="AM610" s="255" t="s">
        <v>2499</v>
      </c>
      <c r="AN610" s="22">
        <v>182</v>
      </c>
      <c r="AO610" s="22">
        <v>0</v>
      </c>
      <c r="AP610" s="22">
        <v>0</v>
      </c>
      <c r="AQ610" s="22">
        <v>0</v>
      </c>
      <c r="AR610" s="22">
        <v>0</v>
      </c>
      <c r="AS610" s="22">
        <v>7</v>
      </c>
      <c r="AT610" s="22">
        <v>10</v>
      </c>
      <c r="AU610" s="316">
        <f t="shared" si="100"/>
        <v>199</v>
      </c>
      <c r="AV610" s="22">
        <v>190</v>
      </c>
      <c r="AW610" s="22">
        <v>0</v>
      </c>
      <c r="AX610" s="22">
        <v>0</v>
      </c>
      <c r="AY610" s="22">
        <v>0</v>
      </c>
      <c r="AZ610" s="22">
        <v>0</v>
      </c>
      <c r="BA610" s="22">
        <v>7</v>
      </c>
      <c r="BB610" s="22">
        <v>10</v>
      </c>
      <c r="BC610" s="316">
        <f t="shared" si="101"/>
        <v>207</v>
      </c>
      <c r="BD610" s="58">
        <f t="shared" si="102"/>
        <v>8</v>
      </c>
      <c r="BE610" s="58">
        <f t="shared" si="103"/>
        <v>0</v>
      </c>
      <c r="BF610" s="58">
        <f t="shared" si="104"/>
        <v>0</v>
      </c>
      <c r="BG610" s="58">
        <f t="shared" si="105"/>
        <v>0</v>
      </c>
      <c r="BH610" s="58">
        <f t="shared" si="106"/>
        <v>0</v>
      </c>
      <c r="BI610" s="58">
        <f t="shared" si="107"/>
        <v>0</v>
      </c>
      <c r="BJ610" s="58">
        <f t="shared" si="108"/>
        <v>0</v>
      </c>
      <c r="BK610" s="58">
        <f t="shared" si="109"/>
        <v>8</v>
      </c>
    </row>
    <row r="611" spans="1:63" ht="27" customHeight="1">
      <c r="A611" s="238">
        <f t="shared" si="110"/>
        <v>609</v>
      </c>
      <c r="B611" s="239"/>
      <c r="C611" s="239">
        <v>3548</v>
      </c>
      <c r="D611" s="241" t="s">
        <v>3792</v>
      </c>
      <c r="E611" s="242" t="s">
        <v>3793</v>
      </c>
      <c r="F611" s="243" t="s">
        <v>481</v>
      </c>
      <c r="G611" s="244" t="s">
        <v>3794</v>
      </c>
      <c r="H611" s="245" t="s">
        <v>3795</v>
      </c>
      <c r="I611" s="246" t="s">
        <v>3796</v>
      </c>
      <c r="J611" s="247" t="s">
        <v>178</v>
      </c>
      <c r="K611" s="248">
        <v>33820</v>
      </c>
      <c r="L611" s="249" t="s">
        <v>179</v>
      </c>
      <c r="M611" s="250">
        <v>43747</v>
      </c>
      <c r="N611" s="250"/>
      <c r="O611" s="250"/>
      <c r="P611" s="238" t="s">
        <v>3754</v>
      </c>
      <c r="Q611" s="238" t="s">
        <v>249</v>
      </c>
      <c r="R611" s="238" t="s">
        <v>182</v>
      </c>
      <c r="S611" s="238" t="s">
        <v>2359</v>
      </c>
      <c r="T611" s="251"/>
      <c r="U611" s="251"/>
      <c r="V611" s="252" t="s">
        <v>184</v>
      </c>
      <c r="W611" s="252" t="s">
        <v>184</v>
      </c>
      <c r="X611" s="252">
        <v>7</v>
      </c>
      <c r="Y611" s="253" t="s">
        <v>3797</v>
      </c>
      <c r="Z611" s="254"/>
      <c r="AA611" s="254" t="s">
        <v>186</v>
      </c>
      <c r="AB611" s="252"/>
      <c r="AC611" s="255"/>
      <c r="AD611" s="256"/>
      <c r="AE611" s="256"/>
      <c r="AF611" s="257"/>
      <c r="AG611" s="258"/>
      <c r="AH611" s="259"/>
      <c r="AI611" s="259"/>
      <c r="AJ611" s="260" t="s">
        <v>203</v>
      </c>
      <c r="AK611" s="260" t="s">
        <v>190</v>
      </c>
      <c r="AL611" s="260" t="s">
        <v>190</v>
      </c>
      <c r="AM611" s="255" t="s">
        <v>2499</v>
      </c>
      <c r="AN611" s="22">
        <v>182</v>
      </c>
      <c r="AO611" s="22">
        <v>0</v>
      </c>
      <c r="AP611" s="22">
        <v>20</v>
      </c>
      <c r="AQ611" s="22">
        <v>0</v>
      </c>
      <c r="AR611" s="22">
        <v>0</v>
      </c>
      <c r="AS611" s="22">
        <v>7</v>
      </c>
      <c r="AT611" s="22">
        <v>10</v>
      </c>
      <c r="AU611" s="316">
        <f t="shared" si="100"/>
        <v>219</v>
      </c>
      <c r="AV611" s="22">
        <v>190</v>
      </c>
      <c r="AW611" s="22">
        <v>0</v>
      </c>
      <c r="AX611" s="22">
        <v>20</v>
      </c>
      <c r="AY611" s="22">
        <v>0</v>
      </c>
      <c r="AZ611" s="22">
        <v>0</v>
      </c>
      <c r="BA611" s="22">
        <v>7</v>
      </c>
      <c r="BB611" s="22">
        <v>10</v>
      </c>
      <c r="BC611" s="316">
        <f t="shared" si="101"/>
        <v>227</v>
      </c>
      <c r="BD611" s="58">
        <f t="shared" si="102"/>
        <v>8</v>
      </c>
      <c r="BE611" s="58">
        <f t="shared" si="103"/>
        <v>0</v>
      </c>
      <c r="BF611" s="58">
        <f t="shared" si="104"/>
        <v>0</v>
      </c>
      <c r="BG611" s="58">
        <f t="shared" si="105"/>
        <v>0</v>
      </c>
      <c r="BH611" s="58">
        <f t="shared" si="106"/>
        <v>0</v>
      </c>
      <c r="BI611" s="58">
        <f t="shared" si="107"/>
        <v>0</v>
      </c>
      <c r="BJ611" s="58">
        <f t="shared" si="108"/>
        <v>0</v>
      </c>
      <c r="BK611" s="58">
        <f t="shared" si="109"/>
        <v>8</v>
      </c>
    </row>
    <row r="612" spans="1:63" ht="27" customHeight="1">
      <c r="A612" s="238">
        <f t="shared" si="110"/>
        <v>610</v>
      </c>
      <c r="B612" s="239"/>
      <c r="C612" s="239">
        <v>3298</v>
      </c>
      <c r="D612" s="241" t="s">
        <v>3798</v>
      </c>
      <c r="E612" s="242" t="s">
        <v>3799</v>
      </c>
      <c r="F612" s="243" t="s">
        <v>1339</v>
      </c>
      <c r="G612" s="244" t="s">
        <v>3800</v>
      </c>
      <c r="H612" s="245" t="s">
        <v>3801</v>
      </c>
      <c r="I612" s="246" t="s">
        <v>3802</v>
      </c>
      <c r="J612" s="247" t="s">
        <v>178</v>
      </c>
      <c r="K612" s="248">
        <v>34897</v>
      </c>
      <c r="L612" s="249" t="s">
        <v>179</v>
      </c>
      <c r="M612" s="250">
        <v>43746</v>
      </c>
      <c r="N612" s="250"/>
      <c r="O612" s="250"/>
      <c r="P612" s="238" t="s">
        <v>3785</v>
      </c>
      <c r="Q612" s="238" t="s">
        <v>249</v>
      </c>
      <c r="R612" s="238" t="s">
        <v>182</v>
      </c>
      <c r="S612" s="238" t="s">
        <v>2384</v>
      </c>
      <c r="T612" s="251"/>
      <c r="U612" s="251"/>
      <c r="V612" s="252" t="s">
        <v>184</v>
      </c>
      <c r="W612" s="252" t="s">
        <v>184</v>
      </c>
      <c r="X612" s="252">
        <v>9</v>
      </c>
      <c r="Y612" s="253" t="s">
        <v>3803</v>
      </c>
      <c r="Z612" s="254" t="s">
        <v>186</v>
      </c>
      <c r="AA612" s="254"/>
      <c r="AB612" s="252"/>
      <c r="AC612" s="255"/>
      <c r="AD612" s="256" t="s">
        <v>188</v>
      </c>
      <c r="AE612" s="256"/>
      <c r="AF612" s="257"/>
      <c r="AG612" s="258"/>
      <c r="AH612" s="259"/>
      <c r="AI612" s="259"/>
      <c r="AJ612" s="260" t="s">
        <v>203</v>
      </c>
      <c r="AK612" s="260" t="s">
        <v>190</v>
      </c>
      <c r="AL612" s="260" t="s">
        <v>190</v>
      </c>
      <c r="AM612" s="255" t="s">
        <v>2499</v>
      </c>
      <c r="AN612" s="22">
        <v>182</v>
      </c>
      <c r="AO612" s="22">
        <v>0</v>
      </c>
      <c r="AP612" s="22">
        <v>20</v>
      </c>
      <c r="AQ612" s="22">
        <v>0</v>
      </c>
      <c r="AR612" s="22">
        <v>0</v>
      </c>
      <c r="AS612" s="22">
        <v>7</v>
      </c>
      <c r="AT612" s="22">
        <v>10</v>
      </c>
      <c r="AU612" s="316">
        <f t="shared" si="100"/>
        <v>219</v>
      </c>
      <c r="AV612" s="22">
        <v>190</v>
      </c>
      <c r="AW612" s="22">
        <v>0</v>
      </c>
      <c r="AX612" s="22">
        <v>20</v>
      </c>
      <c r="AY612" s="22">
        <v>0</v>
      </c>
      <c r="AZ612" s="22">
        <v>0</v>
      </c>
      <c r="BA612" s="22">
        <v>7</v>
      </c>
      <c r="BB612" s="22">
        <v>10</v>
      </c>
      <c r="BC612" s="316">
        <f t="shared" si="101"/>
        <v>227</v>
      </c>
      <c r="BD612" s="58">
        <f t="shared" si="102"/>
        <v>8</v>
      </c>
      <c r="BE612" s="58">
        <f t="shared" si="103"/>
        <v>0</v>
      </c>
      <c r="BF612" s="58">
        <f t="shared" si="104"/>
        <v>0</v>
      </c>
      <c r="BG612" s="58">
        <f t="shared" si="105"/>
        <v>0</v>
      </c>
      <c r="BH612" s="58">
        <f t="shared" si="106"/>
        <v>0</v>
      </c>
      <c r="BI612" s="58">
        <f t="shared" si="107"/>
        <v>0</v>
      </c>
      <c r="BJ612" s="58">
        <f t="shared" si="108"/>
        <v>0</v>
      </c>
      <c r="BK612" s="58">
        <f t="shared" si="109"/>
        <v>8</v>
      </c>
    </row>
    <row r="613" spans="1:63" ht="27" customHeight="1">
      <c r="A613" s="238">
        <f t="shared" si="110"/>
        <v>611</v>
      </c>
      <c r="B613" s="239"/>
      <c r="C613" s="239">
        <v>3237</v>
      </c>
      <c r="D613" s="241">
        <v>0</v>
      </c>
      <c r="E613" s="242" t="s">
        <v>296</v>
      </c>
      <c r="F613" s="243" t="s">
        <v>3097</v>
      </c>
      <c r="G613" s="244" t="s">
        <v>3804</v>
      </c>
      <c r="H613" s="245" t="s">
        <v>3805</v>
      </c>
      <c r="I613" s="246" t="s">
        <v>3806</v>
      </c>
      <c r="J613" s="247" t="s">
        <v>178</v>
      </c>
      <c r="K613" s="248">
        <v>34367</v>
      </c>
      <c r="L613" s="249" t="s">
        <v>179</v>
      </c>
      <c r="M613" s="250">
        <v>43742</v>
      </c>
      <c r="N613" s="250"/>
      <c r="O613" s="250"/>
      <c r="P613" s="238" t="s">
        <v>3775</v>
      </c>
      <c r="Q613" s="238" t="s">
        <v>249</v>
      </c>
      <c r="R613" s="238" t="s">
        <v>182</v>
      </c>
      <c r="S613" s="238" t="s">
        <v>2397</v>
      </c>
      <c r="T613" s="251"/>
      <c r="U613" s="251"/>
      <c r="V613" s="252" t="s">
        <v>184</v>
      </c>
      <c r="W613" s="252" t="s">
        <v>184</v>
      </c>
      <c r="X613" s="252">
        <v>5</v>
      </c>
      <c r="Y613" s="253" t="s">
        <v>3807</v>
      </c>
      <c r="Z613" s="254"/>
      <c r="AA613" s="254" t="s">
        <v>186</v>
      </c>
      <c r="AB613" s="252"/>
      <c r="AC613" s="255"/>
      <c r="AD613" s="256"/>
      <c r="AE613" s="256"/>
      <c r="AF613" s="257"/>
      <c r="AG613" s="258"/>
      <c r="AH613" s="259"/>
      <c r="AI613" s="259"/>
      <c r="AJ613" s="260" t="s">
        <v>203</v>
      </c>
      <c r="AK613" s="260" t="s">
        <v>190</v>
      </c>
      <c r="AL613" s="260" t="s">
        <v>190</v>
      </c>
      <c r="AM613" s="255" t="s">
        <v>2499</v>
      </c>
      <c r="AN613" s="22">
        <v>182</v>
      </c>
      <c r="AO613" s="22">
        <v>0</v>
      </c>
      <c r="AP613" s="22">
        <v>20</v>
      </c>
      <c r="AQ613" s="22">
        <v>0</v>
      </c>
      <c r="AR613" s="22">
        <v>0</v>
      </c>
      <c r="AS613" s="22">
        <v>7</v>
      </c>
      <c r="AT613" s="22">
        <v>10</v>
      </c>
      <c r="AU613" s="316">
        <f t="shared" si="100"/>
        <v>219</v>
      </c>
      <c r="AV613" s="22">
        <v>190</v>
      </c>
      <c r="AW613" s="22">
        <v>0</v>
      </c>
      <c r="AX613" s="22">
        <v>20</v>
      </c>
      <c r="AY613" s="22">
        <v>0</v>
      </c>
      <c r="AZ613" s="22">
        <v>0</v>
      </c>
      <c r="BA613" s="22">
        <v>7</v>
      </c>
      <c r="BB613" s="22">
        <v>10</v>
      </c>
      <c r="BC613" s="316">
        <f t="shared" si="101"/>
        <v>227</v>
      </c>
      <c r="BD613" s="58">
        <f t="shared" si="102"/>
        <v>8</v>
      </c>
      <c r="BE613" s="58">
        <f t="shared" si="103"/>
        <v>0</v>
      </c>
      <c r="BF613" s="58">
        <f t="shared" si="104"/>
        <v>0</v>
      </c>
      <c r="BG613" s="58">
        <f t="shared" si="105"/>
        <v>0</v>
      </c>
      <c r="BH613" s="58">
        <f t="shared" si="106"/>
        <v>0</v>
      </c>
      <c r="BI613" s="58">
        <f t="shared" si="107"/>
        <v>0</v>
      </c>
      <c r="BJ613" s="58">
        <f t="shared" si="108"/>
        <v>0</v>
      </c>
      <c r="BK613" s="58">
        <f t="shared" si="109"/>
        <v>8</v>
      </c>
    </row>
    <row r="614" spans="1:63" ht="27" customHeight="1">
      <c r="A614" s="238">
        <f t="shared" si="110"/>
        <v>612</v>
      </c>
      <c r="B614" s="239"/>
      <c r="C614" s="239">
        <v>3383</v>
      </c>
      <c r="D614" s="241" t="s">
        <v>3808</v>
      </c>
      <c r="E614" s="242" t="s">
        <v>3809</v>
      </c>
      <c r="F614" s="243" t="s">
        <v>1178</v>
      </c>
      <c r="G614" s="244" t="s">
        <v>3810</v>
      </c>
      <c r="H614" s="245" t="s">
        <v>3323</v>
      </c>
      <c r="I614" s="246" t="s">
        <v>3811</v>
      </c>
      <c r="J614" s="247" t="s">
        <v>178</v>
      </c>
      <c r="K614" s="248">
        <v>31640</v>
      </c>
      <c r="L614" s="249" t="s">
        <v>179</v>
      </c>
      <c r="M614" s="250">
        <v>43755</v>
      </c>
      <c r="N614" s="250"/>
      <c r="O614" s="250"/>
      <c r="P614" s="238" t="s">
        <v>265</v>
      </c>
      <c r="Q614" s="238" t="s">
        <v>181</v>
      </c>
      <c r="R614" s="238" t="s">
        <v>182</v>
      </c>
      <c r="S614" s="238" t="s">
        <v>2359</v>
      </c>
      <c r="T614" s="251"/>
      <c r="U614" s="251"/>
      <c r="V614" s="252" t="s">
        <v>184</v>
      </c>
      <c r="W614" s="252" t="s">
        <v>184</v>
      </c>
      <c r="X614" s="252">
        <v>10</v>
      </c>
      <c r="Y614" s="253" t="s">
        <v>3812</v>
      </c>
      <c r="Z614" s="254"/>
      <c r="AA614" s="254" t="s">
        <v>186</v>
      </c>
      <c r="AB614" s="252"/>
      <c r="AC614" s="255"/>
      <c r="AD614" s="256"/>
      <c r="AE614" s="256"/>
      <c r="AF614" s="257"/>
      <c r="AG614" s="258"/>
      <c r="AH614" s="259"/>
      <c r="AI614" s="259"/>
      <c r="AJ614" s="260" t="s">
        <v>203</v>
      </c>
      <c r="AK614" s="260" t="s">
        <v>190</v>
      </c>
      <c r="AL614" s="260" t="s">
        <v>190</v>
      </c>
      <c r="AM614" s="255" t="s">
        <v>2499</v>
      </c>
      <c r="AN614" s="22">
        <v>182</v>
      </c>
      <c r="AO614" s="22">
        <v>0</v>
      </c>
      <c r="AP614" s="22">
        <v>0</v>
      </c>
      <c r="AQ614" s="22">
        <v>0</v>
      </c>
      <c r="AR614" s="22">
        <v>0</v>
      </c>
      <c r="AS614" s="22">
        <v>7</v>
      </c>
      <c r="AT614" s="22">
        <v>10</v>
      </c>
      <c r="AU614" s="316">
        <f t="shared" si="100"/>
        <v>199</v>
      </c>
      <c r="AV614" s="22">
        <v>190</v>
      </c>
      <c r="AW614" s="22">
        <v>0</v>
      </c>
      <c r="AX614" s="22">
        <v>0</v>
      </c>
      <c r="AY614" s="22">
        <v>0</v>
      </c>
      <c r="AZ614" s="22">
        <v>0</v>
      </c>
      <c r="BA614" s="22">
        <v>7</v>
      </c>
      <c r="BB614" s="22">
        <v>10</v>
      </c>
      <c r="BC614" s="316">
        <f t="shared" si="101"/>
        <v>207</v>
      </c>
      <c r="BD614" s="58">
        <f t="shared" si="102"/>
        <v>8</v>
      </c>
      <c r="BE614" s="58">
        <f t="shared" si="103"/>
        <v>0</v>
      </c>
      <c r="BF614" s="58">
        <f t="shared" si="104"/>
        <v>0</v>
      </c>
      <c r="BG614" s="58">
        <f t="shared" si="105"/>
        <v>0</v>
      </c>
      <c r="BH614" s="58">
        <f t="shared" si="106"/>
        <v>0</v>
      </c>
      <c r="BI614" s="58">
        <f t="shared" si="107"/>
        <v>0</v>
      </c>
      <c r="BJ614" s="58">
        <f t="shared" si="108"/>
        <v>0</v>
      </c>
      <c r="BK614" s="58">
        <f t="shared" si="109"/>
        <v>8</v>
      </c>
    </row>
    <row r="615" spans="1:63" ht="27" customHeight="1">
      <c r="A615" s="238">
        <f t="shared" si="110"/>
        <v>613</v>
      </c>
      <c r="B615" s="239"/>
      <c r="C615" s="239">
        <v>3118</v>
      </c>
      <c r="D615" s="241">
        <v>0</v>
      </c>
      <c r="E615" s="242" t="s">
        <v>3813</v>
      </c>
      <c r="F615" s="243" t="s">
        <v>3355</v>
      </c>
      <c r="G615" s="244" t="s">
        <v>3497</v>
      </c>
      <c r="H615" s="245" t="s">
        <v>116</v>
      </c>
      <c r="I615" s="246" t="s">
        <v>3814</v>
      </c>
      <c r="J615" s="247" t="s">
        <v>178</v>
      </c>
      <c r="K615" s="248">
        <v>32202</v>
      </c>
      <c r="L615" s="249" t="s">
        <v>179</v>
      </c>
      <c r="M615" s="250">
        <v>43742</v>
      </c>
      <c r="N615" s="250"/>
      <c r="O615" s="250"/>
      <c r="P615" s="238" t="s">
        <v>339</v>
      </c>
      <c r="Q615" s="238" t="s">
        <v>181</v>
      </c>
      <c r="R615" s="238" t="s">
        <v>182</v>
      </c>
      <c r="S615" s="238" t="s">
        <v>2384</v>
      </c>
      <c r="T615" s="251"/>
      <c r="U615" s="251"/>
      <c r="V615" s="252" t="s">
        <v>184</v>
      </c>
      <c r="W615" s="252" t="s">
        <v>184</v>
      </c>
      <c r="X615" s="252">
        <v>9</v>
      </c>
      <c r="Y615" s="253" t="s">
        <v>296</v>
      </c>
      <c r="Z615" s="254"/>
      <c r="AA615" s="254" t="s">
        <v>186</v>
      </c>
      <c r="AB615" s="252"/>
      <c r="AC615" s="255"/>
      <c r="AD615" s="256"/>
      <c r="AE615" s="256"/>
      <c r="AF615" s="257"/>
      <c r="AG615" s="258"/>
      <c r="AH615" s="259"/>
      <c r="AI615" s="259"/>
      <c r="AJ615" s="260" t="s">
        <v>203</v>
      </c>
      <c r="AK615" s="260" t="s">
        <v>190</v>
      </c>
      <c r="AL615" s="260" t="s">
        <v>190</v>
      </c>
      <c r="AM615" s="255" t="s">
        <v>2499</v>
      </c>
      <c r="AN615" s="22">
        <v>182</v>
      </c>
      <c r="AO615" s="22">
        <v>0</v>
      </c>
      <c r="AP615" s="22">
        <v>0</v>
      </c>
      <c r="AQ615" s="22">
        <v>0</v>
      </c>
      <c r="AR615" s="22">
        <v>0</v>
      </c>
      <c r="AS615" s="22">
        <v>7</v>
      </c>
      <c r="AT615" s="22">
        <v>10</v>
      </c>
      <c r="AU615" s="316">
        <f t="shared" si="100"/>
        <v>199</v>
      </c>
      <c r="AV615" s="22">
        <v>190</v>
      </c>
      <c r="AW615" s="22">
        <v>0</v>
      </c>
      <c r="AX615" s="22">
        <v>0</v>
      </c>
      <c r="AY615" s="22">
        <v>0</v>
      </c>
      <c r="AZ615" s="22">
        <v>0</v>
      </c>
      <c r="BA615" s="22">
        <v>7</v>
      </c>
      <c r="BB615" s="22">
        <v>10</v>
      </c>
      <c r="BC615" s="316">
        <f t="shared" si="101"/>
        <v>207</v>
      </c>
      <c r="BD615" s="58">
        <f t="shared" si="102"/>
        <v>8</v>
      </c>
      <c r="BE615" s="58">
        <f t="shared" si="103"/>
        <v>0</v>
      </c>
      <c r="BF615" s="58">
        <f t="shared" si="104"/>
        <v>0</v>
      </c>
      <c r="BG615" s="58">
        <f t="shared" si="105"/>
        <v>0</v>
      </c>
      <c r="BH615" s="58">
        <f t="shared" si="106"/>
        <v>0</v>
      </c>
      <c r="BI615" s="58">
        <f t="shared" si="107"/>
        <v>0</v>
      </c>
      <c r="BJ615" s="58">
        <f t="shared" si="108"/>
        <v>0</v>
      </c>
      <c r="BK615" s="58">
        <f t="shared" si="109"/>
        <v>8</v>
      </c>
    </row>
    <row r="616" spans="1:63" ht="27" customHeight="1">
      <c r="A616" s="238">
        <f t="shared" si="110"/>
        <v>614</v>
      </c>
      <c r="B616" s="239"/>
      <c r="C616" s="239">
        <v>3387</v>
      </c>
      <c r="D616" s="241" t="s">
        <v>3315</v>
      </c>
      <c r="E616" s="242" t="s">
        <v>3316</v>
      </c>
      <c r="F616" s="243" t="s">
        <v>3317</v>
      </c>
      <c r="G616" s="244" t="s">
        <v>1000</v>
      </c>
      <c r="H616" s="245" t="s">
        <v>3319</v>
      </c>
      <c r="I616" s="246" t="s">
        <v>3815</v>
      </c>
      <c r="J616" s="247" t="s">
        <v>178</v>
      </c>
      <c r="K616" s="248">
        <v>31846</v>
      </c>
      <c r="L616" s="249" t="s">
        <v>179</v>
      </c>
      <c r="M616" s="250">
        <v>43760</v>
      </c>
      <c r="N616" s="250"/>
      <c r="O616" s="250"/>
      <c r="P616" s="238" t="s">
        <v>386</v>
      </c>
      <c r="Q616" s="238" t="s">
        <v>181</v>
      </c>
      <c r="R616" s="238" t="s">
        <v>182</v>
      </c>
      <c r="S616" s="238" t="s">
        <v>2359</v>
      </c>
      <c r="T616" s="251"/>
      <c r="U616" s="251"/>
      <c r="V616" s="252" t="s">
        <v>184</v>
      </c>
      <c r="W616" s="252" t="s">
        <v>184</v>
      </c>
      <c r="X616" s="252">
        <v>8</v>
      </c>
      <c r="Y616" s="253" t="s">
        <v>3816</v>
      </c>
      <c r="Z616" s="254" t="s">
        <v>186</v>
      </c>
      <c r="AA616" s="254"/>
      <c r="AB616" s="252"/>
      <c r="AC616" s="255"/>
      <c r="AD616" s="256"/>
      <c r="AE616" s="256"/>
      <c r="AF616" s="257"/>
      <c r="AG616" s="258"/>
      <c r="AH616" s="259"/>
      <c r="AI616" s="259"/>
      <c r="AJ616" s="260" t="s">
        <v>203</v>
      </c>
      <c r="AK616" s="260" t="s">
        <v>190</v>
      </c>
      <c r="AL616" s="260" t="s">
        <v>190</v>
      </c>
      <c r="AM616" s="255" t="s">
        <v>2499</v>
      </c>
      <c r="AN616" s="22">
        <v>182</v>
      </c>
      <c r="AO616" s="22">
        <v>0</v>
      </c>
      <c r="AP616" s="22">
        <v>0</v>
      </c>
      <c r="AQ616" s="22">
        <v>0</v>
      </c>
      <c r="AR616" s="22">
        <v>0</v>
      </c>
      <c r="AS616" s="22">
        <v>7</v>
      </c>
      <c r="AT616" s="22">
        <v>10</v>
      </c>
      <c r="AU616" s="316">
        <f t="shared" si="100"/>
        <v>199</v>
      </c>
      <c r="AV616" s="22">
        <v>190</v>
      </c>
      <c r="AW616" s="22">
        <v>0</v>
      </c>
      <c r="AX616" s="22">
        <v>0</v>
      </c>
      <c r="AY616" s="22">
        <v>0</v>
      </c>
      <c r="AZ616" s="22">
        <v>0</v>
      </c>
      <c r="BA616" s="22">
        <v>7</v>
      </c>
      <c r="BB616" s="22">
        <v>10</v>
      </c>
      <c r="BC616" s="316">
        <f t="shared" si="101"/>
        <v>207</v>
      </c>
      <c r="BD616" s="58">
        <f t="shared" si="102"/>
        <v>8</v>
      </c>
      <c r="BE616" s="58">
        <f t="shared" si="103"/>
        <v>0</v>
      </c>
      <c r="BF616" s="58">
        <f t="shared" si="104"/>
        <v>0</v>
      </c>
      <c r="BG616" s="58">
        <f t="shared" si="105"/>
        <v>0</v>
      </c>
      <c r="BH616" s="58">
        <f t="shared" si="106"/>
        <v>0</v>
      </c>
      <c r="BI616" s="58">
        <f t="shared" si="107"/>
        <v>0</v>
      </c>
      <c r="BJ616" s="58">
        <f t="shared" si="108"/>
        <v>0</v>
      </c>
      <c r="BK616" s="58">
        <f t="shared" si="109"/>
        <v>8</v>
      </c>
    </row>
    <row r="617" spans="1:63" ht="27" customHeight="1">
      <c r="A617" s="238">
        <f t="shared" si="110"/>
        <v>615</v>
      </c>
      <c r="B617" s="239"/>
      <c r="C617" s="239">
        <v>3353</v>
      </c>
      <c r="D617" s="241">
        <v>0</v>
      </c>
      <c r="E617" s="242" t="s">
        <v>3817</v>
      </c>
      <c r="F617" s="243" t="s">
        <v>3818</v>
      </c>
      <c r="G617" s="244" t="s">
        <v>444</v>
      </c>
      <c r="H617" s="245" t="s">
        <v>3819</v>
      </c>
      <c r="I617" s="246" t="s">
        <v>2966</v>
      </c>
      <c r="J617" s="247" t="s">
        <v>178</v>
      </c>
      <c r="K617" s="248">
        <v>29426</v>
      </c>
      <c r="L617" s="249" t="s">
        <v>179</v>
      </c>
      <c r="M617" s="250">
        <v>43754</v>
      </c>
      <c r="N617" s="250"/>
      <c r="O617" s="250"/>
      <c r="P617" s="238" t="s">
        <v>309</v>
      </c>
      <c r="Q617" s="238" t="s">
        <v>181</v>
      </c>
      <c r="R617" s="238" t="s">
        <v>182</v>
      </c>
      <c r="S617" s="238" t="s">
        <v>2598</v>
      </c>
      <c r="T617" s="251"/>
      <c r="U617" s="251"/>
      <c r="V617" s="252" t="s">
        <v>184</v>
      </c>
      <c r="W617" s="252" t="s">
        <v>184</v>
      </c>
      <c r="X617" s="252">
        <v>4</v>
      </c>
      <c r="Y617" s="253" t="s">
        <v>3820</v>
      </c>
      <c r="Z617" s="254"/>
      <c r="AA617" s="254" t="s">
        <v>186</v>
      </c>
      <c r="AB617" s="252"/>
      <c r="AC617" s="255"/>
      <c r="AD617" s="256"/>
      <c r="AE617" s="256"/>
      <c r="AF617" s="257"/>
      <c r="AG617" s="258"/>
      <c r="AH617" s="259"/>
      <c r="AI617" s="259"/>
      <c r="AJ617" s="260" t="s">
        <v>203</v>
      </c>
      <c r="AK617" s="260" t="s">
        <v>190</v>
      </c>
      <c r="AL617" s="260" t="s">
        <v>190</v>
      </c>
      <c r="AM617" s="255" t="s">
        <v>2499</v>
      </c>
      <c r="AN617" s="22">
        <v>182</v>
      </c>
      <c r="AO617" s="22">
        <v>0</v>
      </c>
      <c r="AP617" s="22">
        <v>0</v>
      </c>
      <c r="AQ617" s="22">
        <v>0</v>
      </c>
      <c r="AR617" s="22">
        <v>0</v>
      </c>
      <c r="AS617" s="22">
        <v>7</v>
      </c>
      <c r="AT617" s="22">
        <v>10</v>
      </c>
      <c r="AU617" s="316">
        <f t="shared" si="100"/>
        <v>199</v>
      </c>
      <c r="AV617" s="22">
        <v>190</v>
      </c>
      <c r="AW617" s="22">
        <v>0</v>
      </c>
      <c r="AX617" s="22">
        <v>0</v>
      </c>
      <c r="AY617" s="22">
        <v>0</v>
      </c>
      <c r="AZ617" s="22">
        <v>0</v>
      </c>
      <c r="BA617" s="22">
        <v>7</v>
      </c>
      <c r="BB617" s="22">
        <v>10</v>
      </c>
      <c r="BC617" s="316">
        <f t="shared" si="101"/>
        <v>207</v>
      </c>
      <c r="BD617" s="58">
        <f t="shared" si="102"/>
        <v>8</v>
      </c>
      <c r="BE617" s="58">
        <f t="shared" si="103"/>
        <v>0</v>
      </c>
      <c r="BF617" s="58">
        <f t="shared" si="104"/>
        <v>0</v>
      </c>
      <c r="BG617" s="58">
        <f t="shared" si="105"/>
        <v>0</v>
      </c>
      <c r="BH617" s="58">
        <f t="shared" si="106"/>
        <v>0</v>
      </c>
      <c r="BI617" s="58">
        <f t="shared" si="107"/>
        <v>0</v>
      </c>
      <c r="BJ617" s="58">
        <f t="shared" si="108"/>
        <v>0</v>
      </c>
      <c r="BK617" s="58">
        <f t="shared" si="109"/>
        <v>8</v>
      </c>
    </row>
    <row r="618" spans="1:63" ht="27" customHeight="1">
      <c r="A618" s="238">
        <f t="shared" si="110"/>
        <v>616</v>
      </c>
      <c r="B618" s="239"/>
      <c r="C618" s="239">
        <v>3355</v>
      </c>
      <c r="D618" s="241" t="s">
        <v>3821</v>
      </c>
      <c r="E618" s="242" t="s">
        <v>3822</v>
      </c>
      <c r="F618" s="243" t="s">
        <v>3794</v>
      </c>
      <c r="G618" s="244" t="s">
        <v>1424</v>
      </c>
      <c r="H618" s="245" t="s">
        <v>12</v>
      </c>
      <c r="I618" s="246" t="s">
        <v>2470</v>
      </c>
      <c r="J618" s="247" t="s">
        <v>178</v>
      </c>
      <c r="K618" s="248">
        <v>29230</v>
      </c>
      <c r="L618" s="249" t="s">
        <v>179</v>
      </c>
      <c r="M618" s="250">
        <v>43755</v>
      </c>
      <c r="N618" s="250"/>
      <c r="O618" s="250"/>
      <c r="P618" s="238" t="s">
        <v>227</v>
      </c>
      <c r="Q618" s="238" t="s">
        <v>181</v>
      </c>
      <c r="R618" s="238" t="s">
        <v>182</v>
      </c>
      <c r="S618" s="238" t="s">
        <v>2397</v>
      </c>
      <c r="T618" s="251"/>
      <c r="U618" s="251"/>
      <c r="V618" s="252" t="s">
        <v>184</v>
      </c>
      <c r="W618" s="252" t="s">
        <v>184</v>
      </c>
      <c r="X618" s="252">
        <v>3</v>
      </c>
      <c r="Y618" s="253" t="s">
        <v>3823</v>
      </c>
      <c r="Z618" s="254"/>
      <c r="AA618" s="254" t="s">
        <v>186</v>
      </c>
      <c r="AB618" s="252"/>
      <c r="AC618" s="255"/>
      <c r="AD618" s="256"/>
      <c r="AE618" s="256"/>
      <c r="AF618" s="257"/>
      <c r="AG618" s="258"/>
      <c r="AH618" s="259"/>
      <c r="AI618" s="259"/>
      <c r="AJ618" s="260" t="s">
        <v>203</v>
      </c>
      <c r="AK618" s="260" t="s">
        <v>190</v>
      </c>
      <c r="AL618" s="260" t="s">
        <v>190</v>
      </c>
      <c r="AM618" s="255" t="s">
        <v>2499</v>
      </c>
      <c r="AN618" s="22">
        <v>182</v>
      </c>
      <c r="AO618" s="22">
        <v>0</v>
      </c>
      <c r="AP618" s="22">
        <v>0</v>
      </c>
      <c r="AQ618" s="22">
        <v>0</v>
      </c>
      <c r="AR618" s="22">
        <v>0</v>
      </c>
      <c r="AS618" s="22">
        <v>7</v>
      </c>
      <c r="AT618" s="22">
        <v>10</v>
      </c>
      <c r="AU618" s="316">
        <f t="shared" si="100"/>
        <v>199</v>
      </c>
      <c r="AV618" s="22">
        <v>190</v>
      </c>
      <c r="AW618" s="22">
        <v>0</v>
      </c>
      <c r="AX618" s="22">
        <v>0</v>
      </c>
      <c r="AY618" s="22">
        <v>0</v>
      </c>
      <c r="AZ618" s="22">
        <v>0</v>
      </c>
      <c r="BA618" s="22">
        <v>7</v>
      </c>
      <c r="BB618" s="22">
        <v>10</v>
      </c>
      <c r="BC618" s="316">
        <f t="shared" si="101"/>
        <v>207</v>
      </c>
      <c r="BD618" s="58">
        <f t="shared" si="102"/>
        <v>8</v>
      </c>
      <c r="BE618" s="58">
        <f t="shared" si="103"/>
        <v>0</v>
      </c>
      <c r="BF618" s="58">
        <f t="shared" si="104"/>
        <v>0</v>
      </c>
      <c r="BG618" s="58">
        <f t="shared" si="105"/>
        <v>0</v>
      </c>
      <c r="BH618" s="58">
        <f t="shared" si="106"/>
        <v>0</v>
      </c>
      <c r="BI618" s="58">
        <f t="shared" si="107"/>
        <v>0</v>
      </c>
      <c r="BJ618" s="58">
        <f t="shared" si="108"/>
        <v>0</v>
      </c>
      <c r="BK618" s="58">
        <f t="shared" si="109"/>
        <v>8</v>
      </c>
    </row>
    <row r="619" spans="1:63" ht="27" customHeight="1">
      <c r="A619" s="238">
        <f t="shared" si="110"/>
        <v>617</v>
      </c>
      <c r="B619" s="239"/>
      <c r="C619" s="239">
        <v>3095</v>
      </c>
      <c r="D619" s="241" t="s">
        <v>3824</v>
      </c>
      <c r="E619" s="242" t="s">
        <v>3825</v>
      </c>
      <c r="F619" s="243" t="s">
        <v>3826</v>
      </c>
      <c r="G619" s="244" t="s">
        <v>3027</v>
      </c>
      <c r="H619" s="245" t="s">
        <v>3827</v>
      </c>
      <c r="I619" s="246" t="s">
        <v>115</v>
      </c>
      <c r="J619" s="247" t="s">
        <v>178</v>
      </c>
      <c r="K619" s="248">
        <v>33118</v>
      </c>
      <c r="L619" s="249" t="s">
        <v>179</v>
      </c>
      <c r="M619" s="250">
        <v>43726</v>
      </c>
      <c r="N619" s="250"/>
      <c r="O619" s="250"/>
      <c r="P619" s="238" t="s">
        <v>84</v>
      </c>
      <c r="Q619" s="238" t="s">
        <v>181</v>
      </c>
      <c r="R619" s="238" t="s">
        <v>182</v>
      </c>
      <c r="S619" s="238" t="s">
        <v>3601</v>
      </c>
      <c r="T619" s="251"/>
      <c r="U619" s="251"/>
      <c r="V619" s="252" t="s">
        <v>184</v>
      </c>
      <c r="W619" s="252" t="s">
        <v>184</v>
      </c>
      <c r="X619" s="252">
        <v>4</v>
      </c>
      <c r="Y619" s="253" t="s">
        <v>3828</v>
      </c>
      <c r="Z619" s="254"/>
      <c r="AA619" s="254" t="s">
        <v>186</v>
      </c>
      <c r="AB619" s="252"/>
      <c r="AC619" s="255"/>
      <c r="AD619" s="256"/>
      <c r="AE619" s="256"/>
      <c r="AF619" s="257"/>
      <c r="AG619" s="258"/>
      <c r="AH619" s="259"/>
      <c r="AI619" s="259"/>
      <c r="AJ619" s="260" t="s">
        <v>203</v>
      </c>
      <c r="AK619" s="260" t="s">
        <v>190</v>
      </c>
      <c r="AL619" s="260" t="s">
        <v>190</v>
      </c>
      <c r="AM619" s="255" t="s">
        <v>2499</v>
      </c>
      <c r="AN619" s="22">
        <v>182</v>
      </c>
      <c r="AO619" s="22">
        <v>0</v>
      </c>
      <c r="AP619" s="22">
        <v>0</v>
      </c>
      <c r="AQ619" s="22">
        <v>0</v>
      </c>
      <c r="AR619" s="22">
        <v>0</v>
      </c>
      <c r="AS619" s="22">
        <v>7</v>
      </c>
      <c r="AT619" s="22">
        <v>10</v>
      </c>
      <c r="AU619" s="316">
        <f t="shared" si="100"/>
        <v>199</v>
      </c>
      <c r="AV619" s="22">
        <v>190</v>
      </c>
      <c r="AW619" s="22">
        <v>0</v>
      </c>
      <c r="AX619" s="22">
        <v>0</v>
      </c>
      <c r="AY619" s="22">
        <v>0</v>
      </c>
      <c r="AZ619" s="22">
        <v>0</v>
      </c>
      <c r="BA619" s="22">
        <v>7</v>
      </c>
      <c r="BB619" s="22">
        <v>10</v>
      </c>
      <c r="BC619" s="316">
        <f t="shared" si="101"/>
        <v>207</v>
      </c>
      <c r="BD619" s="58">
        <f t="shared" si="102"/>
        <v>8</v>
      </c>
      <c r="BE619" s="58">
        <f t="shared" si="103"/>
        <v>0</v>
      </c>
      <c r="BF619" s="58">
        <f t="shared" si="104"/>
        <v>0</v>
      </c>
      <c r="BG619" s="58">
        <f t="shared" si="105"/>
        <v>0</v>
      </c>
      <c r="BH619" s="58">
        <f t="shared" si="106"/>
        <v>0</v>
      </c>
      <c r="BI619" s="58">
        <f t="shared" si="107"/>
        <v>0</v>
      </c>
      <c r="BJ619" s="58">
        <f t="shared" si="108"/>
        <v>0</v>
      </c>
      <c r="BK619" s="58">
        <f t="shared" si="109"/>
        <v>8</v>
      </c>
    </row>
    <row r="620" spans="1:63" ht="27" customHeight="1">
      <c r="A620" s="238">
        <f t="shared" si="110"/>
        <v>618</v>
      </c>
      <c r="B620" s="239"/>
      <c r="C620" s="239">
        <v>3654</v>
      </c>
      <c r="D620" s="241">
        <v>0</v>
      </c>
      <c r="E620" s="242" t="s">
        <v>296</v>
      </c>
      <c r="F620" s="243" t="s">
        <v>3829</v>
      </c>
      <c r="G620" s="244" t="s">
        <v>3830</v>
      </c>
      <c r="H620" s="245" t="s">
        <v>3831</v>
      </c>
      <c r="I620" s="246" t="s">
        <v>3832</v>
      </c>
      <c r="J620" s="247" t="s">
        <v>178</v>
      </c>
      <c r="K620" s="248">
        <v>35525</v>
      </c>
      <c r="L620" s="249" t="s">
        <v>179</v>
      </c>
      <c r="M620" s="250">
        <v>43755</v>
      </c>
      <c r="N620" s="250"/>
      <c r="O620" s="250"/>
      <c r="P620" s="238" t="s">
        <v>3833</v>
      </c>
      <c r="Q620" s="238" t="s">
        <v>249</v>
      </c>
      <c r="R620" s="238" t="s">
        <v>182</v>
      </c>
      <c r="S620" s="238" t="s">
        <v>2598</v>
      </c>
      <c r="T620" s="251"/>
      <c r="U620" s="251"/>
      <c r="V620" s="252" t="s">
        <v>184</v>
      </c>
      <c r="W620" s="252" t="s">
        <v>184</v>
      </c>
      <c r="X620" s="252">
        <v>9</v>
      </c>
      <c r="Y620" s="253"/>
      <c r="Z620" s="254"/>
      <c r="AA620" s="254"/>
      <c r="AB620" s="252"/>
      <c r="AC620" s="255"/>
      <c r="AD620" s="256"/>
      <c r="AE620" s="256"/>
      <c r="AF620" s="257"/>
      <c r="AG620" s="258"/>
      <c r="AH620" s="259"/>
      <c r="AI620" s="259"/>
      <c r="AJ620" s="260" t="s">
        <v>203</v>
      </c>
      <c r="AK620" s="260" t="s">
        <v>190</v>
      </c>
      <c r="AL620" s="260" t="s">
        <v>190</v>
      </c>
      <c r="AM620" s="255" t="s">
        <v>2499</v>
      </c>
      <c r="AN620" s="22">
        <v>182</v>
      </c>
      <c r="AO620" s="22">
        <v>0</v>
      </c>
      <c r="AP620" s="22">
        <v>0</v>
      </c>
      <c r="AQ620" s="22">
        <v>0</v>
      </c>
      <c r="AR620" s="22">
        <v>0</v>
      </c>
      <c r="AS620" s="22">
        <v>7</v>
      </c>
      <c r="AT620" s="22">
        <v>10</v>
      </c>
      <c r="AU620" s="316">
        <f t="shared" si="100"/>
        <v>199</v>
      </c>
      <c r="AV620" s="22">
        <v>190</v>
      </c>
      <c r="AW620" s="22">
        <v>0</v>
      </c>
      <c r="AX620" s="22">
        <v>0</v>
      </c>
      <c r="AY620" s="22">
        <v>0</v>
      </c>
      <c r="AZ620" s="22">
        <v>0</v>
      </c>
      <c r="BA620" s="22">
        <v>7</v>
      </c>
      <c r="BB620" s="22">
        <v>10</v>
      </c>
      <c r="BC620" s="316">
        <f t="shared" si="101"/>
        <v>207</v>
      </c>
      <c r="BD620" s="58">
        <f t="shared" si="102"/>
        <v>8</v>
      </c>
      <c r="BE620" s="58">
        <f t="shared" si="103"/>
        <v>0</v>
      </c>
      <c r="BF620" s="58">
        <f t="shared" si="104"/>
        <v>0</v>
      </c>
      <c r="BG620" s="58">
        <f t="shared" si="105"/>
        <v>0</v>
      </c>
      <c r="BH620" s="58">
        <f t="shared" si="106"/>
        <v>0</v>
      </c>
      <c r="BI620" s="58">
        <f t="shared" si="107"/>
        <v>0</v>
      </c>
      <c r="BJ620" s="58">
        <f t="shared" si="108"/>
        <v>0</v>
      </c>
      <c r="BK620" s="58">
        <f t="shared" si="109"/>
        <v>8</v>
      </c>
    </row>
    <row r="621" spans="1:63" ht="27" customHeight="1">
      <c r="A621" s="238">
        <f t="shared" si="110"/>
        <v>619</v>
      </c>
      <c r="B621" s="239"/>
      <c r="C621" s="239">
        <v>3407</v>
      </c>
      <c r="D621" s="241" t="s">
        <v>3834</v>
      </c>
      <c r="E621" s="242" t="s">
        <v>3835</v>
      </c>
      <c r="F621" s="243" t="s">
        <v>398</v>
      </c>
      <c r="G621" s="244" t="s">
        <v>2615</v>
      </c>
      <c r="H621" s="245" t="s">
        <v>3836</v>
      </c>
      <c r="I621" s="246" t="s">
        <v>3837</v>
      </c>
      <c r="J621" s="247" t="s">
        <v>178</v>
      </c>
      <c r="K621" s="248">
        <v>32948</v>
      </c>
      <c r="L621" s="249" t="s">
        <v>179</v>
      </c>
      <c r="M621" s="250">
        <v>43762</v>
      </c>
      <c r="N621" s="250"/>
      <c r="O621" s="250"/>
      <c r="P621" s="238" t="s">
        <v>1281</v>
      </c>
      <c r="Q621" s="238" t="s">
        <v>181</v>
      </c>
      <c r="R621" s="238" t="s">
        <v>182</v>
      </c>
      <c r="S621" s="238" t="s">
        <v>2359</v>
      </c>
      <c r="T621" s="251"/>
      <c r="U621" s="251"/>
      <c r="V621" s="252" t="s">
        <v>184</v>
      </c>
      <c r="W621" s="252" t="s">
        <v>184</v>
      </c>
      <c r="X621" s="252">
        <v>8</v>
      </c>
      <c r="Y621" s="253" t="s">
        <v>3838</v>
      </c>
      <c r="Z621" s="254"/>
      <c r="AA621" s="254" t="s">
        <v>186</v>
      </c>
      <c r="AB621" s="252"/>
      <c r="AC621" s="255"/>
      <c r="AD621" s="256" t="s">
        <v>188</v>
      </c>
      <c r="AE621" s="256" t="s">
        <v>188</v>
      </c>
      <c r="AF621" s="257"/>
      <c r="AG621" s="258"/>
      <c r="AH621" s="259"/>
      <c r="AI621" s="259"/>
      <c r="AJ621" s="260" t="s">
        <v>203</v>
      </c>
      <c r="AK621" s="260" t="s">
        <v>190</v>
      </c>
      <c r="AL621" s="260" t="s">
        <v>190</v>
      </c>
      <c r="AM621" s="255" t="s">
        <v>2499</v>
      </c>
      <c r="AN621" s="22">
        <v>182</v>
      </c>
      <c r="AO621" s="22">
        <v>0</v>
      </c>
      <c r="AP621" s="22">
        <v>20</v>
      </c>
      <c r="AQ621" s="22">
        <v>0</v>
      </c>
      <c r="AR621" s="22">
        <v>0</v>
      </c>
      <c r="AS621" s="22">
        <v>7</v>
      </c>
      <c r="AT621" s="22">
        <v>10</v>
      </c>
      <c r="AU621" s="316">
        <f t="shared" si="100"/>
        <v>219</v>
      </c>
      <c r="AV621" s="22">
        <v>190</v>
      </c>
      <c r="AW621" s="22">
        <v>0</v>
      </c>
      <c r="AX621" s="22">
        <v>20</v>
      </c>
      <c r="AY621" s="22">
        <v>0</v>
      </c>
      <c r="AZ621" s="22">
        <v>0</v>
      </c>
      <c r="BA621" s="22">
        <v>7</v>
      </c>
      <c r="BB621" s="22">
        <v>10</v>
      </c>
      <c r="BC621" s="316">
        <f t="shared" si="101"/>
        <v>227</v>
      </c>
      <c r="BD621" s="58">
        <f t="shared" si="102"/>
        <v>8</v>
      </c>
      <c r="BE621" s="58">
        <f t="shared" si="103"/>
        <v>0</v>
      </c>
      <c r="BF621" s="58">
        <f t="shared" si="104"/>
        <v>0</v>
      </c>
      <c r="BG621" s="58">
        <f t="shared" si="105"/>
        <v>0</v>
      </c>
      <c r="BH621" s="58">
        <f t="shared" si="106"/>
        <v>0</v>
      </c>
      <c r="BI621" s="58">
        <f t="shared" si="107"/>
        <v>0</v>
      </c>
      <c r="BJ621" s="58">
        <f t="shared" si="108"/>
        <v>0</v>
      </c>
      <c r="BK621" s="58">
        <f t="shared" si="109"/>
        <v>8</v>
      </c>
    </row>
    <row r="622" spans="1:63" ht="27" customHeight="1">
      <c r="A622" s="238">
        <f t="shared" si="110"/>
        <v>620</v>
      </c>
      <c r="B622" s="239"/>
      <c r="C622" s="239">
        <v>3404</v>
      </c>
      <c r="D622" s="241" t="s">
        <v>3839</v>
      </c>
      <c r="E622" s="242" t="s">
        <v>3840</v>
      </c>
      <c r="F622" s="243" t="s">
        <v>3841</v>
      </c>
      <c r="G622" s="244" t="s">
        <v>465</v>
      </c>
      <c r="H622" s="245" t="s">
        <v>3842</v>
      </c>
      <c r="I622" s="246" t="s">
        <v>3843</v>
      </c>
      <c r="J622" s="247" t="s">
        <v>178</v>
      </c>
      <c r="K622" s="248">
        <v>34402</v>
      </c>
      <c r="L622" s="249" t="s">
        <v>179</v>
      </c>
      <c r="M622" s="250">
        <v>43761</v>
      </c>
      <c r="N622" s="250"/>
      <c r="O622" s="250"/>
      <c r="P622" s="238" t="s">
        <v>1085</v>
      </c>
      <c r="Q622" s="238" t="s">
        <v>181</v>
      </c>
      <c r="R622" s="238" t="s">
        <v>182</v>
      </c>
      <c r="S622" s="238" t="s">
        <v>2384</v>
      </c>
      <c r="T622" s="251"/>
      <c r="U622" s="251"/>
      <c r="V622" s="252" t="s">
        <v>184</v>
      </c>
      <c r="W622" s="252" t="s">
        <v>184</v>
      </c>
      <c r="X622" s="252">
        <v>8</v>
      </c>
      <c r="Y622" s="253" t="s">
        <v>3844</v>
      </c>
      <c r="Z622" s="254"/>
      <c r="AA622" s="254" t="s">
        <v>186</v>
      </c>
      <c r="AB622" s="252"/>
      <c r="AC622" s="255"/>
      <c r="AD622" s="256" t="s">
        <v>188</v>
      </c>
      <c r="AE622" s="256"/>
      <c r="AF622" s="257"/>
      <c r="AG622" s="258"/>
      <c r="AH622" s="259"/>
      <c r="AI622" s="259"/>
      <c r="AJ622" s="260" t="s">
        <v>203</v>
      </c>
      <c r="AK622" s="260" t="s">
        <v>190</v>
      </c>
      <c r="AL622" s="260" t="s">
        <v>190</v>
      </c>
      <c r="AM622" s="255" t="s">
        <v>2499</v>
      </c>
      <c r="AN622" s="22">
        <v>182</v>
      </c>
      <c r="AO622" s="22">
        <v>0</v>
      </c>
      <c r="AP622" s="22">
        <v>0</v>
      </c>
      <c r="AQ622" s="22">
        <v>0</v>
      </c>
      <c r="AR622" s="22">
        <v>0</v>
      </c>
      <c r="AS622" s="22">
        <v>7</v>
      </c>
      <c r="AT622" s="22">
        <v>10</v>
      </c>
      <c r="AU622" s="316">
        <f t="shared" si="100"/>
        <v>199</v>
      </c>
      <c r="AV622" s="22">
        <v>190</v>
      </c>
      <c r="AW622" s="22">
        <v>0</v>
      </c>
      <c r="AX622" s="22">
        <v>0</v>
      </c>
      <c r="AY622" s="22">
        <v>0</v>
      </c>
      <c r="AZ622" s="22">
        <v>0</v>
      </c>
      <c r="BA622" s="22">
        <v>7</v>
      </c>
      <c r="BB622" s="22">
        <v>10</v>
      </c>
      <c r="BC622" s="316">
        <f t="shared" si="101"/>
        <v>207</v>
      </c>
      <c r="BD622" s="58">
        <f t="shared" si="102"/>
        <v>8</v>
      </c>
      <c r="BE622" s="58">
        <f t="shared" si="103"/>
        <v>0</v>
      </c>
      <c r="BF622" s="58">
        <f t="shared" si="104"/>
        <v>0</v>
      </c>
      <c r="BG622" s="58">
        <f t="shared" si="105"/>
        <v>0</v>
      </c>
      <c r="BH622" s="58">
        <f t="shared" si="106"/>
        <v>0</v>
      </c>
      <c r="BI622" s="58">
        <f t="shared" si="107"/>
        <v>0</v>
      </c>
      <c r="BJ622" s="58">
        <f t="shared" si="108"/>
        <v>0</v>
      </c>
      <c r="BK622" s="58">
        <f t="shared" si="109"/>
        <v>8</v>
      </c>
    </row>
    <row r="623" spans="1:63" ht="27" customHeight="1">
      <c r="A623" s="238">
        <f t="shared" si="110"/>
        <v>621</v>
      </c>
      <c r="B623" s="239"/>
      <c r="C623" s="239">
        <v>3545</v>
      </c>
      <c r="D623" s="241" t="s">
        <v>3845</v>
      </c>
      <c r="E623" s="242" t="s">
        <v>3846</v>
      </c>
      <c r="F623" s="243" t="s">
        <v>3847</v>
      </c>
      <c r="G623" s="244" t="s">
        <v>3117</v>
      </c>
      <c r="H623" s="245" t="s">
        <v>3848</v>
      </c>
      <c r="I623" s="246" t="s">
        <v>3849</v>
      </c>
      <c r="J623" s="247" t="s">
        <v>178</v>
      </c>
      <c r="K623" s="248">
        <v>36871</v>
      </c>
      <c r="L623" s="249" t="s">
        <v>179</v>
      </c>
      <c r="M623" s="250">
        <v>43741</v>
      </c>
      <c r="N623" s="250"/>
      <c r="O623" s="250"/>
      <c r="P623" s="238" t="s">
        <v>3785</v>
      </c>
      <c r="Q623" s="238" t="s">
        <v>249</v>
      </c>
      <c r="R623" s="238" t="s">
        <v>182</v>
      </c>
      <c r="S623" s="238" t="s">
        <v>2430</v>
      </c>
      <c r="T623" s="251"/>
      <c r="U623" s="251"/>
      <c r="V623" s="252" t="s">
        <v>184</v>
      </c>
      <c r="W623" s="252" t="s">
        <v>184</v>
      </c>
      <c r="X623" s="252">
        <v>8</v>
      </c>
      <c r="Y623" s="253" t="s">
        <v>3850</v>
      </c>
      <c r="Z623" s="254" t="s">
        <v>186</v>
      </c>
      <c r="AA623" s="254"/>
      <c r="AB623" s="252"/>
      <c r="AC623" s="255"/>
      <c r="AD623" s="256"/>
      <c r="AE623" s="256"/>
      <c r="AF623" s="257"/>
      <c r="AG623" s="258"/>
      <c r="AH623" s="259"/>
      <c r="AI623" s="259"/>
      <c r="AJ623" s="260" t="s">
        <v>203</v>
      </c>
      <c r="AK623" s="260" t="s">
        <v>190</v>
      </c>
      <c r="AL623" s="260" t="s">
        <v>190</v>
      </c>
      <c r="AM623" s="255" t="s">
        <v>2499</v>
      </c>
      <c r="AN623" s="22">
        <v>182</v>
      </c>
      <c r="AO623" s="22">
        <v>0</v>
      </c>
      <c r="AP623" s="22">
        <v>0</v>
      </c>
      <c r="AQ623" s="22">
        <v>0</v>
      </c>
      <c r="AR623" s="22">
        <v>0</v>
      </c>
      <c r="AS623" s="22">
        <v>7</v>
      </c>
      <c r="AT623" s="22">
        <v>10</v>
      </c>
      <c r="AU623" s="316">
        <f t="shared" si="100"/>
        <v>199</v>
      </c>
      <c r="AV623" s="22">
        <v>190</v>
      </c>
      <c r="AW623" s="22">
        <v>0</v>
      </c>
      <c r="AX623" s="22">
        <v>0</v>
      </c>
      <c r="AY623" s="22">
        <v>0</v>
      </c>
      <c r="AZ623" s="22">
        <v>0</v>
      </c>
      <c r="BA623" s="22">
        <v>7</v>
      </c>
      <c r="BB623" s="22">
        <v>10</v>
      </c>
      <c r="BC623" s="316">
        <f t="shared" si="101"/>
        <v>207</v>
      </c>
      <c r="BD623" s="58">
        <f t="shared" si="102"/>
        <v>8</v>
      </c>
      <c r="BE623" s="58">
        <f t="shared" si="103"/>
        <v>0</v>
      </c>
      <c r="BF623" s="58">
        <f t="shared" si="104"/>
        <v>0</v>
      </c>
      <c r="BG623" s="58">
        <f t="shared" si="105"/>
        <v>0</v>
      </c>
      <c r="BH623" s="58">
        <f t="shared" si="106"/>
        <v>0</v>
      </c>
      <c r="BI623" s="58">
        <f t="shared" si="107"/>
        <v>0</v>
      </c>
      <c r="BJ623" s="58">
        <f t="shared" si="108"/>
        <v>0</v>
      </c>
      <c r="BK623" s="58">
        <f t="shared" si="109"/>
        <v>8</v>
      </c>
    </row>
    <row r="624" spans="1:63" ht="27" customHeight="1">
      <c r="A624" s="238">
        <f t="shared" si="110"/>
        <v>622</v>
      </c>
      <c r="B624" s="239"/>
      <c r="C624" s="266">
        <v>3303</v>
      </c>
      <c r="D624" s="241" t="s">
        <v>3851</v>
      </c>
      <c r="E624" s="267" t="s">
        <v>3852</v>
      </c>
      <c r="F624" s="268" t="s">
        <v>3853</v>
      </c>
      <c r="G624" s="269" t="s">
        <v>3854</v>
      </c>
      <c r="H624" s="245" t="s">
        <v>3855</v>
      </c>
      <c r="I624" s="246" t="s">
        <v>3856</v>
      </c>
      <c r="J624" s="270" t="s">
        <v>209</v>
      </c>
      <c r="K624" s="271">
        <v>29619</v>
      </c>
      <c r="L624" s="249" t="s">
        <v>179</v>
      </c>
      <c r="M624" s="272">
        <v>43746</v>
      </c>
      <c r="N624" s="272"/>
      <c r="O624" s="240" t="s">
        <v>3857</v>
      </c>
      <c r="P624" s="238" t="s">
        <v>532</v>
      </c>
      <c r="Q624" s="238" t="s">
        <v>249</v>
      </c>
      <c r="R624" s="240" t="s">
        <v>182</v>
      </c>
      <c r="S624" s="240" t="s">
        <v>503</v>
      </c>
      <c r="T624" s="251"/>
      <c r="U624" s="273"/>
      <c r="V624" s="274" t="s">
        <v>184</v>
      </c>
      <c r="W624" s="274" t="s">
        <v>184</v>
      </c>
      <c r="X624" s="275">
        <v>0</v>
      </c>
      <c r="Y624" s="267" t="s">
        <v>3858</v>
      </c>
      <c r="Z624" s="276"/>
      <c r="AA624" s="277"/>
      <c r="AB624" s="276"/>
      <c r="AC624" s="274"/>
      <c r="AD624" s="274"/>
      <c r="AE624" s="274"/>
      <c r="AF624" s="278"/>
      <c r="AG624" s="276"/>
      <c r="AH624" s="276"/>
      <c r="AI624" s="276"/>
      <c r="AJ624" s="274" t="s">
        <v>203</v>
      </c>
      <c r="AK624" s="274" t="s">
        <v>190</v>
      </c>
      <c r="AL624" s="274" t="s">
        <v>203</v>
      </c>
      <c r="AM624" s="260" t="s">
        <v>3859</v>
      </c>
      <c r="AN624" s="22">
        <v>182</v>
      </c>
      <c r="AO624" s="22">
        <v>0</v>
      </c>
      <c r="AP624" s="22">
        <v>31</v>
      </c>
      <c r="AQ624" s="22">
        <v>20</v>
      </c>
      <c r="AR624" s="22">
        <v>0</v>
      </c>
      <c r="AS624" s="22">
        <v>7</v>
      </c>
      <c r="AT624" s="22">
        <v>10</v>
      </c>
      <c r="AU624" s="316">
        <f t="shared" si="100"/>
        <v>250</v>
      </c>
      <c r="AV624" s="22">
        <v>190</v>
      </c>
      <c r="AW624" s="22">
        <v>0</v>
      </c>
      <c r="AX624" s="22">
        <v>31</v>
      </c>
      <c r="AY624" s="22">
        <v>20</v>
      </c>
      <c r="AZ624" s="22">
        <v>0</v>
      </c>
      <c r="BA624" s="22">
        <v>7</v>
      </c>
      <c r="BB624" s="22">
        <v>10</v>
      </c>
      <c r="BC624" s="316">
        <f t="shared" si="101"/>
        <v>258</v>
      </c>
      <c r="BD624" s="58">
        <f t="shared" si="102"/>
        <v>8</v>
      </c>
      <c r="BE624" s="58">
        <f t="shared" si="103"/>
        <v>0</v>
      </c>
      <c r="BF624" s="58">
        <f t="shared" si="104"/>
        <v>0</v>
      </c>
      <c r="BG624" s="58">
        <f t="shared" si="105"/>
        <v>0</v>
      </c>
      <c r="BH624" s="58">
        <f t="shared" si="106"/>
        <v>0</v>
      </c>
      <c r="BI624" s="58">
        <f t="shared" si="107"/>
        <v>0</v>
      </c>
      <c r="BJ624" s="58">
        <f t="shared" si="108"/>
        <v>0</v>
      </c>
      <c r="BK624" s="58">
        <f t="shared" si="109"/>
        <v>8</v>
      </c>
    </row>
    <row r="625" spans="1:63" ht="27" customHeight="1">
      <c r="A625" s="238">
        <f t="shared" si="110"/>
        <v>623</v>
      </c>
      <c r="B625" s="239"/>
      <c r="C625" s="266">
        <v>3277</v>
      </c>
      <c r="D625" s="267" t="s">
        <v>296</v>
      </c>
      <c r="E625" s="267" t="s">
        <v>3860</v>
      </c>
      <c r="F625" s="268" t="s">
        <v>2339</v>
      </c>
      <c r="G625" s="269" t="s">
        <v>3861</v>
      </c>
      <c r="H625" s="245">
        <v>0</v>
      </c>
      <c r="I625" s="246">
        <v>0</v>
      </c>
      <c r="J625" s="270" t="s">
        <v>209</v>
      </c>
      <c r="K625" s="271">
        <v>34828</v>
      </c>
      <c r="L625" s="249" t="s">
        <v>179</v>
      </c>
      <c r="M625" s="272">
        <v>43746</v>
      </c>
      <c r="N625" s="272"/>
      <c r="O625" s="240" t="s">
        <v>3857</v>
      </c>
      <c r="P625" s="238" t="s">
        <v>532</v>
      </c>
      <c r="Q625" s="238" t="s">
        <v>249</v>
      </c>
      <c r="R625" s="240" t="s">
        <v>182</v>
      </c>
      <c r="S625" s="240" t="s">
        <v>1118</v>
      </c>
      <c r="T625" s="251"/>
      <c r="U625" s="273"/>
      <c r="V625" s="274" t="s">
        <v>184</v>
      </c>
      <c r="W625" s="274">
        <v>241</v>
      </c>
      <c r="X625" s="275">
        <v>2</v>
      </c>
      <c r="Y625" s="267" t="s">
        <v>3862</v>
      </c>
      <c r="Z625" s="277" t="s">
        <v>186</v>
      </c>
      <c r="AA625" s="277"/>
      <c r="AB625" s="274"/>
      <c r="AC625" s="274"/>
      <c r="AD625" s="274"/>
      <c r="AE625" s="274"/>
      <c r="AF625" s="279"/>
      <c r="AG625" s="274"/>
      <c r="AH625" s="274"/>
      <c r="AI625" s="274"/>
      <c r="AJ625" s="274" t="s">
        <v>203</v>
      </c>
      <c r="AK625" s="274" t="s">
        <v>190</v>
      </c>
      <c r="AL625" s="274" t="s">
        <v>190</v>
      </c>
      <c r="AM625" s="260" t="s">
        <v>3859</v>
      </c>
      <c r="AN625" s="22">
        <v>182</v>
      </c>
      <c r="AO625" s="22">
        <v>0</v>
      </c>
      <c r="AP625" s="22">
        <v>31</v>
      </c>
      <c r="AQ625" s="22">
        <v>20</v>
      </c>
      <c r="AR625" s="22">
        <v>0</v>
      </c>
      <c r="AS625" s="22">
        <v>7</v>
      </c>
      <c r="AT625" s="22">
        <v>10</v>
      </c>
      <c r="AU625" s="316">
        <f t="shared" si="100"/>
        <v>250</v>
      </c>
      <c r="AV625" s="22">
        <v>190</v>
      </c>
      <c r="AW625" s="22">
        <v>0</v>
      </c>
      <c r="AX625" s="22">
        <v>31</v>
      </c>
      <c r="AY625" s="22">
        <v>20</v>
      </c>
      <c r="AZ625" s="22">
        <v>0</v>
      </c>
      <c r="BA625" s="22">
        <v>7</v>
      </c>
      <c r="BB625" s="22">
        <v>10</v>
      </c>
      <c r="BC625" s="316">
        <f t="shared" si="101"/>
        <v>258</v>
      </c>
      <c r="BD625" s="58">
        <f t="shared" si="102"/>
        <v>8</v>
      </c>
      <c r="BE625" s="58">
        <f t="shared" si="103"/>
        <v>0</v>
      </c>
      <c r="BF625" s="58">
        <f t="shared" si="104"/>
        <v>0</v>
      </c>
      <c r="BG625" s="58">
        <f t="shared" si="105"/>
        <v>0</v>
      </c>
      <c r="BH625" s="58">
        <f t="shared" si="106"/>
        <v>0</v>
      </c>
      <c r="BI625" s="58">
        <f t="shared" si="107"/>
        <v>0</v>
      </c>
      <c r="BJ625" s="58">
        <f t="shared" si="108"/>
        <v>0</v>
      </c>
      <c r="BK625" s="58">
        <f t="shared" si="109"/>
        <v>8</v>
      </c>
    </row>
    <row r="626" spans="1:63" ht="27" customHeight="1">
      <c r="A626" s="238">
        <f t="shared" si="110"/>
        <v>624</v>
      </c>
      <c r="B626" s="239"/>
      <c r="C626" s="266">
        <v>3238</v>
      </c>
      <c r="D626" s="280" t="s">
        <v>3863</v>
      </c>
      <c r="E626" s="267" t="s">
        <v>3864</v>
      </c>
      <c r="F626" s="268" t="s">
        <v>859</v>
      </c>
      <c r="G626" s="269" t="s">
        <v>3865</v>
      </c>
      <c r="H626" s="245" t="s">
        <v>3866</v>
      </c>
      <c r="I626" s="246" t="s">
        <v>3867</v>
      </c>
      <c r="J626" s="270" t="s">
        <v>209</v>
      </c>
      <c r="K626" s="271">
        <v>37235</v>
      </c>
      <c r="L626" s="249" t="s">
        <v>179</v>
      </c>
      <c r="M626" s="272">
        <v>43743</v>
      </c>
      <c r="N626" s="272"/>
      <c r="O626" s="240" t="s">
        <v>3857</v>
      </c>
      <c r="P626" s="238" t="s">
        <v>532</v>
      </c>
      <c r="Q626" s="238" t="s">
        <v>249</v>
      </c>
      <c r="R626" s="240" t="s">
        <v>182</v>
      </c>
      <c r="S626" s="240" t="s">
        <v>533</v>
      </c>
      <c r="T626" s="251"/>
      <c r="U626" s="273"/>
      <c r="V626" s="274" t="s">
        <v>184</v>
      </c>
      <c r="W626" s="274" t="s">
        <v>184</v>
      </c>
      <c r="X626" s="275">
        <v>9</v>
      </c>
      <c r="Y626" s="267" t="s">
        <v>3868</v>
      </c>
      <c r="Z626" s="277" t="s">
        <v>186</v>
      </c>
      <c r="AA626" s="277"/>
      <c r="AB626" s="276"/>
      <c r="AC626" s="274"/>
      <c r="AD626" s="276"/>
      <c r="AE626" s="276"/>
      <c r="AF626" s="278"/>
      <c r="AG626" s="276"/>
      <c r="AH626" s="276"/>
      <c r="AI626" s="276"/>
      <c r="AJ626" s="274" t="s">
        <v>203</v>
      </c>
      <c r="AK626" s="274" t="s">
        <v>190</v>
      </c>
      <c r="AL626" s="274" t="s">
        <v>190</v>
      </c>
      <c r="AM626" s="260" t="s">
        <v>3859</v>
      </c>
      <c r="AN626" s="22">
        <v>182</v>
      </c>
      <c r="AO626" s="22">
        <v>0</v>
      </c>
      <c r="AP626" s="22">
        <v>31</v>
      </c>
      <c r="AQ626" s="22">
        <v>20</v>
      </c>
      <c r="AR626" s="22">
        <v>0</v>
      </c>
      <c r="AS626" s="22">
        <v>7</v>
      </c>
      <c r="AT626" s="22">
        <v>10</v>
      </c>
      <c r="AU626" s="316">
        <f t="shared" si="100"/>
        <v>250</v>
      </c>
      <c r="AV626" s="22">
        <v>190</v>
      </c>
      <c r="AW626" s="22">
        <v>0</v>
      </c>
      <c r="AX626" s="22">
        <v>31</v>
      </c>
      <c r="AY626" s="22">
        <v>20</v>
      </c>
      <c r="AZ626" s="22">
        <v>0</v>
      </c>
      <c r="BA626" s="22">
        <v>7</v>
      </c>
      <c r="BB626" s="22">
        <v>10</v>
      </c>
      <c r="BC626" s="316">
        <f t="shared" si="101"/>
        <v>258</v>
      </c>
      <c r="BD626" s="58">
        <f t="shared" si="102"/>
        <v>8</v>
      </c>
      <c r="BE626" s="58">
        <f t="shared" si="103"/>
        <v>0</v>
      </c>
      <c r="BF626" s="58">
        <f t="shared" si="104"/>
        <v>0</v>
      </c>
      <c r="BG626" s="58">
        <f t="shared" si="105"/>
        <v>0</v>
      </c>
      <c r="BH626" s="58">
        <f t="shared" si="106"/>
        <v>0</v>
      </c>
      <c r="BI626" s="58">
        <f t="shared" si="107"/>
        <v>0</v>
      </c>
      <c r="BJ626" s="58">
        <f t="shared" si="108"/>
        <v>0</v>
      </c>
      <c r="BK626" s="58">
        <f t="shared" si="109"/>
        <v>8</v>
      </c>
    </row>
    <row r="627" spans="1:63" ht="27" customHeight="1">
      <c r="A627" s="238">
        <f t="shared" si="110"/>
        <v>625</v>
      </c>
      <c r="B627" s="239"/>
      <c r="C627" s="266">
        <v>3638</v>
      </c>
      <c r="D627" s="241" t="s">
        <v>3869</v>
      </c>
      <c r="E627" s="281" t="s">
        <v>3870</v>
      </c>
      <c r="F627" s="268" t="s">
        <v>3871</v>
      </c>
      <c r="G627" s="269" t="s">
        <v>3872</v>
      </c>
      <c r="H627" s="245" t="s">
        <v>3873</v>
      </c>
      <c r="I627" s="246" t="s">
        <v>3874</v>
      </c>
      <c r="J627" s="270" t="s">
        <v>178</v>
      </c>
      <c r="K627" s="271">
        <v>34163</v>
      </c>
      <c r="L627" s="249" t="s">
        <v>179</v>
      </c>
      <c r="M627" s="272">
        <v>43754</v>
      </c>
      <c r="N627" s="272"/>
      <c r="O627" s="240"/>
      <c r="P627" s="238" t="s">
        <v>3754</v>
      </c>
      <c r="Q627" s="238" t="s">
        <v>249</v>
      </c>
      <c r="R627" s="240" t="s">
        <v>182</v>
      </c>
      <c r="S627" s="240" t="s">
        <v>211</v>
      </c>
      <c r="T627" s="251"/>
      <c r="U627" s="273"/>
      <c r="V627" s="274" t="s">
        <v>184</v>
      </c>
      <c r="W627" s="274" t="s">
        <v>184</v>
      </c>
      <c r="X627" s="282">
        <v>7</v>
      </c>
      <c r="Y627" s="267" t="s">
        <v>3875</v>
      </c>
      <c r="Z627" s="277"/>
      <c r="AA627" s="276"/>
      <c r="AB627" s="276"/>
      <c r="AC627" s="276"/>
      <c r="AD627" s="276"/>
      <c r="AE627" s="276"/>
      <c r="AF627" s="278"/>
      <c r="AG627" s="276"/>
      <c r="AH627" s="276"/>
      <c r="AI627" s="276"/>
      <c r="AJ627" s="274" t="s">
        <v>190</v>
      </c>
      <c r="AK627" s="274" t="s">
        <v>190</v>
      </c>
      <c r="AL627" s="274" t="s">
        <v>190</v>
      </c>
      <c r="AM627" s="260" t="s">
        <v>3876</v>
      </c>
      <c r="AN627" s="22">
        <v>182</v>
      </c>
      <c r="AO627" s="22">
        <v>0</v>
      </c>
      <c r="AP627" s="22">
        <v>20</v>
      </c>
      <c r="AQ627" s="22">
        <v>0</v>
      </c>
      <c r="AR627" s="22">
        <v>0</v>
      </c>
      <c r="AS627" s="22">
        <v>7</v>
      </c>
      <c r="AT627" s="22">
        <v>10</v>
      </c>
      <c r="AU627" s="316">
        <f t="shared" si="100"/>
        <v>219</v>
      </c>
      <c r="AV627" s="22">
        <v>190</v>
      </c>
      <c r="AW627" s="22">
        <v>0</v>
      </c>
      <c r="AX627" s="22">
        <v>20</v>
      </c>
      <c r="AY627" s="22">
        <v>0</v>
      </c>
      <c r="AZ627" s="22">
        <v>0</v>
      </c>
      <c r="BA627" s="22">
        <v>7</v>
      </c>
      <c r="BB627" s="22">
        <v>10</v>
      </c>
      <c r="BC627" s="316">
        <f t="shared" si="101"/>
        <v>227</v>
      </c>
      <c r="BD627" s="58">
        <f t="shared" si="102"/>
        <v>8</v>
      </c>
      <c r="BE627" s="58">
        <f t="shared" si="103"/>
        <v>0</v>
      </c>
      <c r="BF627" s="58">
        <f t="shared" si="104"/>
        <v>0</v>
      </c>
      <c r="BG627" s="58">
        <f t="shared" si="105"/>
        <v>0</v>
      </c>
      <c r="BH627" s="58">
        <f t="shared" si="106"/>
        <v>0</v>
      </c>
      <c r="BI627" s="58">
        <f t="shared" si="107"/>
        <v>0</v>
      </c>
      <c r="BJ627" s="58">
        <f t="shared" si="108"/>
        <v>0</v>
      </c>
      <c r="BK627" s="58">
        <f t="shared" si="109"/>
        <v>8</v>
      </c>
    </row>
    <row r="628" spans="1:63" ht="27" customHeight="1">
      <c r="A628" s="238">
        <f t="shared" si="110"/>
        <v>626</v>
      </c>
      <c r="B628" s="239"/>
      <c r="C628" s="266">
        <v>3636</v>
      </c>
      <c r="D628" s="241" t="s">
        <v>3877</v>
      </c>
      <c r="E628" s="267" t="s">
        <v>3878</v>
      </c>
      <c r="F628" s="268" t="s">
        <v>493</v>
      </c>
      <c r="G628" s="269" t="s">
        <v>3879</v>
      </c>
      <c r="H628" s="245" t="s">
        <v>3880</v>
      </c>
      <c r="I628" s="246" t="s">
        <v>3881</v>
      </c>
      <c r="J628" s="270" t="s">
        <v>178</v>
      </c>
      <c r="K628" s="271">
        <v>33552</v>
      </c>
      <c r="L628" s="249" t="s">
        <v>179</v>
      </c>
      <c r="M628" s="272">
        <v>43754</v>
      </c>
      <c r="N628" s="272"/>
      <c r="O628" s="240"/>
      <c r="P628" s="238" t="s">
        <v>3754</v>
      </c>
      <c r="Q628" s="238" t="s">
        <v>249</v>
      </c>
      <c r="R628" s="240" t="s">
        <v>182</v>
      </c>
      <c r="S628" s="240" t="s">
        <v>228</v>
      </c>
      <c r="T628" s="251"/>
      <c r="U628" s="273"/>
      <c r="V628" s="274" t="s">
        <v>184</v>
      </c>
      <c r="W628" s="274" t="s">
        <v>184</v>
      </c>
      <c r="X628" s="275">
        <v>3</v>
      </c>
      <c r="Y628" s="267" t="s">
        <v>3882</v>
      </c>
      <c r="Z628" s="277"/>
      <c r="AA628" s="276"/>
      <c r="AB628" s="276"/>
      <c r="AC628" s="276"/>
      <c r="AD628" s="276"/>
      <c r="AE628" s="276"/>
      <c r="AF628" s="278"/>
      <c r="AG628" s="276"/>
      <c r="AH628" s="276"/>
      <c r="AI628" s="276"/>
      <c r="AJ628" s="274" t="s">
        <v>190</v>
      </c>
      <c r="AK628" s="274" t="s">
        <v>190</v>
      </c>
      <c r="AL628" s="274" t="s">
        <v>190</v>
      </c>
      <c r="AM628" s="260" t="s">
        <v>3859</v>
      </c>
      <c r="AN628" s="22">
        <v>182</v>
      </c>
      <c r="AO628" s="22">
        <v>0</v>
      </c>
      <c r="AP628" s="22">
        <v>20</v>
      </c>
      <c r="AQ628" s="22">
        <v>0</v>
      </c>
      <c r="AR628" s="22">
        <v>0</v>
      </c>
      <c r="AS628" s="22">
        <v>7</v>
      </c>
      <c r="AT628" s="22">
        <v>10</v>
      </c>
      <c r="AU628" s="316">
        <f t="shared" si="100"/>
        <v>219</v>
      </c>
      <c r="AV628" s="22">
        <v>190</v>
      </c>
      <c r="AW628" s="22">
        <v>0</v>
      </c>
      <c r="AX628" s="22">
        <v>20</v>
      </c>
      <c r="AY628" s="22">
        <v>0</v>
      </c>
      <c r="AZ628" s="22">
        <v>0</v>
      </c>
      <c r="BA628" s="22">
        <v>7</v>
      </c>
      <c r="BB628" s="22">
        <v>10</v>
      </c>
      <c r="BC628" s="316">
        <f t="shared" si="101"/>
        <v>227</v>
      </c>
      <c r="BD628" s="58">
        <f t="shared" si="102"/>
        <v>8</v>
      </c>
      <c r="BE628" s="58">
        <f t="shared" si="103"/>
        <v>0</v>
      </c>
      <c r="BF628" s="58">
        <f t="shared" si="104"/>
        <v>0</v>
      </c>
      <c r="BG628" s="58">
        <f t="shared" si="105"/>
        <v>0</v>
      </c>
      <c r="BH628" s="58">
        <f t="shared" si="106"/>
        <v>0</v>
      </c>
      <c r="BI628" s="58">
        <f t="shared" si="107"/>
        <v>0</v>
      </c>
      <c r="BJ628" s="58">
        <f t="shared" si="108"/>
        <v>0</v>
      </c>
      <c r="BK628" s="58">
        <f t="shared" si="109"/>
        <v>8</v>
      </c>
    </row>
    <row r="629" spans="1:63" ht="27" customHeight="1">
      <c r="A629" s="238">
        <f t="shared" si="110"/>
        <v>627</v>
      </c>
      <c r="B629" s="239"/>
      <c r="C629" s="266">
        <v>3606</v>
      </c>
      <c r="D629" s="241" t="s">
        <v>3883</v>
      </c>
      <c r="E629" s="267" t="s">
        <v>3884</v>
      </c>
      <c r="F629" s="268" t="s">
        <v>540</v>
      </c>
      <c r="G629" s="269" t="s">
        <v>3885</v>
      </c>
      <c r="H629" s="245" t="s">
        <v>542</v>
      </c>
      <c r="I629" s="246" t="s">
        <v>3886</v>
      </c>
      <c r="J629" s="270" t="s">
        <v>178</v>
      </c>
      <c r="K629" s="271">
        <v>29690</v>
      </c>
      <c r="L629" s="249" t="s">
        <v>179</v>
      </c>
      <c r="M629" s="272">
        <v>43750</v>
      </c>
      <c r="N629" s="272"/>
      <c r="O629" s="240"/>
      <c r="P629" s="238" t="s">
        <v>3754</v>
      </c>
      <c r="Q629" s="238" t="s">
        <v>249</v>
      </c>
      <c r="R629" s="240" t="s">
        <v>182</v>
      </c>
      <c r="S629" s="240" t="s">
        <v>256</v>
      </c>
      <c r="T629" s="251"/>
      <c r="U629" s="273"/>
      <c r="V629" s="274" t="s">
        <v>184</v>
      </c>
      <c r="W629" s="274" t="s">
        <v>184</v>
      </c>
      <c r="X629" s="282">
        <v>5</v>
      </c>
      <c r="Y629" s="267" t="s">
        <v>3887</v>
      </c>
      <c r="Z629" s="276"/>
      <c r="AA629" s="277" t="s">
        <v>186</v>
      </c>
      <c r="AB629" s="276"/>
      <c r="AC629" s="274" t="s">
        <v>3888</v>
      </c>
      <c r="AD629" s="274" t="s">
        <v>3888</v>
      </c>
      <c r="AE629" s="274" t="s">
        <v>3888</v>
      </c>
      <c r="AF629" s="274" t="s">
        <v>3888</v>
      </c>
      <c r="AG629" s="274" t="s">
        <v>3888</v>
      </c>
      <c r="AH629" s="276"/>
      <c r="AI629" s="276"/>
      <c r="AJ629" s="274" t="s">
        <v>203</v>
      </c>
      <c r="AK629" s="274" t="s">
        <v>190</v>
      </c>
      <c r="AL629" s="274" t="s">
        <v>190</v>
      </c>
      <c r="AM629" s="260" t="s">
        <v>3859</v>
      </c>
      <c r="AN629" s="22">
        <v>182</v>
      </c>
      <c r="AO629" s="22">
        <v>0</v>
      </c>
      <c r="AP629" s="22">
        <v>20</v>
      </c>
      <c r="AQ629" s="22">
        <v>0</v>
      </c>
      <c r="AR629" s="22">
        <v>0</v>
      </c>
      <c r="AS629" s="22">
        <v>7</v>
      </c>
      <c r="AT629" s="22">
        <v>10</v>
      </c>
      <c r="AU629" s="316">
        <f t="shared" si="100"/>
        <v>219</v>
      </c>
      <c r="AV629" s="22">
        <v>190</v>
      </c>
      <c r="AW629" s="22">
        <v>0</v>
      </c>
      <c r="AX629" s="22">
        <v>20</v>
      </c>
      <c r="AY629" s="22">
        <v>0</v>
      </c>
      <c r="AZ629" s="22">
        <v>0</v>
      </c>
      <c r="BA629" s="22">
        <v>7</v>
      </c>
      <c r="BB629" s="22">
        <v>10</v>
      </c>
      <c r="BC629" s="316">
        <f t="shared" si="101"/>
        <v>227</v>
      </c>
      <c r="BD629" s="58">
        <f t="shared" si="102"/>
        <v>8</v>
      </c>
      <c r="BE629" s="58">
        <f t="shared" si="103"/>
        <v>0</v>
      </c>
      <c r="BF629" s="58">
        <f t="shared" si="104"/>
        <v>0</v>
      </c>
      <c r="BG629" s="58">
        <f t="shared" si="105"/>
        <v>0</v>
      </c>
      <c r="BH629" s="58">
        <f t="shared" si="106"/>
        <v>0</v>
      </c>
      <c r="BI629" s="58">
        <f t="shared" si="107"/>
        <v>0</v>
      </c>
      <c r="BJ629" s="58">
        <f t="shared" si="108"/>
        <v>0</v>
      </c>
      <c r="BK629" s="58">
        <f t="shared" si="109"/>
        <v>8</v>
      </c>
    </row>
    <row r="630" spans="1:63" ht="27" customHeight="1">
      <c r="A630" s="238">
        <f t="shared" si="110"/>
        <v>628</v>
      </c>
      <c r="B630" s="239"/>
      <c r="C630" s="266">
        <v>3610</v>
      </c>
      <c r="D630" s="241" t="s">
        <v>3889</v>
      </c>
      <c r="E630" s="267" t="s">
        <v>3890</v>
      </c>
      <c r="F630" s="268" t="s">
        <v>1904</v>
      </c>
      <c r="G630" s="269" t="s">
        <v>3891</v>
      </c>
      <c r="H630" s="245" t="s">
        <v>1905</v>
      </c>
      <c r="I630" s="246" t="s">
        <v>3892</v>
      </c>
      <c r="J630" s="270" t="s">
        <v>178</v>
      </c>
      <c r="K630" s="271">
        <v>33866</v>
      </c>
      <c r="L630" s="249" t="s">
        <v>179</v>
      </c>
      <c r="M630" s="272">
        <v>43750</v>
      </c>
      <c r="N630" s="272"/>
      <c r="O630" s="240"/>
      <c r="P630" s="240"/>
      <c r="Q630" s="238" t="s">
        <v>249</v>
      </c>
      <c r="R630" s="240" t="s">
        <v>182</v>
      </c>
      <c r="S630" s="240" t="s">
        <v>331</v>
      </c>
      <c r="T630" s="251"/>
      <c r="U630" s="273"/>
      <c r="V630" s="274" t="s">
        <v>184</v>
      </c>
      <c r="W630" s="274" t="s">
        <v>184</v>
      </c>
      <c r="X630" s="275">
        <v>6</v>
      </c>
      <c r="Y630" s="267" t="s">
        <v>3893</v>
      </c>
      <c r="Z630" s="276"/>
      <c r="AA630" s="277"/>
      <c r="AB630" s="276"/>
      <c r="AC630" s="274"/>
      <c r="AD630" s="274"/>
      <c r="AE630" s="276"/>
      <c r="AF630" s="278"/>
      <c r="AG630" s="276"/>
      <c r="AH630" s="276"/>
      <c r="AI630" s="276"/>
      <c r="AJ630" s="274" t="s">
        <v>190</v>
      </c>
      <c r="AK630" s="274" t="s">
        <v>190</v>
      </c>
      <c r="AL630" s="274" t="s">
        <v>190</v>
      </c>
      <c r="AM630" s="260" t="s">
        <v>3659</v>
      </c>
      <c r="AN630" s="22">
        <v>182</v>
      </c>
      <c r="AO630" s="22">
        <v>0</v>
      </c>
      <c r="AP630" s="22">
        <v>20</v>
      </c>
      <c r="AQ630" s="22">
        <v>0</v>
      </c>
      <c r="AR630" s="22">
        <v>0</v>
      </c>
      <c r="AS630" s="22">
        <v>7</v>
      </c>
      <c r="AT630" s="22">
        <v>10</v>
      </c>
      <c r="AU630" s="316">
        <f t="shared" si="100"/>
        <v>219</v>
      </c>
      <c r="AV630" s="22">
        <v>190</v>
      </c>
      <c r="AW630" s="22">
        <v>0</v>
      </c>
      <c r="AX630" s="22">
        <v>20</v>
      </c>
      <c r="AY630" s="22">
        <v>0</v>
      </c>
      <c r="AZ630" s="22">
        <v>0</v>
      </c>
      <c r="BA630" s="22">
        <v>7</v>
      </c>
      <c r="BB630" s="22">
        <v>10</v>
      </c>
      <c r="BC630" s="316">
        <f t="shared" si="101"/>
        <v>227</v>
      </c>
      <c r="BD630" s="58">
        <f t="shared" si="102"/>
        <v>8</v>
      </c>
      <c r="BE630" s="58">
        <f t="shared" si="103"/>
        <v>0</v>
      </c>
      <c r="BF630" s="58">
        <f t="shared" si="104"/>
        <v>0</v>
      </c>
      <c r="BG630" s="58">
        <f t="shared" si="105"/>
        <v>0</v>
      </c>
      <c r="BH630" s="58">
        <f t="shared" si="106"/>
        <v>0</v>
      </c>
      <c r="BI630" s="58">
        <f t="shared" si="107"/>
        <v>0</v>
      </c>
      <c r="BJ630" s="58">
        <f t="shared" si="108"/>
        <v>0</v>
      </c>
      <c r="BK630" s="58">
        <f t="shared" si="109"/>
        <v>8</v>
      </c>
    </row>
    <row r="631" spans="1:63" ht="27" customHeight="1">
      <c r="A631" s="238">
        <f t="shared" si="110"/>
        <v>629</v>
      </c>
      <c r="B631" s="239"/>
      <c r="C631" s="266">
        <v>3615</v>
      </c>
      <c r="D631" s="241" t="s">
        <v>3894</v>
      </c>
      <c r="E631" s="267" t="s">
        <v>3895</v>
      </c>
      <c r="F631" s="268" t="s">
        <v>3896</v>
      </c>
      <c r="G631" s="269" t="s">
        <v>2958</v>
      </c>
      <c r="H631" s="245" t="s">
        <v>658</v>
      </c>
      <c r="I631" s="246" t="s">
        <v>3897</v>
      </c>
      <c r="J631" s="270" t="s">
        <v>178</v>
      </c>
      <c r="K631" s="271">
        <v>29688</v>
      </c>
      <c r="L631" s="249" t="s">
        <v>179</v>
      </c>
      <c r="M631" s="272">
        <v>43750</v>
      </c>
      <c r="N631" s="272"/>
      <c r="O631" s="240"/>
      <c r="P631" s="238" t="s">
        <v>3754</v>
      </c>
      <c r="Q631" s="238" t="s">
        <v>249</v>
      </c>
      <c r="R631" s="240" t="s">
        <v>182</v>
      </c>
      <c r="S631" s="240" t="s">
        <v>228</v>
      </c>
      <c r="T631" s="251"/>
      <c r="U631" s="273"/>
      <c r="V631" s="274" t="s">
        <v>184</v>
      </c>
      <c r="W631" s="274" t="s">
        <v>184</v>
      </c>
      <c r="X631" s="275">
        <v>6</v>
      </c>
      <c r="Y631" s="267" t="s">
        <v>3898</v>
      </c>
      <c r="Z631" s="277"/>
      <c r="AA631" s="277" t="s">
        <v>186</v>
      </c>
      <c r="AB631" s="276"/>
      <c r="AC631" s="274" t="s">
        <v>3888</v>
      </c>
      <c r="AD631" s="276" t="s">
        <v>3888</v>
      </c>
      <c r="AE631" s="276" t="s">
        <v>3888</v>
      </c>
      <c r="AF631" s="276" t="s">
        <v>3888</v>
      </c>
      <c r="AG631" s="276" t="s">
        <v>3888</v>
      </c>
      <c r="AH631" s="276" t="s">
        <v>3888</v>
      </c>
      <c r="AI631" s="276"/>
      <c r="AJ631" s="274" t="s">
        <v>203</v>
      </c>
      <c r="AK631" s="274" t="s">
        <v>190</v>
      </c>
      <c r="AL631" s="274" t="s">
        <v>190</v>
      </c>
      <c r="AM631" s="260" t="s">
        <v>3859</v>
      </c>
      <c r="AN631" s="22">
        <v>182</v>
      </c>
      <c r="AO631" s="22">
        <v>0</v>
      </c>
      <c r="AP631" s="22">
        <v>20</v>
      </c>
      <c r="AQ631" s="22">
        <v>0</v>
      </c>
      <c r="AR631" s="22">
        <v>0</v>
      </c>
      <c r="AS631" s="22">
        <v>7</v>
      </c>
      <c r="AT631" s="22">
        <v>10</v>
      </c>
      <c r="AU631" s="316">
        <f t="shared" si="100"/>
        <v>219</v>
      </c>
      <c r="AV631" s="22">
        <v>190</v>
      </c>
      <c r="AW631" s="22">
        <v>0</v>
      </c>
      <c r="AX631" s="22">
        <v>20</v>
      </c>
      <c r="AY631" s="22">
        <v>0</v>
      </c>
      <c r="AZ631" s="22">
        <v>0</v>
      </c>
      <c r="BA631" s="22">
        <v>7</v>
      </c>
      <c r="BB631" s="22">
        <v>10</v>
      </c>
      <c r="BC631" s="316">
        <f t="shared" si="101"/>
        <v>227</v>
      </c>
      <c r="BD631" s="58">
        <f t="shared" si="102"/>
        <v>8</v>
      </c>
      <c r="BE631" s="58">
        <f t="shared" si="103"/>
        <v>0</v>
      </c>
      <c r="BF631" s="58">
        <f t="shared" si="104"/>
        <v>0</v>
      </c>
      <c r="BG631" s="58">
        <f t="shared" si="105"/>
        <v>0</v>
      </c>
      <c r="BH631" s="58">
        <f t="shared" si="106"/>
        <v>0</v>
      </c>
      <c r="BI631" s="58">
        <f t="shared" si="107"/>
        <v>0</v>
      </c>
      <c r="BJ631" s="58">
        <f t="shared" si="108"/>
        <v>0</v>
      </c>
      <c r="BK631" s="58">
        <f t="shared" si="109"/>
        <v>8</v>
      </c>
    </row>
    <row r="632" spans="1:63" ht="27" customHeight="1">
      <c r="A632" s="238">
        <f t="shared" si="110"/>
        <v>630</v>
      </c>
      <c r="B632" s="239"/>
      <c r="C632" s="266">
        <v>3635</v>
      </c>
      <c r="D632" s="241" t="s">
        <v>3899</v>
      </c>
      <c r="E632" s="267" t="s">
        <v>3900</v>
      </c>
      <c r="F632" s="268" t="s">
        <v>2751</v>
      </c>
      <c r="G632" s="269" t="s">
        <v>3901</v>
      </c>
      <c r="H632" s="245" t="s">
        <v>3902</v>
      </c>
      <c r="I632" s="246" t="s">
        <v>3903</v>
      </c>
      <c r="J632" s="270" t="s">
        <v>178</v>
      </c>
      <c r="K632" s="271">
        <v>30487</v>
      </c>
      <c r="L632" s="249" t="s">
        <v>179</v>
      </c>
      <c r="M632" s="272">
        <v>43744</v>
      </c>
      <c r="N632" s="272"/>
      <c r="O632" s="240"/>
      <c r="P632" s="238" t="s">
        <v>3754</v>
      </c>
      <c r="Q632" s="238" t="s">
        <v>249</v>
      </c>
      <c r="R632" s="240" t="s">
        <v>182</v>
      </c>
      <c r="S632" s="240" t="s">
        <v>1551</v>
      </c>
      <c r="T632" s="251"/>
      <c r="U632" s="273"/>
      <c r="V632" s="274" t="s">
        <v>184</v>
      </c>
      <c r="W632" s="274">
        <v>310</v>
      </c>
      <c r="X632" s="275">
        <v>8</v>
      </c>
      <c r="Y632" s="267" t="s">
        <v>3904</v>
      </c>
      <c r="Z632" s="276"/>
      <c r="AA632" s="277"/>
      <c r="AB632" s="276"/>
      <c r="AC632" s="274"/>
      <c r="AD632" s="274"/>
      <c r="AE632" s="276"/>
      <c r="AF632" s="278"/>
      <c r="AG632" s="276"/>
      <c r="AH632" s="276"/>
      <c r="AI632" s="276"/>
      <c r="AJ632" s="274" t="s">
        <v>190</v>
      </c>
      <c r="AK632" s="274" t="s">
        <v>190</v>
      </c>
      <c r="AL632" s="274" t="s">
        <v>190</v>
      </c>
      <c r="AM632" s="260" t="s">
        <v>3859</v>
      </c>
      <c r="AN632" s="22">
        <v>182</v>
      </c>
      <c r="AO632" s="22">
        <v>0</v>
      </c>
      <c r="AP632" s="22">
        <v>20</v>
      </c>
      <c r="AQ632" s="22">
        <v>0</v>
      </c>
      <c r="AR632" s="22">
        <v>0</v>
      </c>
      <c r="AS632" s="22">
        <v>7</v>
      </c>
      <c r="AT632" s="22">
        <v>10</v>
      </c>
      <c r="AU632" s="316">
        <f t="shared" si="100"/>
        <v>219</v>
      </c>
      <c r="AV632" s="22">
        <v>190</v>
      </c>
      <c r="AW632" s="22">
        <v>0</v>
      </c>
      <c r="AX632" s="22">
        <v>20</v>
      </c>
      <c r="AY632" s="22">
        <v>0</v>
      </c>
      <c r="AZ632" s="22">
        <v>0</v>
      </c>
      <c r="BA632" s="22">
        <v>7</v>
      </c>
      <c r="BB632" s="22">
        <v>10</v>
      </c>
      <c r="BC632" s="316">
        <f t="shared" si="101"/>
        <v>227</v>
      </c>
      <c r="BD632" s="58">
        <f t="shared" si="102"/>
        <v>8</v>
      </c>
      <c r="BE632" s="58">
        <f t="shared" si="103"/>
        <v>0</v>
      </c>
      <c r="BF632" s="58">
        <f t="shared" si="104"/>
        <v>0</v>
      </c>
      <c r="BG632" s="58">
        <f t="shared" si="105"/>
        <v>0</v>
      </c>
      <c r="BH632" s="58">
        <f t="shared" si="106"/>
        <v>0</v>
      </c>
      <c r="BI632" s="58">
        <f t="shared" si="107"/>
        <v>0</v>
      </c>
      <c r="BJ632" s="58">
        <f t="shared" si="108"/>
        <v>0</v>
      </c>
      <c r="BK632" s="58">
        <f t="shared" si="109"/>
        <v>8</v>
      </c>
    </row>
    <row r="633" spans="1:63" ht="27" customHeight="1">
      <c r="A633" s="238">
        <f t="shared" si="110"/>
        <v>631</v>
      </c>
      <c r="B633" s="239"/>
      <c r="C633" s="266">
        <v>3637</v>
      </c>
      <c r="D633" s="241" t="s">
        <v>3905</v>
      </c>
      <c r="E633" s="267" t="s">
        <v>3906</v>
      </c>
      <c r="F633" s="268" t="s">
        <v>1710</v>
      </c>
      <c r="G633" s="269" t="s">
        <v>237</v>
      </c>
      <c r="H633" s="245" t="s">
        <v>1711</v>
      </c>
      <c r="I633" s="246" t="s">
        <v>3907</v>
      </c>
      <c r="J633" s="270" t="s">
        <v>178</v>
      </c>
      <c r="K633" s="271">
        <v>29805</v>
      </c>
      <c r="L633" s="249" t="s">
        <v>179</v>
      </c>
      <c r="M633" s="272">
        <v>43754</v>
      </c>
      <c r="N633" s="272"/>
      <c r="O633" s="240"/>
      <c r="P633" s="238" t="s">
        <v>3754</v>
      </c>
      <c r="Q633" s="238" t="s">
        <v>249</v>
      </c>
      <c r="R633" s="240" t="s">
        <v>182</v>
      </c>
      <c r="S633" s="240" t="s">
        <v>3601</v>
      </c>
      <c r="T633" s="251"/>
      <c r="U633" s="273"/>
      <c r="V633" s="274" t="s">
        <v>184</v>
      </c>
      <c r="W633" s="274" t="s">
        <v>184</v>
      </c>
      <c r="X633" s="275">
        <v>3</v>
      </c>
      <c r="Y633" s="267" t="s">
        <v>3908</v>
      </c>
      <c r="Z633" s="276"/>
      <c r="AA633" s="277"/>
      <c r="AB633" s="276"/>
      <c r="AC633" s="274"/>
      <c r="AD633" s="275"/>
      <c r="AE633" s="275"/>
      <c r="AF633" s="278"/>
      <c r="AG633" s="276"/>
      <c r="AH633" s="276"/>
      <c r="AI633" s="276"/>
      <c r="AJ633" s="274" t="s">
        <v>190</v>
      </c>
      <c r="AK633" s="274" t="s">
        <v>190</v>
      </c>
      <c r="AL633" s="274" t="s">
        <v>190</v>
      </c>
      <c r="AM633" s="260" t="s">
        <v>3859</v>
      </c>
      <c r="AN633" s="22">
        <v>182</v>
      </c>
      <c r="AO633" s="22">
        <v>0</v>
      </c>
      <c r="AP633" s="22">
        <v>20</v>
      </c>
      <c r="AQ633" s="22">
        <v>0</v>
      </c>
      <c r="AR633" s="22">
        <v>0</v>
      </c>
      <c r="AS633" s="22">
        <v>7</v>
      </c>
      <c r="AT633" s="22">
        <v>10</v>
      </c>
      <c r="AU633" s="316">
        <f t="shared" si="100"/>
        <v>219</v>
      </c>
      <c r="AV633" s="22">
        <v>190</v>
      </c>
      <c r="AW633" s="22">
        <v>0</v>
      </c>
      <c r="AX633" s="22">
        <v>20</v>
      </c>
      <c r="AY633" s="22">
        <v>0</v>
      </c>
      <c r="AZ633" s="22">
        <v>0</v>
      </c>
      <c r="BA633" s="22">
        <v>7</v>
      </c>
      <c r="BB633" s="22">
        <v>10</v>
      </c>
      <c r="BC633" s="316">
        <f t="shared" si="101"/>
        <v>227</v>
      </c>
      <c r="BD633" s="58">
        <f t="shared" si="102"/>
        <v>8</v>
      </c>
      <c r="BE633" s="58">
        <f t="shared" si="103"/>
        <v>0</v>
      </c>
      <c r="BF633" s="58">
        <f t="shared" si="104"/>
        <v>0</v>
      </c>
      <c r="BG633" s="58">
        <f t="shared" si="105"/>
        <v>0</v>
      </c>
      <c r="BH633" s="58">
        <f t="shared" si="106"/>
        <v>0</v>
      </c>
      <c r="BI633" s="58">
        <f t="shared" si="107"/>
        <v>0</v>
      </c>
      <c r="BJ633" s="58">
        <f t="shared" si="108"/>
        <v>0</v>
      </c>
      <c r="BK633" s="58">
        <f t="shared" si="109"/>
        <v>8</v>
      </c>
    </row>
    <row r="634" spans="1:63" ht="27" customHeight="1">
      <c r="A634" s="238">
        <f t="shared" si="110"/>
        <v>632</v>
      </c>
      <c r="B634" s="239"/>
      <c r="C634" s="266">
        <v>3639</v>
      </c>
      <c r="D634" s="241" t="s">
        <v>3909</v>
      </c>
      <c r="E634" s="267" t="s">
        <v>3910</v>
      </c>
      <c r="F634" s="268" t="s">
        <v>3911</v>
      </c>
      <c r="G634" s="269" t="s">
        <v>3912</v>
      </c>
      <c r="H634" s="245" t="s">
        <v>3913</v>
      </c>
      <c r="I634" s="246" t="s">
        <v>3914</v>
      </c>
      <c r="J634" s="270" t="s">
        <v>178</v>
      </c>
      <c r="K634" s="271">
        <v>33614</v>
      </c>
      <c r="L634" s="249" t="s">
        <v>179</v>
      </c>
      <c r="M634" s="272">
        <v>43753</v>
      </c>
      <c r="N634" s="272"/>
      <c r="O634" s="240"/>
      <c r="P634" s="240"/>
      <c r="Q634" s="238" t="s">
        <v>249</v>
      </c>
      <c r="R634" s="240" t="s">
        <v>182</v>
      </c>
      <c r="S634" s="240" t="s">
        <v>331</v>
      </c>
      <c r="T634" s="251"/>
      <c r="U634" s="273"/>
      <c r="V634" s="274" t="s">
        <v>184</v>
      </c>
      <c r="W634" s="274" t="s">
        <v>184</v>
      </c>
      <c r="X634" s="282">
        <v>7</v>
      </c>
      <c r="Y634" s="267" t="s">
        <v>3915</v>
      </c>
      <c r="Z634" s="276"/>
      <c r="AA634" s="277"/>
      <c r="AB634" s="276"/>
      <c r="AC634" s="274"/>
      <c r="AD634" s="275"/>
      <c r="AE634" s="275"/>
      <c r="AF634" s="279"/>
      <c r="AG634" s="275"/>
      <c r="AH634" s="276"/>
      <c r="AI634" s="276"/>
      <c r="AJ634" s="274" t="s">
        <v>203</v>
      </c>
      <c r="AK634" s="274" t="s">
        <v>190</v>
      </c>
      <c r="AL634" s="274" t="s">
        <v>190</v>
      </c>
      <c r="AM634" s="260" t="s">
        <v>3916</v>
      </c>
      <c r="AN634" s="22">
        <v>182</v>
      </c>
      <c r="AO634" s="22">
        <v>0</v>
      </c>
      <c r="AP634" s="22">
        <v>20</v>
      </c>
      <c r="AQ634" s="22">
        <v>0</v>
      </c>
      <c r="AR634" s="22">
        <v>0</v>
      </c>
      <c r="AS634" s="22">
        <v>7</v>
      </c>
      <c r="AT634" s="22">
        <v>10</v>
      </c>
      <c r="AU634" s="316">
        <f t="shared" si="100"/>
        <v>219</v>
      </c>
      <c r="AV634" s="22">
        <v>190</v>
      </c>
      <c r="AW634" s="22">
        <v>0</v>
      </c>
      <c r="AX634" s="22">
        <v>20</v>
      </c>
      <c r="AY634" s="22">
        <v>0</v>
      </c>
      <c r="AZ634" s="22">
        <v>0</v>
      </c>
      <c r="BA634" s="22">
        <v>7</v>
      </c>
      <c r="BB634" s="22">
        <v>10</v>
      </c>
      <c r="BC634" s="316">
        <f t="shared" si="101"/>
        <v>227</v>
      </c>
      <c r="BD634" s="58">
        <f t="shared" si="102"/>
        <v>8</v>
      </c>
      <c r="BE634" s="58">
        <f t="shared" si="103"/>
        <v>0</v>
      </c>
      <c r="BF634" s="58">
        <f t="shared" si="104"/>
        <v>0</v>
      </c>
      <c r="BG634" s="58">
        <f t="shared" si="105"/>
        <v>0</v>
      </c>
      <c r="BH634" s="58">
        <f t="shared" si="106"/>
        <v>0</v>
      </c>
      <c r="BI634" s="58">
        <f t="shared" si="107"/>
        <v>0</v>
      </c>
      <c r="BJ634" s="58">
        <f t="shared" si="108"/>
        <v>0</v>
      </c>
      <c r="BK634" s="58">
        <f t="shared" si="109"/>
        <v>8</v>
      </c>
    </row>
    <row r="635" spans="1:63" ht="27" customHeight="1">
      <c r="A635" s="238">
        <f t="shared" si="110"/>
        <v>633</v>
      </c>
      <c r="B635" s="239"/>
      <c r="C635" s="266">
        <v>3644</v>
      </c>
      <c r="D635" s="241" t="s">
        <v>3917</v>
      </c>
      <c r="E635" s="267" t="s">
        <v>3918</v>
      </c>
      <c r="F635" s="268" t="s">
        <v>3021</v>
      </c>
      <c r="G635" s="269" t="s">
        <v>3919</v>
      </c>
      <c r="H635" s="245" t="s">
        <v>3920</v>
      </c>
      <c r="I635" s="246" t="s">
        <v>3921</v>
      </c>
      <c r="J635" s="270" t="s">
        <v>209</v>
      </c>
      <c r="K635" s="271">
        <v>34202</v>
      </c>
      <c r="L635" s="249" t="s">
        <v>179</v>
      </c>
      <c r="M635" s="272">
        <v>43754</v>
      </c>
      <c r="N635" s="272"/>
      <c r="O635" s="240"/>
      <c r="P635" s="238" t="s">
        <v>3754</v>
      </c>
      <c r="Q635" s="238" t="s">
        <v>249</v>
      </c>
      <c r="R635" s="240" t="s">
        <v>182</v>
      </c>
      <c r="S635" s="240" t="s">
        <v>256</v>
      </c>
      <c r="T635" s="251"/>
      <c r="U635" s="273"/>
      <c r="V635" s="274" t="s">
        <v>200</v>
      </c>
      <c r="W635" s="274">
        <v>5739</v>
      </c>
      <c r="X635" s="282">
        <v>10</v>
      </c>
      <c r="Y635" s="283" t="s">
        <v>3922</v>
      </c>
      <c r="Z635" s="277" t="s">
        <v>186</v>
      </c>
      <c r="AA635" s="277"/>
      <c r="AB635" s="276"/>
      <c r="AC635" s="274"/>
      <c r="AD635" s="279"/>
      <c r="AE635" s="275"/>
      <c r="AF635" s="279"/>
      <c r="AG635" s="275"/>
      <c r="AH635" s="276"/>
      <c r="AI635" s="276"/>
      <c r="AJ635" s="274" t="s">
        <v>190</v>
      </c>
      <c r="AK635" s="274" t="s">
        <v>190</v>
      </c>
      <c r="AL635" s="274" t="s">
        <v>190</v>
      </c>
      <c r="AM635" s="260" t="s">
        <v>241</v>
      </c>
      <c r="AN635" s="22">
        <v>182</v>
      </c>
      <c r="AO635" s="22">
        <v>0</v>
      </c>
      <c r="AP635" s="22">
        <v>20</v>
      </c>
      <c r="AQ635" s="22">
        <v>0</v>
      </c>
      <c r="AR635" s="22">
        <v>0</v>
      </c>
      <c r="AS635" s="22">
        <v>7</v>
      </c>
      <c r="AT635" s="22">
        <v>10</v>
      </c>
      <c r="AU635" s="316">
        <f t="shared" si="100"/>
        <v>219</v>
      </c>
      <c r="AV635" s="22">
        <v>190</v>
      </c>
      <c r="AW635" s="22">
        <v>0</v>
      </c>
      <c r="AX635" s="22">
        <v>20</v>
      </c>
      <c r="AY635" s="22">
        <v>0</v>
      </c>
      <c r="AZ635" s="22">
        <v>0</v>
      </c>
      <c r="BA635" s="22">
        <v>7</v>
      </c>
      <c r="BB635" s="22">
        <v>10</v>
      </c>
      <c r="BC635" s="316">
        <f t="shared" si="101"/>
        <v>227</v>
      </c>
      <c r="BD635" s="58">
        <f t="shared" si="102"/>
        <v>8</v>
      </c>
      <c r="BE635" s="58">
        <f t="shared" si="103"/>
        <v>0</v>
      </c>
      <c r="BF635" s="58">
        <f t="shared" si="104"/>
        <v>0</v>
      </c>
      <c r="BG635" s="58">
        <f t="shared" si="105"/>
        <v>0</v>
      </c>
      <c r="BH635" s="58">
        <f t="shared" si="106"/>
        <v>0</v>
      </c>
      <c r="BI635" s="58">
        <f t="shared" si="107"/>
        <v>0</v>
      </c>
      <c r="BJ635" s="58">
        <f t="shared" si="108"/>
        <v>0</v>
      </c>
      <c r="BK635" s="58">
        <f t="shared" si="109"/>
        <v>8</v>
      </c>
    </row>
    <row r="636" spans="1:63" ht="27" customHeight="1">
      <c r="A636" s="238">
        <f t="shared" si="110"/>
        <v>634</v>
      </c>
      <c r="B636" s="239"/>
      <c r="C636" s="266">
        <v>3197</v>
      </c>
      <c r="D636" s="284" t="s">
        <v>3923</v>
      </c>
      <c r="E636" s="267" t="s">
        <v>3924</v>
      </c>
      <c r="F636" s="268" t="s">
        <v>3925</v>
      </c>
      <c r="G636" s="269" t="s">
        <v>3926</v>
      </c>
      <c r="H636" s="245" t="s">
        <v>3927</v>
      </c>
      <c r="I636" s="246" t="s">
        <v>3928</v>
      </c>
      <c r="J636" s="270" t="s">
        <v>178</v>
      </c>
      <c r="K636" s="271">
        <v>30900</v>
      </c>
      <c r="L636" s="249" t="s">
        <v>179</v>
      </c>
      <c r="M636" s="272">
        <v>43742</v>
      </c>
      <c r="N636" s="272"/>
      <c r="O636" s="240"/>
      <c r="P636" s="238" t="s">
        <v>3649</v>
      </c>
      <c r="Q636" s="238" t="s">
        <v>249</v>
      </c>
      <c r="R636" s="240" t="s">
        <v>182</v>
      </c>
      <c r="S636" s="240" t="s">
        <v>433</v>
      </c>
      <c r="T636" s="251"/>
      <c r="U636" s="273"/>
      <c r="V636" s="274" t="s">
        <v>184</v>
      </c>
      <c r="W636" s="274" t="s">
        <v>184</v>
      </c>
      <c r="X636" s="282">
        <v>12</v>
      </c>
      <c r="Y636" s="267" t="s">
        <v>3929</v>
      </c>
      <c r="Z636" s="277" t="s">
        <v>186</v>
      </c>
      <c r="AA636" s="277"/>
      <c r="AB636" s="276"/>
      <c r="AC636" s="274"/>
      <c r="AD636" s="275"/>
      <c r="AE636" s="275"/>
      <c r="AF636" s="279"/>
      <c r="AG636" s="275"/>
      <c r="AH636" s="276"/>
      <c r="AI636" s="276"/>
      <c r="AJ636" s="274" t="s">
        <v>203</v>
      </c>
      <c r="AK636" s="274" t="s">
        <v>190</v>
      </c>
      <c r="AL636" s="274" t="s">
        <v>190</v>
      </c>
      <c r="AM636" s="260" t="s">
        <v>3859</v>
      </c>
      <c r="AN636" s="22">
        <v>182</v>
      </c>
      <c r="AO636" s="22">
        <v>0</v>
      </c>
      <c r="AP636" s="22">
        <v>20</v>
      </c>
      <c r="AQ636" s="22">
        <v>0</v>
      </c>
      <c r="AR636" s="22">
        <v>0</v>
      </c>
      <c r="AS636" s="22">
        <v>7</v>
      </c>
      <c r="AT636" s="22">
        <v>10</v>
      </c>
      <c r="AU636" s="316">
        <f t="shared" si="100"/>
        <v>219</v>
      </c>
      <c r="AV636" s="22">
        <v>190</v>
      </c>
      <c r="AW636" s="22">
        <v>0</v>
      </c>
      <c r="AX636" s="22">
        <v>20</v>
      </c>
      <c r="AY636" s="22">
        <v>0</v>
      </c>
      <c r="AZ636" s="22">
        <v>0</v>
      </c>
      <c r="BA636" s="22">
        <v>7</v>
      </c>
      <c r="BB636" s="22">
        <v>10</v>
      </c>
      <c r="BC636" s="316">
        <f t="shared" si="101"/>
        <v>227</v>
      </c>
      <c r="BD636" s="58">
        <f t="shared" si="102"/>
        <v>8</v>
      </c>
      <c r="BE636" s="58">
        <f t="shared" si="103"/>
        <v>0</v>
      </c>
      <c r="BF636" s="58">
        <f t="shared" si="104"/>
        <v>0</v>
      </c>
      <c r="BG636" s="58">
        <f t="shared" si="105"/>
        <v>0</v>
      </c>
      <c r="BH636" s="58">
        <f t="shared" si="106"/>
        <v>0</v>
      </c>
      <c r="BI636" s="58">
        <f t="shared" si="107"/>
        <v>0</v>
      </c>
      <c r="BJ636" s="58">
        <f t="shared" si="108"/>
        <v>0</v>
      </c>
      <c r="BK636" s="58">
        <f t="shared" si="109"/>
        <v>8</v>
      </c>
    </row>
    <row r="637" spans="1:63" ht="27" customHeight="1">
      <c r="A637" s="238">
        <f t="shared" si="110"/>
        <v>635</v>
      </c>
      <c r="B637" s="239"/>
      <c r="C637" s="266">
        <v>3607</v>
      </c>
      <c r="D637" s="241" t="s">
        <v>3930</v>
      </c>
      <c r="E637" s="267" t="s">
        <v>3931</v>
      </c>
      <c r="F637" s="268" t="s">
        <v>3932</v>
      </c>
      <c r="G637" s="269" t="s">
        <v>3657</v>
      </c>
      <c r="H637" s="245" t="s">
        <v>3933</v>
      </c>
      <c r="I637" s="246" t="s">
        <v>1755</v>
      </c>
      <c r="J637" s="270" t="s">
        <v>178</v>
      </c>
      <c r="K637" s="271">
        <v>30756</v>
      </c>
      <c r="L637" s="249" t="s">
        <v>179</v>
      </c>
      <c r="M637" s="272">
        <v>43753</v>
      </c>
      <c r="N637" s="272"/>
      <c r="O637" s="240"/>
      <c r="P637" s="238" t="s">
        <v>3754</v>
      </c>
      <c r="Q637" s="238" t="s">
        <v>249</v>
      </c>
      <c r="R637" s="240" t="s">
        <v>182</v>
      </c>
      <c r="S637" s="240" t="s">
        <v>228</v>
      </c>
      <c r="T637" s="251"/>
      <c r="U637" s="273"/>
      <c r="V637" s="274" t="s">
        <v>184</v>
      </c>
      <c r="W637" s="274" t="s">
        <v>184</v>
      </c>
      <c r="X637" s="282">
        <v>9</v>
      </c>
      <c r="Y637" s="267" t="s">
        <v>3934</v>
      </c>
      <c r="Z637" s="276"/>
      <c r="AA637" s="277" t="s">
        <v>186</v>
      </c>
      <c r="AB637" s="276"/>
      <c r="AC637" s="274" t="s">
        <v>3888</v>
      </c>
      <c r="AD637" s="274" t="s">
        <v>3888</v>
      </c>
      <c r="AE637" s="274" t="s">
        <v>3888</v>
      </c>
      <c r="AF637" s="274" t="s">
        <v>3888</v>
      </c>
      <c r="AG637" s="274" t="s">
        <v>3888</v>
      </c>
      <c r="AH637" s="274" t="s">
        <v>3888</v>
      </c>
      <c r="AI637" s="276"/>
      <c r="AJ637" s="274" t="s">
        <v>203</v>
      </c>
      <c r="AK637" s="274" t="s">
        <v>190</v>
      </c>
      <c r="AL637" s="274" t="s">
        <v>190</v>
      </c>
      <c r="AM637" s="260" t="s">
        <v>3859</v>
      </c>
      <c r="AN637" s="22">
        <v>182</v>
      </c>
      <c r="AO637" s="22">
        <v>0</v>
      </c>
      <c r="AP637" s="22">
        <v>20</v>
      </c>
      <c r="AQ637" s="22">
        <v>0</v>
      </c>
      <c r="AR637" s="22">
        <v>0</v>
      </c>
      <c r="AS637" s="22">
        <v>7</v>
      </c>
      <c r="AT637" s="22">
        <v>10</v>
      </c>
      <c r="AU637" s="316">
        <f t="shared" si="100"/>
        <v>219</v>
      </c>
      <c r="AV637" s="22">
        <v>190</v>
      </c>
      <c r="AW637" s="22">
        <v>0</v>
      </c>
      <c r="AX637" s="22">
        <v>20</v>
      </c>
      <c r="AY637" s="22">
        <v>0</v>
      </c>
      <c r="AZ637" s="22">
        <v>0</v>
      </c>
      <c r="BA637" s="22">
        <v>7</v>
      </c>
      <c r="BB637" s="22">
        <v>10</v>
      </c>
      <c r="BC637" s="316">
        <f t="shared" si="101"/>
        <v>227</v>
      </c>
      <c r="BD637" s="58">
        <f t="shared" si="102"/>
        <v>8</v>
      </c>
      <c r="BE637" s="58">
        <f t="shared" si="103"/>
        <v>0</v>
      </c>
      <c r="BF637" s="58">
        <f t="shared" si="104"/>
        <v>0</v>
      </c>
      <c r="BG637" s="58">
        <f t="shared" si="105"/>
        <v>0</v>
      </c>
      <c r="BH637" s="58">
        <f t="shared" si="106"/>
        <v>0</v>
      </c>
      <c r="BI637" s="58">
        <f t="shared" si="107"/>
        <v>0</v>
      </c>
      <c r="BJ637" s="58">
        <f t="shared" si="108"/>
        <v>0</v>
      </c>
      <c r="BK637" s="58">
        <f t="shared" si="109"/>
        <v>8</v>
      </c>
    </row>
    <row r="638" spans="1:63" ht="27" customHeight="1">
      <c r="A638" s="238">
        <f t="shared" si="110"/>
        <v>636</v>
      </c>
      <c r="B638" s="239"/>
      <c r="C638" s="266">
        <v>3609</v>
      </c>
      <c r="D638" s="280" t="s">
        <v>3935</v>
      </c>
      <c r="E638" s="267" t="s">
        <v>3936</v>
      </c>
      <c r="F638" s="268" t="s">
        <v>3021</v>
      </c>
      <c r="G638" s="269" t="s">
        <v>3937</v>
      </c>
      <c r="H638" s="245" t="s">
        <v>3938</v>
      </c>
      <c r="I638" s="246" t="s">
        <v>3939</v>
      </c>
      <c r="J638" s="270" t="s">
        <v>209</v>
      </c>
      <c r="K638" s="271">
        <v>33643</v>
      </c>
      <c r="L638" s="249" t="s">
        <v>179</v>
      </c>
      <c r="M638" s="272">
        <v>43753</v>
      </c>
      <c r="N638" s="272"/>
      <c r="O638" s="240"/>
      <c r="P638" s="238" t="s">
        <v>3940</v>
      </c>
      <c r="Q638" s="238" t="s">
        <v>249</v>
      </c>
      <c r="R638" s="240" t="s">
        <v>182</v>
      </c>
      <c r="S638" s="240" t="s">
        <v>256</v>
      </c>
      <c r="T638" s="251"/>
      <c r="U638" s="273"/>
      <c r="V638" s="274" t="s">
        <v>184</v>
      </c>
      <c r="W638" s="274" t="s">
        <v>184</v>
      </c>
      <c r="X638" s="282">
        <v>7</v>
      </c>
      <c r="Y638" s="267" t="s">
        <v>3941</v>
      </c>
      <c r="Z638" s="274"/>
      <c r="AA638" s="277" t="s">
        <v>186</v>
      </c>
      <c r="AB638" s="276"/>
      <c r="AC638" s="274" t="s">
        <v>3888</v>
      </c>
      <c r="AD638" s="274" t="s">
        <v>3888</v>
      </c>
      <c r="AE638" s="274" t="s">
        <v>3888</v>
      </c>
      <c r="AF638" s="279"/>
      <c r="AG638" s="275"/>
      <c r="AH638" s="276"/>
      <c r="AI638" s="276"/>
      <c r="AJ638" s="274" t="s">
        <v>203</v>
      </c>
      <c r="AK638" s="274" t="s">
        <v>190</v>
      </c>
      <c r="AL638" s="274" t="s">
        <v>190</v>
      </c>
      <c r="AM638" s="260" t="s">
        <v>3859</v>
      </c>
      <c r="AN638" s="22">
        <v>182</v>
      </c>
      <c r="AO638" s="22">
        <v>0</v>
      </c>
      <c r="AP638" s="22">
        <v>20</v>
      </c>
      <c r="AQ638" s="22">
        <v>0</v>
      </c>
      <c r="AR638" s="22">
        <v>0</v>
      </c>
      <c r="AS638" s="22">
        <v>7</v>
      </c>
      <c r="AT638" s="22">
        <v>10</v>
      </c>
      <c r="AU638" s="316">
        <f t="shared" si="100"/>
        <v>219</v>
      </c>
      <c r="AV638" s="22">
        <v>190</v>
      </c>
      <c r="AW638" s="22">
        <v>0</v>
      </c>
      <c r="AX638" s="22">
        <v>20</v>
      </c>
      <c r="AY638" s="22">
        <v>0</v>
      </c>
      <c r="AZ638" s="22">
        <v>0</v>
      </c>
      <c r="BA638" s="22">
        <v>7</v>
      </c>
      <c r="BB638" s="22">
        <v>10</v>
      </c>
      <c r="BC638" s="316">
        <f t="shared" si="101"/>
        <v>227</v>
      </c>
      <c r="BD638" s="58">
        <f t="shared" si="102"/>
        <v>8</v>
      </c>
      <c r="BE638" s="58">
        <f t="shared" si="103"/>
        <v>0</v>
      </c>
      <c r="BF638" s="58">
        <f t="shared" si="104"/>
        <v>0</v>
      </c>
      <c r="BG638" s="58">
        <f t="shared" si="105"/>
        <v>0</v>
      </c>
      <c r="BH638" s="58">
        <f t="shared" si="106"/>
        <v>0</v>
      </c>
      <c r="BI638" s="58">
        <f t="shared" si="107"/>
        <v>0</v>
      </c>
      <c r="BJ638" s="58">
        <f t="shared" si="108"/>
        <v>0</v>
      </c>
      <c r="BK638" s="58">
        <f t="shared" si="109"/>
        <v>8</v>
      </c>
    </row>
    <row r="639" spans="1:63" ht="27" customHeight="1">
      <c r="A639" s="238">
        <f t="shared" si="110"/>
        <v>637</v>
      </c>
      <c r="B639" s="239"/>
      <c r="C639" s="266">
        <v>3616</v>
      </c>
      <c r="D639" s="241" t="s">
        <v>3942</v>
      </c>
      <c r="E639" s="267" t="s">
        <v>3943</v>
      </c>
      <c r="F639" s="268" t="s">
        <v>2059</v>
      </c>
      <c r="G639" s="269" t="s">
        <v>1320</v>
      </c>
      <c r="H639" s="245" t="s">
        <v>3944</v>
      </c>
      <c r="I639" s="246" t="s">
        <v>1834</v>
      </c>
      <c r="J639" s="270" t="s">
        <v>178</v>
      </c>
      <c r="K639" s="271">
        <v>30784</v>
      </c>
      <c r="L639" s="249" t="s">
        <v>179</v>
      </c>
      <c r="M639" s="272">
        <v>43750</v>
      </c>
      <c r="N639" s="272"/>
      <c r="O639" s="240"/>
      <c r="P639" s="238" t="s">
        <v>3940</v>
      </c>
      <c r="Q639" s="238" t="s">
        <v>249</v>
      </c>
      <c r="R639" s="240" t="s">
        <v>182</v>
      </c>
      <c r="S639" s="240" t="s">
        <v>228</v>
      </c>
      <c r="T639" s="251"/>
      <c r="U639" s="273"/>
      <c r="V639" s="274" t="s">
        <v>184</v>
      </c>
      <c r="W639" s="274" t="s">
        <v>184</v>
      </c>
      <c r="X639" s="282">
        <v>5</v>
      </c>
      <c r="Y639" s="267" t="s">
        <v>3945</v>
      </c>
      <c r="Z639" s="277"/>
      <c r="AA639" s="277" t="s">
        <v>186</v>
      </c>
      <c r="AB639" s="276"/>
      <c r="AC639" s="274" t="s">
        <v>3888</v>
      </c>
      <c r="AD639" s="274" t="s">
        <v>3888</v>
      </c>
      <c r="AE639" s="275"/>
      <c r="AF639" s="279"/>
      <c r="AG639" s="275"/>
      <c r="AH639" s="276"/>
      <c r="AI639" s="276"/>
      <c r="AJ639" s="274" t="s">
        <v>203</v>
      </c>
      <c r="AK639" s="274" t="s">
        <v>190</v>
      </c>
      <c r="AL639" s="274" t="s">
        <v>190</v>
      </c>
      <c r="AM639" s="260" t="s">
        <v>3859</v>
      </c>
      <c r="AN639" s="22">
        <v>182</v>
      </c>
      <c r="AO639" s="22">
        <v>0</v>
      </c>
      <c r="AP639" s="22">
        <v>20</v>
      </c>
      <c r="AQ639" s="22">
        <v>0</v>
      </c>
      <c r="AR639" s="22">
        <v>0</v>
      </c>
      <c r="AS639" s="22">
        <v>7</v>
      </c>
      <c r="AT639" s="22">
        <v>10</v>
      </c>
      <c r="AU639" s="316">
        <f t="shared" si="100"/>
        <v>219</v>
      </c>
      <c r="AV639" s="22">
        <v>190</v>
      </c>
      <c r="AW639" s="22">
        <v>0</v>
      </c>
      <c r="AX639" s="22">
        <v>20</v>
      </c>
      <c r="AY639" s="22">
        <v>0</v>
      </c>
      <c r="AZ639" s="22">
        <v>0</v>
      </c>
      <c r="BA639" s="22">
        <v>7</v>
      </c>
      <c r="BB639" s="22">
        <v>10</v>
      </c>
      <c r="BC639" s="316">
        <f t="shared" si="101"/>
        <v>227</v>
      </c>
      <c r="BD639" s="58">
        <f t="shared" si="102"/>
        <v>8</v>
      </c>
      <c r="BE639" s="58">
        <f t="shared" si="103"/>
        <v>0</v>
      </c>
      <c r="BF639" s="58">
        <f t="shared" si="104"/>
        <v>0</v>
      </c>
      <c r="BG639" s="58">
        <f t="shared" si="105"/>
        <v>0</v>
      </c>
      <c r="BH639" s="58">
        <f t="shared" si="106"/>
        <v>0</v>
      </c>
      <c r="BI639" s="58">
        <f t="shared" si="107"/>
        <v>0</v>
      </c>
      <c r="BJ639" s="58">
        <f t="shared" si="108"/>
        <v>0</v>
      </c>
      <c r="BK639" s="58">
        <f t="shared" si="109"/>
        <v>8</v>
      </c>
    </row>
    <row r="640" spans="1:63" ht="27" customHeight="1">
      <c r="A640" s="238">
        <f t="shared" si="110"/>
        <v>638</v>
      </c>
      <c r="B640" s="239"/>
      <c r="C640" s="266">
        <v>3613</v>
      </c>
      <c r="D640" s="241" t="s">
        <v>3946</v>
      </c>
      <c r="E640" s="267" t="s">
        <v>3947</v>
      </c>
      <c r="F640" s="268" t="s">
        <v>3948</v>
      </c>
      <c r="G640" s="269" t="s">
        <v>1424</v>
      </c>
      <c r="H640" s="245" t="s">
        <v>3949</v>
      </c>
      <c r="I640" s="246" t="s">
        <v>1426</v>
      </c>
      <c r="J640" s="270" t="s">
        <v>178</v>
      </c>
      <c r="K640" s="271">
        <v>37261</v>
      </c>
      <c r="L640" s="249" t="s">
        <v>179</v>
      </c>
      <c r="M640" s="272">
        <v>43753</v>
      </c>
      <c r="N640" s="272"/>
      <c r="O640" s="240"/>
      <c r="P640" s="238" t="s">
        <v>3950</v>
      </c>
      <c r="Q640" s="238" t="s">
        <v>249</v>
      </c>
      <c r="R640" s="240" t="s">
        <v>182</v>
      </c>
      <c r="S640" s="240" t="s">
        <v>3951</v>
      </c>
      <c r="T640" s="251"/>
      <c r="U640" s="273"/>
      <c r="V640" s="274" t="s">
        <v>184</v>
      </c>
      <c r="W640" s="274" t="s">
        <v>184</v>
      </c>
      <c r="X640" s="282">
        <v>9</v>
      </c>
      <c r="Y640" s="267" t="s">
        <v>3952</v>
      </c>
      <c r="Z640" s="277" t="s">
        <v>186</v>
      </c>
      <c r="AA640" s="274"/>
      <c r="AB640" s="276"/>
      <c r="AC640" s="274"/>
      <c r="AD640" s="275"/>
      <c r="AE640" s="275"/>
      <c r="AF640" s="279"/>
      <c r="AG640" s="275"/>
      <c r="AH640" s="276"/>
      <c r="AI640" s="276"/>
      <c r="AJ640" s="274" t="s">
        <v>203</v>
      </c>
      <c r="AK640" s="274" t="s">
        <v>190</v>
      </c>
      <c r="AL640" s="274" t="s">
        <v>190</v>
      </c>
      <c r="AM640" s="260" t="s">
        <v>3659</v>
      </c>
      <c r="AN640" s="22">
        <v>182</v>
      </c>
      <c r="AO640" s="22">
        <v>0</v>
      </c>
      <c r="AP640" s="22">
        <v>20</v>
      </c>
      <c r="AQ640" s="22">
        <v>0</v>
      </c>
      <c r="AR640" s="22">
        <v>0</v>
      </c>
      <c r="AS640" s="22">
        <v>7</v>
      </c>
      <c r="AT640" s="22">
        <v>10</v>
      </c>
      <c r="AU640" s="316">
        <f t="shared" si="100"/>
        <v>219</v>
      </c>
      <c r="AV640" s="22">
        <v>190</v>
      </c>
      <c r="AW640" s="22">
        <v>0</v>
      </c>
      <c r="AX640" s="22">
        <v>20</v>
      </c>
      <c r="AY640" s="22">
        <v>0</v>
      </c>
      <c r="AZ640" s="22">
        <v>0</v>
      </c>
      <c r="BA640" s="22">
        <v>7</v>
      </c>
      <c r="BB640" s="22">
        <v>10</v>
      </c>
      <c r="BC640" s="316">
        <f t="shared" si="101"/>
        <v>227</v>
      </c>
      <c r="BD640" s="58">
        <f t="shared" si="102"/>
        <v>8</v>
      </c>
      <c r="BE640" s="58">
        <f t="shared" si="103"/>
        <v>0</v>
      </c>
      <c r="BF640" s="58">
        <f t="shared" si="104"/>
        <v>0</v>
      </c>
      <c r="BG640" s="58">
        <f t="shared" si="105"/>
        <v>0</v>
      </c>
      <c r="BH640" s="58">
        <f t="shared" si="106"/>
        <v>0</v>
      </c>
      <c r="BI640" s="58">
        <f t="shared" si="107"/>
        <v>0</v>
      </c>
      <c r="BJ640" s="58">
        <f t="shared" si="108"/>
        <v>0</v>
      </c>
      <c r="BK640" s="58">
        <f t="shared" si="109"/>
        <v>8</v>
      </c>
    </row>
    <row r="641" spans="1:63" ht="27" customHeight="1">
      <c r="A641" s="238">
        <f t="shared" si="110"/>
        <v>639</v>
      </c>
      <c r="B641" s="239"/>
      <c r="C641" s="266">
        <v>3605</v>
      </c>
      <c r="D641" s="241" t="s">
        <v>3953</v>
      </c>
      <c r="E641" s="267" t="s">
        <v>296</v>
      </c>
      <c r="F641" s="268" t="s">
        <v>3954</v>
      </c>
      <c r="G641" s="269" t="s">
        <v>831</v>
      </c>
      <c r="H641" s="245" t="s">
        <v>3955</v>
      </c>
      <c r="I641" s="246" t="s">
        <v>1919</v>
      </c>
      <c r="J641" s="270" t="s">
        <v>178</v>
      </c>
      <c r="K641" s="271">
        <v>33947</v>
      </c>
      <c r="L641" s="249" t="s">
        <v>179</v>
      </c>
      <c r="M641" s="272">
        <v>43753</v>
      </c>
      <c r="N641" s="272"/>
      <c r="O641" s="240"/>
      <c r="P641" s="238" t="s">
        <v>3940</v>
      </c>
      <c r="Q641" s="238" t="s">
        <v>249</v>
      </c>
      <c r="R641" s="240" t="s">
        <v>182</v>
      </c>
      <c r="S641" s="240" t="s">
        <v>3601</v>
      </c>
      <c r="T641" s="251"/>
      <c r="U641" s="273"/>
      <c r="V641" s="274" t="s">
        <v>184</v>
      </c>
      <c r="W641" s="274">
        <v>2630</v>
      </c>
      <c r="X641" s="282">
        <v>9</v>
      </c>
      <c r="Y641" s="267" t="s">
        <v>3956</v>
      </c>
      <c r="Z641" s="274"/>
      <c r="AA641" s="277" t="s">
        <v>186</v>
      </c>
      <c r="AB641" s="276"/>
      <c r="AC641" s="274" t="s">
        <v>3888</v>
      </c>
      <c r="AD641" s="274" t="s">
        <v>3888</v>
      </c>
      <c r="AE641" s="274" t="s">
        <v>3888</v>
      </c>
      <c r="AF641" s="274" t="s">
        <v>3888</v>
      </c>
      <c r="AG641" s="274" t="s">
        <v>3888</v>
      </c>
      <c r="AH641" s="276"/>
      <c r="AI641" s="276"/>
      <c r="AJ641" s="274" t="s">
        <v>190</v>
      </c>
      <c r="AK641" s="274" t="s">
        <v>190</v>
      </c>
      <c r="AL641" s="274" t="s">
        <v>190</v>
      </c>
      <c r="AM641" s="260" t="s">
        <v>3859</v>
      </c>
      <c r="AN641" s="22">
        <v>182</v>
      </c>
      <c r="AO641" s="22">
        <v>0</v>
      </c>
      <c r="AP641" s="22">
        <v>20</v>
      </c>
      <c r="AQ641" s="22">
        <v>0</v>
      </c>
      <c r="AR641" s="22">
        <v>0</v>
      </c>
      <c r="AS641" s="22">
        <v>7</v>
      </c>
      <c r="AT641" s="22">
        <v>10</v>
      </c>
      <c r="AU641" s="316">
        <f t="shared" si="100"/>
        <v>219</v>
      </c>
      <c r="AV641" s="22">
        <v>190</v>
      </c>
      <c r="AW641" s="22">
        <v>0</v>
      </c>
      <c r="AX641" s="22">
        <v>20</v>
      </c>
      <c r="AY641" s="22">
        <v>0</v>
      </c>
      <c r="AZ641" s="22">
        <v>0</v>
      </c>
      <c r="BA641" s="22">
        <v>7</v>
      </c>
      <c r="BB641" s="22">
        <v>10</v>
      </c>
      <c r="BC641" s="316">
        <f t="shared" si="101"/>
        <v>227</v>
      </c>
      <c r="BD641" s="58">
        <f t="shared" si="102"/>
        <v>8</v>
      </c>
      <c r="BE641" s="58">
        <f t="shared" si="103"/>
        <v>0</v>
      </c>
      <c r="BF641" s="58">
        <f t="shared" si="104"/>
        <v>0</v>
      </c>
      <c r="BG641" s="58">
        <f t="shared" si="105"/>
        <v>0</v>
      </c>
      <c r="BH641" s="58">
        <f t="shared" si="106"/>
        <v>0</v>
      </c>
      <c r="BI641" s="58">
        <f t="shared" si="107"/>
        <v>0</v>
      </c>
      <c r="BJ641" s="58">
        <f t="shared" si="108"/>
        <v>0</v>
      </c>
      <c r="BK641" s="58">
        <f t="shared" si="109"/>
        <v>8</v>
      </c>
    </row>
    <row r="642" spans="1:63" ht="27" customHeight="1">
      <c r="A642" s="238">
        <f t="shared" si="110"/>
        <v>640</v>
      </c>
      <c r="B642" s="239"/>
      <c r="C642" s="266">
        <v>3229</v>
      </c>
      <c r="D642" s="285">
        <v>0</v>
      </c>
      <c r="E642" s="267" t="s">
        <v>3957</v>
      </c>
      <c r="F642" s="268" t="s">
        <v>1253</v>
      </c>
      <c r="G642" s="269" t="s">
        <v>2037</v>
      </c>
      <c r="H642" s="245" t="s">
        <v>1255</v>
      </c>
      <c r="I642" s="246" t="s">
        <v>2039</v>
      </c>
      <c r="J642" s="270" t="s">
        <v>209</v>
      </c>
      <c r="K642" s="271">
        <v>36163</v>
      </c>
      <c r="L642" s="249" t="s">
        <v>179</v>
      </c>
      <c r="M642" s="272">
        <v>43742</v>
      </c>
      <c r="N642" s="272"/>
      <c r="O642" s="240" t="s">
        <v>3958</v>
      </c>
      <c r="P642" s="238" t="s">
        <v>3959</v>
      </c>
      <c r="Q642" s="238" t="s">
        <v>249</v>
      </c>
      <c r="R642" s="240" t="s">
        <v>3960</v>
      </c>
      <c r="S642" s="240" t="s">
        <v>1206</v>
      </c>
      <c r="T642" s="251" t="s">
        <v>3961</v>
      </c>
      <c r="U642" s="273">
        <v>43789</v>
      </c>
      <c r="V642" s="274" t="s">
        <v>184</v>
      </c>
      <c r="W642" s="274" t="s">
        <v>184</v>
      </c>
      <c r="X642" s="275">
        <v>4</v>
      </c>
      <c r="Y642" s="267" t="s">
        <v>3962</v>
      </c>
      <c r="Z642" s="277"/>
      <c r="AA642" s="274"/>
      <c r="AB642" s="274"/>
      <c r="AC642" s="286"/>
      <c r="AD642" s="287"/>
      <c r="AE642" s="286"/>
      <c r="AF642" s="288"/>
      <c r="AG642" s="286"/>
      <c r="AH642" s="276"/>
      <c r="AI642" s="276"/>
      <c r="AJ642" s="274" t="s">
        <v>203</v>
      </c>
      <c r="AK642" s="274" t="s">
        <v>190</v>
      </c>
      <c r="AL642" s="274" t="s">
        <v>190</v>
      </c>
      <c r="AM642" s="260" t="s">
        <v>3859</v>
      </c>
      <c r="AN642" s="22">
        <v>182</v>
      </c>
      <c r="AO642" s="22">
        <v>0</v>
      </c>
      <c r="AP642" s="22">
        <v>0</v>
      </c>
      <c r="AQ642" s="22">
        <v>0</v>
      </c>
      <c r="AR642" s="22">
        <v>0</v>
      </c>
      <c r="AS642" s="22">
        <v>7</v>
      </c>
      <c r="AT642" s="22">
        <v>10</v>
      </c>
      <c r="AU642" s="316">
        <f t="shared" si="100"/>
        <v>199</v>
      </c>
      <c r="AV642" s="22">
        <v>190</v>
      </c>
      <c r="AW642" s="22">
        <v>0</v>
      </c>
      <c r="AX642" s="22">
        <v>0</v>
      </c>
      <c r="AY642" s="22">
        <v>0</v>
      </c>
      <c r="AZ642" s="22">
        <v>0</v>
      </c>
      <c r="BA642" s="22">
        <v>7</v>
      </c>
      <c r="BB642" s="22">
        <v>10</v>
      </c>
      <c r="BC642" s="316">
        <f t="shared" si="101"/>
        <v>207</v>
      </c>
      <c r="BD642" s="58">
        <f t="shared" si="102"/>
        <v>8</v>
      </c>
      <c r="BE642" s="58">
        <f t="shared" si="103"/>
        <v>0</v>
      </c>
      <c r="BF642" s="58">
        <f t="shared" si="104"/>
        <v>0</v>
      </c>
      <c r="BG642" s="58">
        <f t="shared" si="105"/>
        <v>0</v>
      </c>
      <c r="BH642" s="58">
        <f t="shared" si="106"/>
        <v>0</v>
      </c>
      <c r="BI642" s="58">
        <f t="shared" si="107"/>
        <v>0</v>
      </c>
      <c r="BJ642" s="58">
        <f t="shared" si="108"/>
        <v>0</v>
      </c>
      <c r="BK642" s="58">
        <f t="shared" si="109"/>
        <v>8</v>
      </c>
    </row>
    <row r="643" spans="1:63" ht="27" customHeight="1">
      <c r="A643" s="238">
        <f t="shared" si="110"/>
        <v>641</v>
      </c>
      <c r="B643" s="239"/>
      <c r="C643" s="266">
        <v>3242</v>
      </c>
      <c r="D643" s="241" t="s">
        <v>3963</v>
      </c>
      <c r="E643" s="267" t="s">
        <v>3964</v>
      </c>
      <c r="F643" s="268" t="s">
        <v>1904</v>
      </c>
      <c r="G643" s="269" t="s">
        <v>976</v>
      </c>
      <c r="H643" s="245" t="s">
        <v>1905</v>
      </c>
      <c r="I643" s="246" t="s">
        <v>977</v>
      </c>
      <c r="J643" s="270" t="s">
        <v>209</v>
      </c>
      <c r="K643" s="271">
        <v>36619</v>
      </c>
      <c r="L643" s="249" t="s">
        <v>179</v>
      </c>
      <c r="M643" s="272">
        <v>43746</v>
      </c>
      <c r="N643" s="272"/>
      <c r="O643" s="240" t="s">
        <v>3965</v>
      </c>
      <c r="P643" s="238" t="s">
        <v>3785</v>
      </c>
      <c r="Q643" s="238" t="s">
        <v>249</v>
      </c>
      <c r="R643" s="240" t="s">
        <v>182</v>
      </c>
      <c r="S643" s="240" t="s">
        <v>183</v>
      </c>
      <c r="T643" s="251"/>
      <c r="U643" s="273"/>
      <c r="V643" s="274" t="s">
        <v>184</v>
      </c>
      <c r="W643" s="274" t="s">
        <v>184</v>
      </c>
      <c r="X643" s="282">
        <v>9</v>
      </c>
      <c r="Y643" s="267" t="s">
        <v>3966</v>
      </c>
      <c r="Z643" s="277" t="s">
        <v>186</v>
      </c>
      <c r="AA643" s="274"/>
      <c r="AB643" s="274"/>
      <c r="AC643" s="287"/>
      <c r="AD643" s="287"/>
      <c r="AE643" s="275"/>
      <c r="AF643" s="279"/>
      <c r="AG643" s="275"/>
      <c r="AH643" s="276"/>
      <c r="AI643" s="276"/>
      <c r="AJ643" s="274" t="s">
        <v>190</v>
      </c>
      <c r="AK643" s="274" t="s">
        <v>190</v>
      </c>
      <c r="AL643" s="274" t="s">
        <v>190</v>
      </c>
      <c r="AM643" s="260" t="s">
        <v>3967</v>
      </c>
      <c r="AN643" s="22">
        <v>182</v>
      </c>
      <c r="AO643" s="22">
        <v>0</v>
      </c>
      <c r="AP643" s="22">
        <v>0</v>
      </c>
      <c r="AQ643" s="22">
        <v>0</v>
      </c>
      <c r="AR643" s="22">
        <v>0</v>
      </c>
      <c r="AS643" s="22">
        <v>7</v>
      </c>
      <c r="AT643" s="22">
        <v>10</v>
      </c>
      <c r="AU643" s="316">
        <f t="shared" si="100"/>
        <v>199</v>
      </c>
      <c r="AV643" s="22">
        <v>190</v>
      </c>
      <c r="AW643" s="22">
        <v>0</v>
      </c>
      <c r="AX643" s="22">
        <v>0</v>
      </c>
      <c r="AY643" s="22">
        <v>0</v>
      </c>
      <c r="AZ643" s="22">
        <v>0</v>
      </c>
      <c r="BA643" s="22">
        <v>7</v>
      </c>
      <c r="BB643" s="22">
        <v>10</v>
      </c>
      <c r="BC643" s="316">
        <f t="shared" si="101"/>
        <v>207</v>
      </c>
      <c r="BD643" s="58">
        <f t="shared" si="102"/>
        <v>8</v>
      </c>
      <c r="BE643" s="58">
        <f t="shared" si="103"/>
        <v>0</v>
      </c>
      <c r="BF643" s="58">
        <f t="shared" si="104"/>
        <v>0</v>
      </c>
      <c r="BG643" s="58">
        <f t="shared" si="105"/>
        <v>0</v>
      </c>
      <c r="BH643" s="58">
        <f t="shared" si="106"/>
        <v>0</v>
      </c>
      <c r="BI643" s="58">
        <f t="shared" si="107"/>
        <v>0</v>
      </c>
      <c r="BJ643" s="58">
        <f t="shared" si="108"/>
        <v>0</v>
      </c>
      <c r="BK643" s="58">
        <f t="shared" si="109"/>
        <v>8</v>
      </c>
    </row>
    <row r="644" spans="1:63" ht="27" customHeight="1">
      <c r="A644" s="238">
        <f t="shared" si="110"/>
        <v>642</v>
      </c>
      <c r="B644" s="239"/>
      <c r="C644" s="266">
        <v>3255</v>
      </c>
      <c r="D644" s="241" t="s">
        <v>3968</v>
      </c>
      <c r="E644" s="267" t="s">
        <v>3969</v>
      </c>
      <c r="F644" s="268" t="s">
        <v>3970</v>
      </c>
      <c r="G644" s="269" t="s">
        <v>3971</v>
      </c>
      <c r="H644" s="245" t="s">
        <v>3972</v>
      </c>
      <c r="I644" s="246" t="s">
        <v>3973</v>
      </c>
      <c r="J644" s="270" t="s">
        <v>209</v>
      </c>
      <c r="K644" s="271">
        <v>34360</v>
      </c>
      <c r="L644" s="249" t="s">
        <v>179</v>
      </c>
      <c r="M644" s="272">
        <v>43745</v>
      </c>
      <c r="N644" s="272"/>
      <c r="O644" s="240" t="s">
        <v>3965</v>
      </c>
      <c r="P644" s="238" t="s">
        <v>3785</v>
      </c>
      <c r="Q644" s="238" t="s">
        <v>249</v>
      </c>
      <c r="R644" s="240" t="s">
        <v>182</v>
      </c>
      <c r="S644" s="240" t="s">
        <v>211</v>
      </c>
      <c r="T644" s="251"/>
      <c r="U644" s="273"/>
      <c r="V644" s="274" t="s">
        <v>184</v>
      </c>
      <c r="W644" s="274" t="s">
        <v>184</v>
      </c>
      <c r="X644" s="282">
        <v>0</v>
      </c>
      <c r="Y644" s="267" t="s">
        <v>296</v>
      </c>
      <c r="Z644" s="274"/>
      <c r="AA644" s="277"/>
      <c r="AB644" s="274"/>
      <c r="AC644" s="274"/>
      <c r="AD644" s="275"/>
      <c r="AE644" s="275"/>
      <c r="AF644" s="279"/>
      <c r="AG644" s="275"/>
      <c r="AH644" s="276"/>
      <c r="AI644" s="276"/>
      <c r="AJ644" s="274" t="s">
        <v>203</v>
      </c>
      <c r="AK644" s="274" t="s">
        <v>190</v>
      </c>
      <c r="AL644" s="274" t="s">
        <v>190</v>
      </c>
      <c r="AM644" s="260" t="s">
        <v>3659</v>
      </c>
      <c r="AN644" s="22">
        <v>182</v>
      </c>
      <c r="AO644" s="22">
        <v>0</v>
      </c>
      <c r="AP644" s="22">
        <v>20</v>
      </c>
      <c r="AQ644" s="22">
        <v>0</v>
      </c>
      <c r="AR644" s="22">
        <v>0</v>
      </c>
      <c r="AS644" s="22">
        <v>7</v>
      </c>
      <c r="AT644" s="22">
        <v>10</v>
      </c>
      <c r="AU644" s="316">
        <f t="shared" ref="AU644:AU707" si="111">SUM(AN644:AT644)</f>
        <v>219</v>
      </c>
      <c r="AV644" s="22">
        <v>190</v>
      </c>
      <c r="AW644" s="22">
        <v>0</v>
      </c>
      <c r="AX644" s="22">
        <v>20</v>
      </c>
      <c r="AY644" s="22">
        <v>0</v>
      </c>
      <c r="AZ644" s="22">
        <v>0</v>
      </c>
      <c r="BA644" s="22">
        <v>7</v>
      </c>
      <c r="BB644" s="22">
        <v>10</v>
      </c>
      <c r="BC644" s="316">
        <f t="shared" ref="BC644:BC707" si="112">SUM(AV644:BB644)</f>
        <v>227</v>
      </c>
      <c r="BD644" s="58">
        <f t="shared" ref="BD644:BD707" si="113">AV644-AN644</f>
        <v>8</v>
      </c>
      <c r="BE644" s="58">
        <f t="shared" ref="BE644:BE707" si="114">AW644-AO644</f>
        <v>0</v>
      </c>
      <c r="BF644" s="58">
        <f t="shared" ref="BF644:BF707" si="115">AX644-AP644</f>
        <v>0</v>
      </c>
      <c r="BG644" s="58">
        <f t="shared" ref="BG644:BG707" si="116">AY644-AQ644</f>
        <v>0</v>
      </c>
      <c r="BH644" s="58">
        <f t="shared" ref="BH644:BH707" si="117">AZ644-AR644</f>
        <v>0</v>
      </c>
      <c r="BI644" s="58">
        <f t="shared" ref="BI644:BI707" si="118">BA644-AS644</f>
        <v>0</v>
      </c>
      <c r="BJ644" s="58">
        <f t="shared" ref="BJ644:BJ707" si="119">BB644-AT644</f>
        <v>0</v>
      </c>
      <c r="BK644" s="58">
        <f t="shared" ref="BK644:BK707" si="120">BC644-AU644</f>
        <v>8</v>
      </c>
    </row>
    <row r="645" spans="1:63" ht="27" customHeight="1">
      <c r="A645" s="238">
        <f t="shared" ref="A645:A708" si="121">1+A644</f>
        <v>643</v>
      </c>
      <c r="B645" s="239"/>
      <c r="C645" s="266">
        <v>3560</v>
      </c>
      <c r="D645" s="241" t="s">
        <v>3974</v>
      </c>
      <c r="E645" s="267" t="s">
        <v>3975</v>
      </c>
      <c r="F645" s="268" t="s">
        <v>649</v>
      </c>
      <c r="G645" s="269" t="s">
        <v>3976</v>
      </c>
      <c r="H645" s="245" t="s">
        <v>1536</v>
      </c>
      <c r="I645" s="246" t="s">
        <v>3977</v>
      </c>
      <c r="J645" s="270" t="s">
        <v>209</v>
      </c>
      <c r="K645" s="271">
        <v>31973</v>
      </c>
      <c r="L645" s="249" t="s">
        <v>179</v>
      </c>
      <c r="M645" s="272">
        <v>43748</v>
      </c>
      <c r="N645" s="272"/>
      <c r="O645" s="240" t="s">
        <v>3978</v>
      </c>
      <c r="P645" s="238" t="s">
        <v>3785</v>
      </c>
      <c r="Q645" s="238" t="s">
        <v>249</v>
      </c>
      <c r="R645" s="240" t="s">
        <v>182</v>
      </c>
      <c r="S645" s="240" t="s">
        <v>256</v>
      </c>
      <c r="T645" s="251"/>
      <c r="U645" s="273"/>
      <c r="V645" s="274" t="s">
        <v>184</v>
      </c>
      <c r="W645" s="274" t="s">
        <v>184</v>
      </c>
      <c r="X645" s="282">
        <v>5</v>
      </c>
      <c r="Y645" s="267" t="s">
        <v>3979</v>
      </c>
      <c r="Z645" s="277" t="s">
        <v>186</v>
      </c>
      <c r="AA645" s="274"/>
      <c r="AB645" s="274"/>
      <c r="AC645" s="274"/>
      <c r="AD645" s="275"/>
      <c r="AE645" s="275"/>
      <c r="AF645" s="279"/>
      <c r="AG645" s="275"/>
      <c r="AH645" s="276"/>
      <c r="AI645" s="276"/>
      <c r="AJ645" s="274" t="s">
        <v>203</v>
      </c>
      <c r="AK645" s="274" t="s">
        <v>190</v>
      </c>
      <c r="AL645" s="274" t="s">
        <v>190</v>
      </c>
      <c r="AM645" s="260" t="s">
        <v>241</v>
      </c>
      <c r="AN645" s="22">
        <v>182</v>
      </c>
      <c r="AO645" s="22">
        <v>0</v>
      </c>
      <c r="AP645" s="22">
        <v>20</v>
      </c>
      <c r="AQ645" s="22">
        <v>0</v>
      </c>
      <c r="AR645" s="22">
        <v>0</v>
      </c>
      <c r="AS645" s="22">
        <v>7</v>
      </c>
      <c r="AT645" s="22">
        <v>10</v>
      </c>
      <c r="AU645" s="316">
        <f t="shared" si="111"/>
        <v>219</v>
      </c>
      <c r="AV645" s="22">
        <v>190</v>
      </c>
      <c r="AW645" s="22">
        <v>0</v>
      </c>
      <c r="AX645" s="22">
        <v>20</v>
      </c>
      <c r="AY645" s="22">
        <v>0</v>
      </c>
      <c r="AZ645" s="22">
        <v>0</v>
      </c>
      <c r="BA645" s="22">
        <v>7</v>
      </c>
      <c r="BB645" s="22">
        <v>10</v>
      </c>
      <c r="BC645" s="316">
        <f t="shared" si="112"/>
        <v>227</v>
      </c>
      <c r="BD645" s="58">
        <f t="shared" si="113"/>
        <v>8</v>
      </c>
      <c r="BE645" s="58">
        <f t="shared" si="114"/>
        <v>0</v>
      </c>
      <c r="BF645" s="58">
        <f t="shared" si="115"/>
        <v>0</v>
      </c>
      <c r="BG645" s="58">
        <f t="shared" si="116"/>
        <v>0</v>
      </c>
      <c r="BH645" s="58">
        <f t="shared" si="117"/>
        <v>0</v>
      </c>
      <c r="BI645" s="58">
        <f t="shared" si="118"/>
        <v>0</v>
      </c>
      <c r="BJ645" s="58">
        <f t="shared" si="119"/>
        <v>0</v>
      </c>
      <c r="BK645" s="58">
        <f t="shared" si="120"/>
        <v>8</v>
      </c>
    </row>
    <row r="646" spans="1:63" ht="27" customHeight="1">
      <c r="A646" s="238">
        <f t="shared" si="121"/>
        <v>644</v>
      </c>
      <c r="B646" s="239"/>
      <c r="C646" s="266">
        <v>3537</v>
      </c>
      <c r="D646" s="241" t="s">
        <v>3980</v>
      </c>
      <c r="E646" s="267" t="s">
        <v>3981</v>
      </c>
      <c r="F646" s="268" t="s">
        <v>557</v>
      </c>
      <c r="G646" s="269" t="s">
        <v>3117</v>
      </c>
      <c r="H646" s="245" t="s">
        <v>559</v>
      </c>
      <c r="I646" s="246" t="s">
        <v>3982</v>
      </c>
      <c r="J646" s="270" t="s">
        <v>209</v>
      </c>
      <c r="K646" s="271">
        <v>36275</v>
      </c>
      <c r="L646" s="249" t="s">
        <v>179</v>
      </c>
      <c r="M646" s="272">
        <v>43757</v>
      </c>
      <c r="N646" s="272"/>
      <c r="O646" s="240" t="s">
        <v>3983</v>
      </c>
      <c r="P646" s="238" t="s">
        <v>2821</v>
      </c>
      <c r="Q646" s="238" t="s">
        <v>249</v>
      </c>
      <c r="R646" s="240" t="s">
        <v>182</v>
      </c>
      <c r="S646" s="240" t="s">
        <v>256</v>
      </c>
      <c r="T646" s="251"/>
      <c r="U646" s="273"/>
      <c r="V646" s="274" t="s">
        <v>184</v>
      </c>
      <c r="W646" s="274" t="s">
        <v>184</v>
      </c>
      <c r="X646" s="275">
        <v>7</v>
      </c>
      <c r="Y646" s="267" t="s">
        <v>296</v>
      </c>
      <c r="Z646" s="277"/>
      <c r="AA646" s="274"/>
      <c r="AB646" s="274"/>
      <c r="AC646" s="274"/>
      <c r="AD646" s="275"/>
      <c r="AE646" s="275"/>
      <c r="AF646" s="279"/>
      <c r="AG646" s="275"/>
      <c r="AH646" s="276"/>
      <c r="AI646" s="276"/>
      <c r="AJ646" s="274" t="s">
        <v>203</v>
      </c>
      <c r="AK646" s="274" t="s">
        <v>190</v>
      </c>
      <c r="AL646" s="274" t="s">
        <v>190</v>
      </c>
      <c r="AM646" s="260" t="s">
        <v>3984</v>
      </c>
      <c r="AN646" s="22">
        <v>177</v>
      </c>
      <c r="AO646" s="22">
        <v>0</v>
      </c>
      <c r="AP646" s="22">
        <v>20</v>
      </c>
      <c r="AQ646" s="22">
        <v>0</v>
      </c>
      <c r="AR646" s="22">
        <v>0</v>
      </c>
      <c r="AS646" s="22">
        <v>7</v>
      </c>
      <c r="AT646" s="22">
        <v>10</v>
      </c>
      <c r="AU646" s="316">
        <f t="shared" si="111"/>
        <v>214</v>
      </c>
      <c r="AV646" s="22">
        <v>185</v>
      </c>
      <c r="AW646" s="22">
        <v>0</v>
      </c>
      <c r="AX646" s="22">
        <v>20</v>
      </c>
      <c r="AY646" s="22">
        <v>0</v>
      </c>
      <c r="AZ646" s="22">
        <v>0</v>
      </c>
      <c r="BA646" s="22">
        <v>7</v>
      </c>
      <c r="BB646" s="22">
        <v>10</v>
      </c>
      <c r="BC646" s="316">
        <f t="shared" si="112"/>
        <v>222</v>
      </c>
      <c r="BD646" s="58">
        <f t="shared" si="113"/>
        <v>8</v>
      </c>
      <c r="BE646" s="58">
        <f t="shared" si="114"/>
        <v>0</v>
      </c>
      <c r="BF646" s="58">
        <f t="shared" si="115"/>
        <v>0</v>
      </c>
      <c r="BG646" s="58">
        <f t="shared" si="116"/>
        <v>0</v>
      </c>
      <c r="BH646" s="58">
        <f t="shared" si="117"/>
        <v>0</v>
      </c>
      <c r="BI646" s="58">
        <f t="shared" si="118"/>
        <v>0</v>
      </c>
      <c r="BJ646" s="58">
        <f t="shared" si="119"/>
        <v>0</v>
      </c>
      <c r="BK646" s="58">
        <f t="shared" si="120"/>
        <v>8</v>
      </c>
    </row>
    <row r="647" spans="1:63" ht="27" customHeight="1">
      <c r="A647" s="238">
        <f t="shared" si="121"/>
        <v>645</v>
      </c>
      <c r="B647" s="239"/>
      <c r="C647" s="266">
        <v>3536</v>
      </c>
      <c r="D647" s="241" t="s">
        <v>3985</v>
      </c>
      <c r="E647" s="267" t="s">
        <v>3986</v>
      </c>
      <c r="F647" s="268" t="s">
        <v>2309</v>
      </c>
      <c r="G647" s="269" t="s">
        <v>392</v>
      </c>
      <c r="H647" s="245" t="s">
        <v>3987</v>
      </c>
      <c r="I647" s="246" t="s">
        <v>1770</v>
      </c>
      <c r="J647" s="270" t="s">
        <v>209</v>
      </c>
      <c r="K647" s="271">
        <v>36040</v>
      </c>
      <c r="L647" s="249" t="s">
        <v>179</v>
      </c>
      <c r="M647" s="272">
        <v>43743</v>
      </c>
      <c r="N647" s="272"/>
      <c r="O647" s="240" t="s">
        <v>3965</v>
      </c>
      <c r="P647" s="238" t="s">
        <v>2821</v>
      </c>
      <c r="Q647" s="238" t="s">
        <v>249</v>
      </c>
      <c r="R647" s="240" t="s">
        <v>182</v>
      </c>
      <c r="S647" s="240" t="s">
        <v>256</v>
      </c>
      <c r="T647" s="251"/>
      <c r="U647" s="273"/>
      <c r="V647" s="274" t="s">
        <v>184</v>
      </c>
      <c r="W647" s="274" t="s">
        <v>184</v>
      </c>
      <c r="X647" s="275">
        <v>8</v>
      </c>
      <c r="Y647" s="267" t="s">
        <v>3988</v>
      </c>
      <c r="Z647" s="274"/>
      <c r="AA647" s="274"/>
      <c r="AB647" s="277"/>
      <c r="AC647" s="274"/>
      <c r="AD647" s="275"/>
      <c r="AE647" s="275"/>
      <c r="AF647" s="279"/>
      <c r="AG647" s="275"/>
      <c r="AH647" s="276"/>
      <c r="AI647" s="276"/>
      <c r="AJ647" s="274" t="s">
        <v>203</v>
      </c>
      <c r="AK647" s="274" t="s">
        <v>190</v>
      </c>
      <c r="AL647" s="274" t="s">
        <v>190</v>
      </c>
      <c r="AM647" s="260" t="s">
        <v>3859</v>
      </c>
      <c r="AN647" s="22">
        <v>182</v>
      </c>
      <c r="AO647" s="22">
        <v>0</v>
      </c>
      <c r="AP647" s="22">
        <v>20</v>
      </c>
      <c r="AQ647" s="22">
        <v>0</v>
      </c>
      <c r="AR647" s="22">
        <v>0</v>
      </c>
      <c r="AS647" s="22">
        <v>7</v>
      </c>
      <c r="AT647" s="22">
        <v>10</v>
      </c>
      <c r="AU647" s="316">
        <f t="shared" si="111"/>
        <v>219</v>
      </c>
      <c r="AV647" s="22">
        <v>190</v>
      </c>
      <c r="AW647" s="22">
        <v>0</v>
      </c>
      <c r="AX647" s="22">
        <v>20</v>
      </c>
      <c r="AY647" s="22">
        <v>0</v>
      </c>
      <c r="AZ647" s="22">
        <v>0</v>
      </c>
      <c r="BA647" s="22">
        <v>7</v>
      </c>
      <c r="BB647" s="22">
        <v>10</v>
      </c>
      <c r="BC647" s="316">
        <f t="shared" si="112"/>
        <v>227</v>
      </c>
      <c r="BD647" s="58">
        <f t="shared" si="113"/>
        <v>8</v>
      </c>
      <c r="BE647" s="58">
        <f t="shared" si="114"/>
        <v>0</v>
      </c>
      <c r="BF647" s="58">
        <f t="shared" si="115"/>
        <v>0</v>
      </c>
      <c r="BG647" s="58">
        <f t="shared" si="116"/>
        <v>0</v>
      </c>
      <c r="BH647" s="58">
        <f t="shared" si="117"/>
        <v>0</v>
      </c>
      <c r="BI647" s="58">
        <f t="shared" si="118"/>
        <v>0</v>
      </c>
      <c r="BJ647" s="58">
        <f t="shared" si="119"/>
        <v>0</v>
      </c>
      <c r="BK647" s="58">
        <f t="shared" si="120"/>
        <v>8</v>
      </c>
    </row>
    <row r="648" spans="1:63" ht="27" customHeight="1">
      <c r="A648" s="238">
        <f t="shared" si="121"/>
        <v>646</v>
      </c>
      <c r="B648" s="239"/>
      <c r="C648" s="266">
        <v>3577</v>
      </c>
      <c r="D648" s="241" t="s">
        <v>3989</v>
      </c>
      <c r="E648" s="267" t="s">
        <v>3990</v>
      </c>
      <c r="F648" s="268" t="s">
        <v>1212</v>
      </c>
      <c r="G648" s="269" t="s">
        <v>3497</v>
      </c>
      <c r="H648" s="245" t="s">
        <v>1214</v>
      </c>
      <c r="I648" s="246" t="s">
        <v>3991</v>
      </c>
      <c r="J648" s="270" t="s">
        <v>209</v>
      </c>
      <c r="K648" s="271">
        <v>36576</v>
      </c>
      <c r="L648" s="249" t="s">
        <v>179</v>
      </c>
      <c r="M648" s="272">
        <v>43746</v>
      </c>
      <c r="N648" s="272"/>
      <c r="O648" s="240" t="s">
        <v>3978</v>
      </c>
      <c r="P648" s="238" t="s">
        <v>3634</v>
      </c>
      <c r="Q648" s="238" t="s">
        <v>249</v>
      </c>
      <c r="R648" s="240" t="s">
        <v>182</v>
      </c>
      <c r="S648" s="240" t="s">
        <v>228</v>
      </c>
      <c r="T648" s="251"/>
      <c r="U648" s="273"/>
      <c r="V648" s="274" t="s">
        <v>184</v>
      </c>
      <c r="W648" s="274" t="s">
        <v>184</v>
      </c>
      <c r="X648" s="282">
        <v>7</v>
      </c>
      <c r="Y648" s="267" t="s">
        <v>3992</v>
      </c>
      <c r="Z648" s="274"/>
      <c r="AA648" s="277"/>
      <c r="AB648" s="274"/>
      <c r="AC648" s="274"/>
      <c r="AD648" s="275"/>
      <c r="AE648" s="275"/>
      <c r="AF648" s="279"/>
      <c r="AG648" s="275"/>
      <c r="AH648" s="276"/>
      <c r="AI648" s="276"/>
      <c r="AJ648" s="274" t="s">
        <v>190</v>
      </c>
      <c r="AK648" s="274" t="s">
        <v>190</v>
      </c>
      <c r="AL648" s="274" t="s">
        <v>190</v>
      </c>
      <c r="AM648" s="260"/>
      <c r="AN648" s="22">
        <v>182</v>
      </c>
      <c r="AO648" s="22">
        <v>0</v>
      </c>
      <c r="AP648" s="22">
        <v>20</v>
      </c>
      <c r="AQ648" s="22">
        <v>0</v>
      </c>
      <c r="AR648" s="22">
        <v>0</v>
      </c>
      <c r="AS648" s="22">
        <v>7</v>
      </c>
      <c r="AT648" s="22">
        <v>10</v>
      </c>
      <c r="AU648" s="316">
        <f t="shared" si="111"/>
        <v>219</v>
      </c>
      <c r="AV648" s="22">
        <v>190</v>
      </c>
      <c r="AW648" s="22">
        <v>0</v>
      </c>
      <c r="AX648" s="22">
        <v>20</v>
      </c>
      <c r="AY648" s="22">
        <v>0</v>
      </c>
      <c r="AZ648" s="22">
        <v>0</v>
      </c>
      <c r="BA648" s="22">
        <v>7</v>
      </c>
      <c r="BB648" s="22">
        <v>10</v>
      </c>
      <c r="BC648" s="316">
        <f t="shared" si="112"/>
        <v>227</v>
      </c>
      <c r="BD648" s="58">
        <f t="shared" si="113"/>
        <v>8</v>
      </c>
      <c r="BE648" s="58">
        <f t="shared" si="114"/>
        <v>0</v>
      </c>
      <c r="BF648" s="58">
        <f t="shared" si="115"/>
        <v>0</v>
      </c>
      <c r="BG648" s="58">
        <f t="shared" si="116"/>
        <v>0</v>
      </c>
      <c r="BH648" s="58">
        <f t="shared" si="117"/>
        <v>0</v>
      </c>
      <c r="BI648" s="58">
        <f t="shared" si="118"/>
        <v>0</v>
      </c>
      <c r="BJ648" s="58">
        <f t="shared" si="119"/>
        <v>0</v>
      </c>
      <c r="BK648" s="58">
        <f t="shared" si="120"/>
        <v>8</v>
      </c>
    </row>
    <row r="649" spans="1:63" ht="27" customHeight="1">
      <c r="A649" s="238">
        <f t="shared" si="121"/>
        <v>647</v>
      </c>
      <c r="B649" s="239"/>
      <c r="C649" s="266">
        <v>3594</v>
      </c>
      <c r="D649" s="241" t="s">
        <v>3993</v>
      </c>
      <c r="E649" s="267" t="s">
        <v>3994</v>
      </c>
      <c r="F649" s="268" t="s">
        <v>3995</v>
      </c>
      <c r="G649" s="269" t="s">
        <v>3996</v>
      </c>
      <c r="H649" s="245" t="s">
        <v>3997</v>
      </c>
      <c r="I649" s="246" t="s">
        <v>3998</v>
      </c>
      <c r="J649" s="270" t="s">
        <v>178</v>
      </c>
      <c r="K649" s="271">
        <v>29230</v>
      </c>
      <c r="L649" s="249" t="s">
        <v>179</v>
      </c>
      <c r="M649" s="272">
        <v>43749</v>
      </c>
      <c r="N649" s="272"/>
      <c r="O649" s="240" t="s">
        <v>3999</v>
      </c>
      <c r="P649" s="238" t="s">
        <v>3638</v>
      </c>
      <c r="Q649" s="238" t="s">
        <v>249</v>
      </c>
      <c r="R649" s="240" t="s">
        <v>182</v>
      </c>
      <c r="S649" s="240" t="s">
        <v>211</v>
      </c>
      <c r="T649" s="251"/>
      <c r="U649" s="273"/>
      <c r="V649" s="274" t="s">
        <v>184</v>
      </c>
      <c r="W649" s="274" t="s">
        <v>184</v>
      </c>
      <c r="X649" s="282">
        <v>5</v>
      </c>
      <c r="Y649" s="267" t="s">
        <v>4000</v>
      </c>
      <c r="Z649" s="274"/>
      <c r="AA649" s="277"/>
      <c r="AB649" s="274"/>
      <c r="AC649" s="274"/>
      <c r="AD649" s="275"/>
      <c r="AE649" s="275"/>
      <c r="AF649" s="279"/>
      <c r="AG649" s="275"/>
      <c r="AH649" s="276"/>
      <c r="AI649" s="276"/>
      <c r="AJ649" s="274" t="s">
        <v>190</v>
      </c>
      <c r="AK649" s="274" t="s">
        <v>190</v>
      </c>
      <c r="AL649" s="274" t="s">
        <v>190</v>
      </c>
      <c r="AM649" s="260" t="s">
        <v>3967</v>
      </c>
      <c r="AN649" s="22">
        <v>182</v>
      </c>
      <c r="AO649" s="22">
        <v>0</v>
      </c>
      <c r="AP649" s="22">
        <v>20</v>
      </c>
      <c r="AQ649" s="22">
        <v>0</v>
      </c>
      <c r="AR649" s="22">
        <v>0</v>
      </c>
      <c r="AS649" s="22">
        <v>7</v>
      </c>
      <c r="AT649" s="22">
        <v>10</v>
      </c>
      <c r="AU649" s="316">
        <f t="shared" si="111"/>
        <v>219</v>
      </c>
      <c r="AV649" s="22">
        <v>190</v>
      </c>
      <c r="AW649" s="22">
        <v>0</v>
      </c>
      <c r="AX649" s="22">
        <v>20</v>
      </c>
      <c r="AY649" s="22">
        <v>0</v>
      </c>
      <c r="AZ649" s="22">
        <v>0</v>
      </c>
      <c r="BA649" s="22">
        <v>7</v>
      </c>
      <c r="BB649" s="22">
        <v>10</v>
      </c>
      <c r="BC649" s="316">
        <f t="shared" si="112"/>
        <v>227</v>
      </c>
      <c r="BD649" s="58">
        <f t="shared" si="113"/>
        <v>8</v>
      </c>
      <c r="BE649" s="58">
        <f t="shared" si="114"/>
        <v>0</v>
      </c>
      <c r="BF649" s="58">
        <f t="shared" si="115"/>
        <v>0</v>
      </c>
      <c r="BG649" s="58">
        <f t="shared" si="116"/>
        <v>0</v>
      </c>
      <c r="BH649" s="58">
        <f t="shared" si="117"/>
        <v>0</v>
      </c>
      <c r="BI649" s="58">
        <f t="shared" si="118"/>
        <v>0</v>
      </c>
      <c r="BJ649" s="58">
        <f t="shared" si="119"/>
        <v>0</v>
      </c>
      <c r="BK649" s="58">
        <f t="shared" si="120"/>
        <v>8</v>
      </c>
    </row>
    <row r="650" spans="1:63" ht="27" customHeight="1">
      <c r="A650" s="238">
        <f t="shared" si="121"/>
        <v>648</v>
      </c>
      <c r="B650" s="239"/>
      <c r="C650" s="266">
        <v>3275</v>
      </c>
      <c r="D650" s="241" t="s">
        <v>4001</v>
      </c>
      <c r="E650" s="267" t="s">
        <v>4002</v>
      </c>
      <c r="F650" s="268" t="s">
        <v>4003</v>
      </c>
      <c r="G650" s="269" t="s">
        <v>976</v>
      </c>
      <c r="H650" s="245" t="s">
        <v>1425</v>
      </c>
      <c r="I650" s="246" t="s">
        <v>977</v>
      </c>
      <c r="J650" s="270" t="s">
        <v>178</v>
      </c>
      <c r="K650" s="271">
        <v>34295</v>
      </c>
      <c r="L650" s="249" t="s">
        <v>179</v>
      </c>
      <c r="M650" s="272">
        <v>43746</v>
      </c>
      <c r="N650" s="272"/>
      <c r="O650" s="240" t="s">
        <v>4004</v>
      </c>
      <c r="P650" s="238" t="s">
        <v>3833</v>
      </c>
      <c r="Q650" s="238" t="s">
        <v>249</v>
      </c>
      <c r="R650" s="240" t="s">
        <v>182</v>
      </c>
      <c r="S650" s="240" t="s">
        <v>219</v>
      </c>
      <c r="T650" s="251"/>
      <c r="U650" s="273"/>
      <c r="V650" s="274" t="s">
        <v>184</v>
      </c>
      <c r="W650" s="274" t="s">
        <v>184</v>
      </c>
      <c r="X650" s="282">
        <v>2</v>
      </c>
      <c r="Y650" s="267" t="s">
        <v>4005</v>
      </c>
      <c r="Z650" s="274"/>
      <c r="AA650" s="277" t="s">
        <v>186</v>
      </c>
      <c r="AB650" s="274"/>
      <c r="AC650" s="274"/>
      <c r="AD650" s="275"/>
      <c r="AE650" s="275"/>
      <c r="AF650" s="279"/>
      <c r="AG650" s="275"/>
      <c r="AH650" s="276"/>
      <c r="AI650" s="276"/>
      <c r="AJ650" s="274" t="s">
        <v>203</v>
      </c>
      <c r="AK650" s="274" t="s">
        <v>190</v>
      </c>
      <c r="AL650" s="274" t="s">
        <v>190</v>
      </c>
      <c r="AM650" s="260" t="s">
        <v>3859</v>
      </c>
      <c r="AN650" s="22">
        <v>182</v>
      </c>
      <c r="AO650" s="22">
        <v>0</v>
      </c>
      <c r="AP650" s="22">
        <v>20</v>
      </c>
      <c r="AQ650" s="22">
        <v>0</v>
      </c>
      <c r="AR650" s="22">
        <v>0</v>
      </c>
      <c r="AS650" s="22">
        <v>7</v>
      </c>
      <c r="AT650" s="22">
        <v>10</v>
      </c>
      <c r="AU650" s="316">
        <f t="shared" si="111"/>
        <v>219</v>
      </c>
      <c r="AV650" s="22">
        <v>190</v>
      </c>
      <c r="AW650" s="22">
        <v>0</v>
      </c>
      <c r="AX650" s="22">
        <v>20</v>
      </c>
      <c r="AY650" s="22">
        <v>0</v>
      </c>
      <c r="AZ650" s="22">
        <v>0</v>
      </c>
      <c r="BA650" s="22">
        <v>7</v>
      </c>
      <c r="BB650" s="22">
        <v>10</v>
      </c>
      <c r="BC650" s="316">
        <f t="shared" si="112"/>
        <v>227</v>
      </c>
      <c r="BD650" s="58">
        <f t="shared" si="113"/>
        <v>8</v>
      </c>
      <c r="BE650" s="58">
        <f t="shared" si="114"/>
        <v>0</v>
      </c>
      <c r="BF650" s="58">
        <f t="shared" si="115"/>
        <v>0</v>
      </c>
      <c r="BG650" s="58">
        <f t="shared" si="116"/>
        <v>0</v>
      </c>
      <c r="BH650" s="58">
        <f t="shared" si="117"/>
        <v>0</v>
      </c>
      <c r="BI650" s="58">
        <f t="shared" si="118"/>
        <v>0</v>
      </c>
      <c r="BJ650" s="58">
        <f t="shared" si="119"/>
        <v>0</v>
      </c>
      <c r="BK650" s="58">
        <f t="shared" si="120"/>
        <v>8</v>
      </c>
    </row>
    <row r="651" spans="1:63" ht="27" customHeight="1">
      <c r="A651" s="238">
        <f t="shared" si="121"/>
        <v>649</v>
      </c>
      <c r="B651" s="239"/>
      <c r="C651" s="266">
        <v>3252</v>
      </c>
      <c r="D651" s="241" t="s">
        <v>4006</v>
      </c>
      <c r="E651" s="267" t="s">
        <v>4007</v>
      </c>
      <c r="F651" s="268" t="s">
        <v>2913</v>
      </c>
      <c r="G651" s="269" t="s">
        <v>4008</v>
      </c>
      <c r="H651" s="245" t="s">
        <v>1047</v>
      </c>
      <c r="I651" s="246" t="s">
        <v>4009</v>
      </c>
      <c r="J651" s="270" t="s">
        <v>209</v>
      </c>
      <c r="K651" s="271">
        <v>35498</v>
      </c>
      <c r="L651" s="249" t="s">
        <v>179</v>
      </c>
      <c r="M651" s="272">
        <v>43745</v>
      </c>
      <c r="N651" s="272"/>
      <c r="O651" s="240" t="s">
        <v>3999</v>
      </c>
      <c r="P651" s="238" t="s">
        <v>3754</v>
      </c>
      <c r="Q651" s="238" t="s">
        <v>249</v>
      </c>
      <c r="R651" s="240" t="s">
        <v>182</v>
      </c>
      <c r="S651" s="240" t="s">
        <v>310</v>
      </c>
      <c r="T651" s="251"/>
      <c r="U651" s="273"/>
      <c r="V651" s="274" t="s">
        <v>184</v>
      </c>
      <c r="W651" s="274" t="s">
        <v>184</v>
      </c>
      <c r="X651" s="282">
        <v>7</v>
      </c>
      <c r="Y651" s="267" t="s">
        <v>4010</v>
      </c>
      <c r="Z651" s="277" t="s">
        <v>186</v>
      </c>
      <c r="AA651" s="277"/>
      <c r="AB651" s="274"/>
      <c r="AC651" s="274"/>
      <c r="AD651" s="275"/>
      <c r="AE651" s="275"/>
      <c r="AF651" s="279"/>
      <c r="AG651" s="275"/>
      <c r="AH651" s="276"/>
      <c r="AI651" s="276"/>
      <c r="AJ651" s="274" t="s">
        <v>190</v>
      </c>
      <c r="AK651" s="274" t="s">
        <v>190</v>
      </c>
      <c r="AL651" s="274" t="s">
        <v>190</v>
      </c>
      <c r="AM651" s="260" t="s">
        <v>3967</v>
      </c>
      <c r="AN651" s="22">
        <v>182</v>
      </c>
      <c r="AO651" s="22">
        <v>0</v>
      </c>
      <c r="AP651" s="22">
        <v>0</v>
      </c>
      <c r="AQ651" s="22">
        <v>0</v>
      </c>
      <c r="AR651" s="22">
        <v>0</v>
      </c>
      <c r="AS651" s="22">
        <v>7</v>
      </c>
      <c r="AT651" s="22">
        <v>10</v>
      </c>
      <c r="AU651" s="316">
        <f t="shared" si="111"/>
        <v>199</v>
      </c>
      <c r="AV651" s="22">
        <v>190</v>
      </c>
      <c r="AW651" s="22">
        <v>0</v>
      </c>
      <c r="AX651" s="22">
        <v>0</v>
      </c>
      <c r="AY651" s="22">
        <v>0</v>
      </c>
      <c r="AZ651" s="22">
        <v>0</v>
      </c>
      <c r="BA651" s="22">
        <v>7</v>
      </c>
      <c r="BB651" s="22">
        <v>10</v>
      </c>
      <c r="BC651" s="316">
        <f t="shared" si="112"/>
        <v>207</v>
      </c>
      <c r="BD651" s="58">
        <f t="shared" si="113"/>
        <v>8</v>
      </c>
      <c r="BE651" s="58">
        <f t="shared" si="114"/>
        <v>0</v>
      </c>
      <c r="BF651" s="58">
        <f t="shared" si="115"/>
        <v>0</v>
      </c>
      <c r="BG651" s="58">
        <f t="shared" si="116"/>
        <v>0</v>
      </c>
      <c r="BH651" s="58">
        <f t="shared" si="117"/>
        <v>0</v>
      </c>
      <c r="BI651" s="58">
        <f t="shared" si="118"/>
        <v>0</v>
      </c>
      <c r="BJ651" s="58">
        <f t="shared" si="119"/>
        <v>0</v>
      </c>
      <c r="BK651" s="58">
        <f t="shared" si="120"/>
        <v>8</v>
      </c>
    </row>
    <row r="652" spans="1:63" ht="27" customHeight="1">
      <c r="A652" s="238">
        <f t="shared" si="121"/>
        <v>650</v>
      </c>
      <c r="B652" s="239"/>
      <c r="C652" s="266">
        <v>3286</v>
      </c>
      <c r="D652" s="241" t="s">
        <v>4011</v>
      </c>
      <c r="E652" s="267" t="s">
        <v>4012</v>
      </c>
      <c r="F652" s="268" t="s">
        <v>830</v>
      </c>
      <c r="G652" s="269" t="s">
        <v>413</v>
      </c>
      <c r="H652" s="245" t="s">
        <v>1804</v>
      </c>
      <c r="I652" s="246" t="s">
        <v>4013</v>
      </c>
      <c r="J652" s="270" t="s">
        <v>178</v>
      </c>
      <c r="K652" s="271">
        <v>30871</v>
      </c>
      <c r="L652" s="249" t="s">
        <v>179</v>
      </c>
      <c r="M652" s="272">
        <v>43746</v>
      </c>
      <c r="N652" s="272"/>
      <c r="O652" s="240" t="s">
        <v>4004</v>
      </c>
      <c r="P652" s="238" t="s">
        <v>3833</v>
      </c>
      <c r="Q652" s="238" t="s">
        <v>249</v>
      </c>
      <c r="R652" s="240" t="s">
        <v>182</v>
      </c>
      <c r="S652" s="240" t="s">
        <v>228</v>
      </c>
      <c r="T652" s="251"/>
      <c r="U652" s="273"/>
      <c r="V652" s="274" t="s">
        <v>184</v>
      </c>
      <c r="W652" s="274" t="s">
        <v>184</v>
      </c>
      <c r="X652" s="282">
        <v>3</v>
      </c>
      <c r="Y652" s="267" t="s">
        <v>4014</v>
      </c>
      <c r="Z652" s="274"/>
      <c r="AA652" s="277" t="s">
        <v>186</v>
      </c>
      <c r="AB652" s="274"/>
      <c r="AC652" s="274"/>
      <c r="AD652" s="275"/>
      <c r="AE652" s="275"/>
      <c r="AF652" s="279"/>
      <c r="AG652" s="275"/>
      <c r="AH652" s="276"/>
      <c r="AI652" s="276"/>
      <c r="AJ652" s="274" t="s">
        <v>203</v>
      </c>
      <c r="AK652" s="274" t="s">
        <v>190</v>
      </c>
      <c r="AL652" s="274" t="s">
        <v>190</v>
      </c>
      <c r="AM652" s="260" t="s">
        <v>3967</v>
      </c>
      <c r="AN652" s="22">
        <v>182</v>
      </c>
      <c r="AO652" s="22">
        <v>0</v>
      </c>
      <c r="AP652" s="22">
        <v>20</v>
      </c>
      <c r="AQ652" s="22">
        <v>0</v>
      </c>
      <c r="AR652" s="22">
        <v>0</v>
      </c>
      <c r="AS652" s="22">
        <v>7</v>
      </c>
      <c r="AT652" s="22">
        <v>10</v>
      </c>
      <c r="AU652" s="316">
        <f t="shared" si="111"/>
        <v>219</v>
      </c>
      <c r="AV652" s="22">
        <v>190</v>
      </c>
      <c r="AW652" s="22">
        <v>0</v>
      </c>
      <c r="AX652" s="22">
        <v>20</v>
      </c>
      <c r="AY652" s="22">
        <v>0</v>
      </c>
      <c r="AZ652" s="22">
        <v>0</v>
      </c>
      <c r="BA652" s="22">
        <v>7</v>
      </c>
      <c r="BB652" s="22">
        <v>10</v>
      </c>
      <c r="BC652" s="316">
        <f t="shared" si="112"/>
        <v>227</v>
      </c>
      <c r="BD652" s="58">
        <f t="shared" si="113"/>
        <v>8</v>
      </c>
      <c r="BE652" s="58">
        <f t="shared" si="114"/>
        <v>0</v>
      </c>
      <c r="BF652" s="58">
        <f t="shared" si="115"/>
        <v>0</v>
      </c>
      <c r="BG652" s="58">
        <f t="shared" si="116"/>
        <v>0</v>
      </c>
      <c r="BH652" s="58">
        <f t="shared" si="117"/>
        <v>0</v>
      </c>
      <c r="BI652" s="58">
        <f t="shared" si="118"/>
        <v>0</v>
      </c>
      <c r="BJ652" s="58">
        <f t="shared" si="119"/>
        <v>0</v>
      </c>
      <c r="BK652" s="58">
        <f t="shared" si="120"/>
        <v>8</v>
      </c>
    </row>
    <row r="653" spans="1:63" ht="27" customHeight="1">
      <c r="A653" s="238">
        <f t="shared" si="121"/>
        <v>651</v>
      </c>
      <c r="B653" s="239"/>
      <c r="C653" s="266">
        <v>3279</v>
      </c>
      <c r="D653" s="241" t="s">
        <v>4015</v>
      </c>
      <c r="E653" s="267" t="s">
        <v>4016</v>
      </c>
      <c r="F653" s="268" t="s">
        <v>1814</v>
      </c>
      <c r="G653" s="269" t="s">
        <v>4017</v>
      </c>
      <c r="H653" s="245" t="s">
        <v>2298</v>
      </c>
      <c r="I653" s="246" t="s">
        <v>4018</v>
      </c>
      <c r="J653" s="270" t="s">
        <v>178</v>
      </c>
      <c r="K653" s="271">
        <v>32688</v>
      </c>
      <c r="L653" s="249" t="s">
        <v>179</v>
      </c>
      <c r="M653" s="272">
        <v>43746</v>
      </c>
      <c r="N653" s="272"/>
      <c r="O653" s="240" t="s">
        <v>3999</v>
      </c>
      <c r="P653" s="238" t="s">
        <v>3649</v>
      </c>
      <c r="Q653" s="238" t="s">
        <v>249</v>
      </c>
      <c r="R653" s="240" t="s">
        <v>182</v>
      </c>
      <c r="S653" s="240" t="s">
        <v>4019</v>
      </c>
      <c r="T653" s="251"/>
      <c r="U653" s="273"/>
      <c r="V653" s="274" t="s">
        <v>184</v>
      </c>
      <c r="W653" s="274" t="s">
        <v>184</v>
      </c>
      <c r="X653" s="282">
        <v>4</v>
      </c>
      <c r="Y653" s="267" t="s">
        <v>4020</v>
      </c>
      <c r="Z653" s="277"/>
      <c r="AA653" s="277"/>
      <c r="AB653" s="274"/>
      <c r="AC653" s="274"/>
      <c r="AD653" s="275"/>
      <c r="AE653" s="275"/>
      <c r="AF653" s="279"/>
      <c r="AG653" s="275"/>
      <c r="AH653" s="276"/>
      <c r="AI653" s="276"/>
      <c r="AJ653" s="274" t="s">
        <v>203</v>
      </c>
      <c r="AK653" s="274" t="s">
        <v>190</v>
      </c>
      <c r="AL653" s="274" t="s">
        <v>190</v>
      </c>
      <c r="AM653" s="260" t="s">
        <v>3859</v>
      </c>
      <c r="AN653" s="22">
        <v>182</v>
      </c>
      <c r="AO653" s="22">
        <v>0</v>
      </c>
      <c r="AP653" s="22">
        <v>0</v>
      </c>
      <c r="AQ653" s="22">
        <v>0</v>
      </c>
      <c r="AR653" s="22">
        <v>0</v>
      </c>
      <c r="AS653" s="22">
        <v>7</v>
      </c>
      <c r="AT653" s="22">
        <v>10</v>
      </c>
      <c r="AU653" s="316">
        <f t="shared" si="111"/>
        <v>199</v>
      </c>
      <c r="AV653" s="22">
        <v>190</v>
      </c>
      <c r="AW653" s="22">
        <v>0</v>
      </c>
      <c r="AX653" s="22">
        <v>0</v>
      </c>
      <c r="AY653" s="22">
        <v>0</v>
      </c>
      <c r="AZ653" s="22">
        <v>0</v>
      </c>
      <c r="BA653" s="22">
        <v>7</v>
      </c>
      <c r="BB653" s="22">
        <v>10</v>
      </c>
      <c r="BC653" s="316">
        <f t="shared" si="112"/>
        <v>207</v>
      </c>
      <c r="BD653" s="58">
        <f t="shared" si="113"/>
        <v>8</v>
      </c>
      <c r="BE653" s="58">
        <f t="shared" si="114"/>
        <v>0</v>
      </c>
      <c r="BF653" s="58">
        <f t="shared" si="115"/>
        <v>0</v>
      </c>
      <c r="BG653" s="58">
        <f t="shared" si="116"/>
        <v>0</v>
      </c>
      <c r="BH653" s="58">
        <f t="shared" si="117"/>
        <v>0</v>
      </c>
      <c r="BI653" s="58">
        <f t="shared" si="118"/>
        <v>0</v>
      </c>
      <c r="BJ653" s="58">
        <f t="shared" si="119"/>
        <v>0</v>
      </c>
      <c r="BK653" s="58">
        <f t="shared" si="120"/>
        <v>8</v>
      </c>
    </row>
    <row r="654" spans="1:63" ht="27" customHeight="1">
      <c r="A654" s="238">
        <f t="shared" si="121"/>
        <v>652</v>
      </c>
      <c r="B654" s="239"/>
      <c r="C654" s="266">
        <v>3566</v>
      </c>
      <c r="D654" s="241" t="s">
        <v>4021</v>
      </c>
      <c r="E654" s="267" t="s">
        <v>4022</v>
      </c>
      <c r="F654" s="268" t="s">
        <v>3478</v>
      </c>
      <c r="G654" s="269" t="s">
        <v>881</v>
      </c>
      <c r="H654" s="245" t="s">
        <v>4023</v>
      </c>
      <c r="I654" s="246" t="s">
        <v>882</v>
      </c>
      <c r="J654" s="270" t="s">
        <v>178</v>
      </c>
      <c r="K654" s="271">
        <v>27122</v>
      </c>
      <c r="L654" s="249" t="s">
        <v>179</v>
      </c>
      <c r="M654" s="272">
        <v>43746</v>
      </c>
      <c r="N654" s="272"/>
      <c r="O654" s="240" t="s">
        <v>4024</v>
      </c>
      <c r="P654" s="238" t="s">
        <v>3785</v>
      </c>
      <c r="Q654" s="238" t="s">
        <v>249</v>
      </c>
      <c r="R654" s="240" t="s">
        <v>182</v>
      </c>
      <c r="S654" s="240" t="s">
        <v>219</v>
      </c>
      <c r="T654" s="251"/>
      <c r="U654" s="273"/>
      <c r="V654" s="274" t="s">
        <v>184</v>
      </c>
      <c r="W654" s="274" t="s">
        <v>184</v>
      </c>
      <c r="X654" s="282">
        <v>8</v>
      </c>
      <c r="Y654" s="267" t="s">
        <v>4025</v>
      </c>
      <c r="Z654" s="277"/>
      <c r="AA654" s="277" t="s">
        <v>186</v>
      </c>
      <c r="AB654" s="274"/>
      <c r="AC654" s="274"/>
      <c r="AD654" s="275"/>
      <c r="AE654" s="275"/>
      <c r="AF654" s="279"/>
      <c r="AG654" s="275"/>
      <c r="AH654" s="276"/>
      <c r="AI654" s="276"/>
      <c r="AJ654" s="274" t="s">
        <v>203</v>
      </c>
      <c r="AK654" s="274" t="s">
        <v>190</v>
      </c>
      <c r="AL654" s="274" t="s">
        <v>190</v>
      </c>
      <c r="AM654" s="260" t="s">
        <v>3859</v>
      </c>
      <c r="AN654" s="22">
        <v>182</v>
      </c>
      <c r="AO654" s="22">
        <v>0</v>
      </c>
      <c r="AP654" s="22">
        <v>20</v>
      </c>
      <c r="AQ654" s="22">
        <v>0</v>
      </c>
      <c r="AR654" s="22">
        <v>0</v>
      </c>
      <c r="AS654" s="22">
        <v>7</v>
      </c>
      <c r="AT654" s="22">
        <v>10</v>
      </c>
      <c r="AU654" s="316">
        <f t="shared" si="111"/>
        <v>219</v>
      </c>
      <c r="AV654" s="22">
        <v>190</v>
      </c>
      <c r="AW654" s="22">
        <v>0</v>
      </c>
      <c r="AX654" s="22">
        <v>20</v>
      </c>
      <c r="AY654" s="22">
        <v>0</v>
      </c>
      <c r="AZ654" s="22">
        <v>0</v>
      </c>
      <c r="BA654" s="22">
        <v>7</v>
      </c>
      <c r="BB654" s="22">
        <v>10</v>
      </c>
      <c r="BC654" s="316">
        <f t="shared" si="112"/>
        <v>227</v>
      </c>
      <c r="BD654" s="58">
        <f t="shared" si="113"/>
        <v>8</v>
      </c>
      <c r="BE654" s="58">
        <f t="shared" si="114"/>
        <v>0</v>
      </c>
      <c r="BF654" s="58">
        <f t="shared" si="115"/>
        <v>0</v>
      </c>
      <c r="BG654" s="58">
        <f t="shared" si="116"/>
        <v>0</v>
      </c>
      <c r="BH654" s="58">
        <f t="shared" si="117"/>
        <v>0</v>
      </c>
      <c r="BI654" s="58">
        <f t="shared" si="118"/>
        <v>0</v>
      </c>
      <c r="BJ654" s="58">
        <f t="shared" si="119"/>
        <v>0</v>
      </c>
      <c r="BK654" s="58">
        <f t="shared" si="120"/>
        <v>8</v>
      </c>
    </row>
    <row r="655" spans="1:63" ht="27" customHeight="1">
      <c r="A655" s="238">
        <f t="shared" si="121"/>
        <v>653</v>
      </c>
      <c r="B655" s="239"/>
      <c r="C655" s="266">
        <v>3516</v>
      </c>
      <c r="D655" s="241" t="s">
        <v>4026</v>
      </c>
      <c r="E655" s="267" t="s">
        <v>4027</v>
      </c>
      <c r="F655" s="268" t="s">
        <v>4028</v>
      </c>
      <c r="G655" s="269" t="s">
        <v>4029</v>
      </c>
      <c r="H655" s="245" t="s">
        <v>4030</v>
      </c>
      <c r="I655" s="246" t="s">
        <v>4031</v>
      </c>
      <c r="J655" s="270" t="s">
        <v>178</v>
      </c>
      <c r="K655" s="271">
        <v>30384</v>
      </c>
      <c r="L655" s="249" t="s">
        <v>179</v>
      </c>
      <c r="M655" s="272">
        <v>43746</v>
      </c>
      <c r="N655" s="272"/>
      <c r="O655" s="240" t="s">
        <v>3999</v>
      </c>
      <c r="P655" s="238" t="s">
        <v>3634</v>
      </c>
      <c r="Q655" s="238" t="s">
        <v>249</v>
      </c>
      <c r="R655" s="240" t="s">
        <v>182</v>
      </c>
      <c r="S655" s="240" t="s">
        <v>1206</v>
      </c>
      <c r="T655" s="251"/>
      <c r="U655" s="273"/>
      <c r="V655" s="274" t="s">
        <v>184</v>
      </c>
      <c r="W655" s="274" t="s">
        <v>184</v>
      </c>
      <c r="X655" s="282">
        <v>6</v>
      </c>
      <c r="Y655" s="267" t="s">
        <v>4032</v>
      </c>
      <c r="Z655" s="274"/>
      <c r="AA655" s="277" t="s">
        <v>186</v>
      </c>
      <c r="AB655" s="274"/>
      <c r="AC655" s="286"/>
      <c r="AD655" s="286"/>
      <c r="AE655" s="286"/>
      <c r="AF655" s="279"/>
      <c r="AG655" s="275"/>
      <c r="AH655" s="276"/>
      <c r="AI655" s="276"/>
      <c r="AJ655" s="274" t="s">
        <v>203</v>
      </c>
      <c r="AK655" s="274" t="s">
        <v>190</v>
      </c>
      <c r="AL655" s="274" t="s">
        <v>190</v>
      </c>
      <c r="AM655" s="260" t="s">
        <v>4033</v>
      </c>
      <c r="AN655" s="22">
        <v>182</v>
      </c>
      <c r="AO655" s="22">
        <v>0</v>
      </c>
      <c r="AP655" s="22">
        <v>20</v>
      </c>
      <c r="AQ655" s="22">
        <v>0</v>
      </c>
      <c r="AR655" s="22">
        <v>0</v>
      </c>
      <c r="AS655" s="22">
        <v>7</v>
      </c>
      <c r="AT655" s="22">
        <v>10</v>
      </c>
      <c r="AU655" s="316">
        <f t="shared" si="111"/>
        <v>219</v>
      </c>
      <c r="AV655" s="22">
        <v>190</v>
      </c>
      <c r="AW655" s="22">
        <v>0</v>
      </c>
      <c r="AX655" s="22">
        <v>20</v>
      </c>
      <c r="AY655" s="22">
        <v>0</v>
      </c>
      <c r="AZ655" s="22">
        <v>0</v>
      </c>
      <c r="BA655" s="22">
        <v>7</v>
      </c>
      <c r="BB655" s="22">
        <v>10</v>
      </c>
      <c r="BC655" s="316">
        <f t="shared" si="112"/>
        <v>227</v>
      </c>
      <c r="BD655" s="58">
        <f t="shared" si="113"/>
        <v>8</v>
      </c>
      <c r="BE655" s="58">
        <f t="shared" si="114"/>
        <v>0</v>
      </c>
      <c r="BF655" s="58">
        <f t="shared" si="115"/>
        <v>0</v>
      </c>
      <c r="BG655" s="58">
        <f t="shared" si="116"/>
        <v>0</v>
      </c>
      <c r="BH655" s="58">
        <f t="shared" si="117"/>
        <v>0</v>
      </c>
      <c r="BI655" s="58">
        <f t="shared" si="118"/>
        <v>0</v>
      </c>
      <c r="BJ655" s="58">
        <f t="shared" si="119"/>
        <v>0</v>
      </c>
      <c r="BK655" s="58">
        <f t="shared" si="120"/>
        <v>8</v>
      </c>
    </row>
    <row r="656" spans="1:63" ht="27" customHeight="1">
      <c r="A656" s="238">
        <f t="shared" si="121"/>
        <v>654</v>
      </c>
      <c r="B656" s="239"/>
      <c r="C656" s="266">
        <v>3552</v>
      </c>
      <c r="D656" s="241" t="s">
        <v>4034</v>
      </c>
      <c r="E656" s="267" t="s">
        <v>4035</v>
      </c>
      <c r="F656" s="268" t="s">
        <v>649</v>
      </c>
      <c r="G656" s="269" t="s">
        <v>3497</v>
      </c>
      <c r="H656" s="245" t="s">
        <v>1536</v>
      </c>
      <c r="I656" s="246" t="s">
        <v>4036</v>
      </c>
      <c r="J656" s="270" t="s">
        <v>209</v>
      </c>
      <c r="K656" s="271">
        <v>37032</v>
      </c>
      <c r="L656" s="249" t="s">
        <v>179</v>
      </c>
      <c r="M656" s="272">
        <v>43747</v>
      </c>
      <c r="N656" s="272"/>
      <c r="O656" s="240" t="s">
        <v>4037</v>
      </c>
      <c r="P656" s="238" t="s">
        <v>3770</v>
      </c>
      <c r="Q656" s="238" t="s">
        <v>249</v>
      </c>
      <c r="R656" s="240" t="s">
        <v>182</v>
      </c>
      <c r="S656" s="240" t="s">
        <v>228</v>
      </c>
      <c r="T656" s="251"/>
      <c r="U656" s="273"/>
      <c r="V656" s="274" t="s">
        <v>184</v>
      </c>
      <c r="W656" s="274" t="s">
        <v>184</v>
      </c>
      <c r="X656" s="282">
        <v>7</v>
      </c>
      <c r="Y656" s="267" t="s">
        <v>4038</v>
      </c>
      <c r="Z656" s="277" t="s">
        <v>186</v>
      </c>
      <c r="AA656" s="277"/>
      <c r="AB656" s="274"/>
      <c r="AC656" s="286"/>
      <c r="AD656" s="286"/>
      <c r="AE656" s="286"/>
      <c r="AF656" s="288"/>
      <c r="AG656" s="275"/>
      <c r="AH656" s="276"/>
      <c r="AI656" s="276"/>
      <c r="AJ656" s="274" t="s">
        <v>203</v>
      </c>
      <c r="AK656" s="274" t="s">
        <v>190</v>
      </c>
      <c r="AL656" s="274" t="s">
        <v>190</v>
      </c>
      <c r="AM656" s="289"/>
      <c r="AN656" s="22">
        <v>182</v>
      </c>
      <c r="AO656" s="22">
        <v>0</v>
      </c>
      <c r="AP656" s="22">
        <v>20</v>
      </c>
      <c r="AQ656" s="22">
        <v>0</v>
      </c>
      <c r="AR656" s="22">
        <v>0</v>
      </c>
      <c r="AS656" s="22">
        <v>7</v>
      </c>
      <c r="AT656" s="22">
        <v>10</v>
      </c>
      <c r="AU656" s="316">
        <f t="shared" si="111"/>
        <v>219</v>
      </c>
      <c r="AV656" s="22">
        <v>190</v>
      </c>
      <c r="AW656" s="22">
        <v>0</v>
      </c>
      <c r="AX656" s="22">
        <v>20</v>
      </c>
      <c r="AY656" s="22">
        <v>0</v>
      </c>
      <c r="AZ656" s="22">
        <v>0</v>
      </c>
      <c r="BA656" s="22">
        <v>7</v>
      </c>
      <c r="BB656" s="22">
        <v>10</v>
      </c>
      <c r="BC656" s="316">
        <f t="shared" si="112"/>
        <v>227</v>
      </c>
      <c r="BD656" s="58">
        <f t="shared" si="113"/>
        <v>8</v>
      </c>
      <c r="BE656" s="58">
        <f t="shared" si="114"/>
        <v>0</v>
      </c>
      <c r="BF656" s="58">
        <f t="shared" si="115"/>
        <v>0</v>
      </c>
      <c r="BG656" s="58">
        <f t="shared" si="116"/>
        <v>0</v>
      </c>
      <c r="BH656" s="58">
        <f t="shared" si="117"/>
        <v>0</v>
      </c>
      <c r="BI656" s="58">
        <f t="shared" si="118"/>
        <v>0</v>
      </c>
      <c r="BJ656" s="58">
        <f t="shared" si="119"/>
        <v>0</v>
      </c>
      <c r="BK656" s="58">
        <f t="shared" si="120"/>
        <v>8</v>
      </c>
    </row>
    <row r="657" spans="1:63" ht="27" customHeight="1">
      <c r="A657" s="238">
        <f t="shared" si="121"/>
        <v>655</v>
      </c>
      <c r="B657" s="239"/>
      <c r="C657" s="266">
        <v>3520</v>
      </c>
      <c r="D657" s="241" t="s">
        <v>4039</v>
      </c>
      <c r="E657" s="267" t="s">
        <v>4040</v>
      </c>
      <c r="F657" s="268" t="s">
        <v>4041</v>
      </c>
      <c r="G657" s="269" t="s">
        <v>838</v>
      </c>
      <c r="H657" s="245" t="s">
        <v>4042</v>
      </c>
      <c r="I657" s="246" t="s">
        <v>840</v>
      </c>
      <c r="J657" s="270" t="s">
        <v>178</v>
      </c>
      <c r="K657" s="271">
        <v>30353</v>
      </c>
      <c r="L657" s="249" t="s">
        <v>179</v>
      </c>
      <c r="M657" s="272">
        <v>43746</v>
      </c>
      <c r="N657" s="272"/>
      <c r="O657" s="240" t="s">
        <v>3999</v>
      </c>
      <c r="P657" s="238" t="s">
        <v>3638</v>
      </c>
      <c r="Q657" s="238" t="s">
        <v>249</v>
      </c>
      <c r="R657" s="240" t="s">
        <v>182</v>
      </c>
      <c r="S657" s="240" t="s">
        <v>183</v>
      </c>
      <c r="T657" s="251"/>
      <c r="U657" s="273"/>
      <c r="V657" s="274" t="s">
        <v>184</v>
      </c>
      <c r="W657" s="274" t="s">
        <v>184</v>
      </c>
      <c r="X657" s="282">
        <v>4</v>
      </c>
      <c r="Y657" s="267" t="s">
        <v>4043</v>
      </c>
      <c r="Z657" s="274"/>
      <c r="AA657" s="277"/>
      <c r="AB657" s="274"/>
      <c r="AC657" s="286"/>
      <c r="AD657" s="286"/>
      <c r="AE657" s="286"/>
      <c r="AF657" s="288"/>
      <c r="AG657" s="275"/>
      <c r="AH657" s="276"/>
      <c r="AI657" s="276"/>
      <c r="AJ657" s="274" t="s">
        <v>203</v>
      </c>
      <c r="AK657" s="274" t="s">
        <v>190</v>
      </c>
      <c r="AL657" s="274" t="s">
        <v>190</v>
      </c>
      <c r="AM657" s="260" t="s">
        <v>3859</v>
      </c>
      <c r="AN657" s="22">
        <v>182</v>
      </c>
      <c r="AO657" s="22">
        <v>0</v>
      </c>
      <c r="AP657" s="22">
        <v>20</v>
      </c>
      <c r="AQ657" s="22">
        <v>0</v>
      </c>
      <c r="AR657" s="22">
        <v>0</v>
      </c>
      <c r="AS657" s="22">
        <v>7</v>
      </c>
      <c r="AT657" s="22">
        <v>10</v>
      </c>
      <c r="AU657" s="316">
        <f t="shared" si="111"/>
        <v>219</v>
      </c>
      <c r="AV657" s="22">
        <v>190</v>
      </c>
      <c r="AW657" s="22">
        <v>0</v>
      </c>
      <c r="AX657" s="22">
        <v>20</v>
      </c>
      <c r="AY657" s="22">
        <v>0</v>
      </c>
      <c r="AZ657" s="22">
        <v>0</v>
      </c>
      <c r="BA657" s="22">
        <v>7</v>
      </c>
      <c r="BB657" s="22">
        <v>10</v>
      </c>
      <c r="BC657" s="316">
        <f t="shared" si="112"/>
        <v>227</v>
      </c>
      <c r="BD657" s="58">
        <f t="shared" si="113"/>
        <v>8</v>
      </c>
      <c r="BE657" s="58">
        <f t="shared" si="114"/>
        <v>0</v>
      </c>
      <c r="BF657" s="58">
        <f t="shared" si="115"/>
        <v>0</v>
      </c>
      <c r="BG657" s="58">
        <f t="shared" si="116"/>
        <v>0</v>
      </c>
      <c r="BH657" s="58">
        <f t="shared" si="117"/>
        <v>0</v>
      </c>
      <c r="BI657" s="58">
        <f t="shared" si="118"/>
        <v>0</v>
      </c>
      <c r="BJ657" s="58">
        <f t="shared" si="119"/>
        <v>0</v>
      </c>
      <c r="BK657" s="58">
        <f t="shared" si="120"/>
        <v>8</v>
      </c>
    </row>
    <row r="658" spans="1:63" ht="27" customHeight="1">
      <c r="A658" s="238">
        <f t="shared" si="121"/>
        <v>656</v>
      </c>
      <c r="B658" s="239"/>
      <c r="C658" s="266">
        <v>3544</v>
      </c>
      <c r="D658" s="241" t="s">
        <v>4044</v>
      </c>
      <c r="E658" s="267" t="s">
        <v>4045</v>
      </c>
      <c r="F658" s="268" t="s">
        <v>3656</v>
      </c>
      <c r="G658" s="269" t="s">
        <v>4046</v>
      </c>
      <c r="H658" s="245" t="s">
        <v>4047</v>
      </c>
      <c r="I658" s="246" t="s">
        <v>4048</v>
      </c>
      <c r="J658" s="270" t="s">
        <v>178</v>
      </c>
      <c r="K658" s="271">
        <v>34142</v>
      </c>
      <c r="L658" s="249" t="s">
        <v>179</v>
      </c>
      <c r="M658" s="272">
        <v>43747</v>
      </c>
      <c r="N658" s="272"/>
      <c r="O658" s="240" t="s">
        <v>4024</v>
      </c>
      <c r="P658" s="238" t="s">
        <v>3959</v>
      </c>
      <c r="Q658" s="238" t="s">
        <v>249</v>
      </c>
      <c r="R658" s="240" t="s">
        <v>182</v>
      </c>
      <c r="S658" s="240" t="s">
        <v>228</v>
      </c>
      <c r="T658" s="251"/>
      <c r="U658" s="273"/>
      <c r="V658" s="274" t="s">
        <v>184</v>
      </c>
      <c r="W658" s="274" t="s">
        <v>184</v>
      </c>
      <c r="X658" s="282">
        <v>12</v>
      </c>
      <c r="Y658" s="267" t="s">
        <v>4049</v>
      </c>
      <c r="Z658" s="274"/>
      <c r="AA658" s="277" t="s">
        <v>186</v>
      </c>
      <c r="AB658" s="277"/>
      <c r="AC658" s="286"/>
      <c r="AD658" s="286"/>
      <c r="AE658" s="286"/>
      <c r="AF658" s="288"/>
      <c r="AG658" s="275"/>
      <c r="AH658" s="276"/>
      <c r="AI658" s="276"/>
      <c r="AJ658" s="274" t="s">
        <v>203</v>
      </c>
      <c r="AK658" s="274" t="s">
        <v>190</v>
      </c>
      <c r="AL658" s="274" t="s">
        <v>190</v>
      </c>
      <c r="AM658" s="260" t="s">
        <v>241</v>
      </c>
      <c r="AN658" s="22">
        <v>182</v>
      </c>
      <c r="AO658" s="22">
        <v>0</v>
      </c>
      <c r="AP658" s="22">
        <v>20</v>
      </c>
      <c r="AQ658" s="22">
        <v>0</v>
      </c>
      <c r="AR658" s="22">
        <v>0</v>
      </c>
      <c r="AS658" s="22">
        <v>7</v>
      </c>
      <c r="AT658" s="22">
        <v>10</v>
      </c>
      <c r="AU658" s="316">
        <f t="shared" si="111"/>
        <v>219</v>
      </c>
      <c r="AV658" s="22">
        <v>190</v>
      </c>
      <c r="AW658" s="22">
        <v>0</v>
      </c>
      <c r="AX658" s="22">
        <v>20</v>
      </c>
      <c r="AY658" s="22">
        <v>0</v>
      </c>
      <c r="AZ658" s="22">
        <v>0</v>
      </c>
      <c r="BA658" s="22">
        <v>7</v>
      </c>
      <c r="BB658" s="22">
        <v>10</v>
      </c>
      <c r="BC658" s="316">
        <f t="shared" si="112"/>
        <v>227</v>
      </c>
      <c r="BD658" s="58">
        <f t="shared" si="113"/>
        <v>8</v>
      </c>
      <c r="BE658" s="58">
        <f t="shared" si="114"/>
        <v>0</v>
      </c>
      <c r="BF658" s="58">
        <f t="shared" si="115"/>
        <v>0</v>
      </c>
      <c r="BG658" s="58">
        <f t="shared" si="116"/>
        <v>0</v>
      </c>
      <c r="BH658" s="58">
        <f t="shared" si="117"/>
        <v>0</v>
      </c>
      <c r="BI658" s="58">
        <f t="shared" si="118"/>
        <v>0</v>
      </c>
      <c r="BJ658" s="58">
        <f t="shared" si="119"/>
        <v>0</v>
      </c>
      <c r="BK658" s="58">
        <f t="shared" si="120"/>
        <v>8</v>
      </c>
    </row>
    <row r="659" spans="1:63" ht="27" customHeight="1">
      <c r="A659" s="238">
        <f t="shared" si="121"/>
        <v>657</v>
      </c>
      <c r="B659" s="239"/>
      <c r="C659" s="266">
        <v>3602</v>
      </c>
      <c r="D659" s="284">
        <v>0</v>
      </c>
      <c r="E659" s="267" t="s">
        <v>4050</v>
      </c>
      <c r="F659" s="268" t="s">
        <v>1917</v>
      </c>
      <c r="G659" s="269" t="s">
        <v>4051</v>
      </c>
      <c r="H659" s="245" t="s">
        <v>4052</v>
      </c>
      <c r="I659" s="246" t="s">
        <v>4053</v>
      </c>
      <c r="J659" s="270" t="s">
        <v>178</v>
      </c>
      <c r="K659" s="271">
        <v>30747</v>
      </c>
      <c r="L659" s="249" t="s">
        <v>179</v>
      </c>
      <c r="M659" s="272">
        <v>43750</v>
      </c>
      <c r="N659" s="272"/>
      <c r="O659" s="240" t="s">
        <v>4054</v>
      </c>
      <c r="P659" s="238" t="s">
        <v>102</v>
      </c>
      <c r="Q659" s="238" t="s">
        <v>249</v>
      </c>
      <c r="R659" s="240" t="s">
        <v>182</v>
      </c>
      <c r="S659" s="240" t="s">
        <v>310</v>
      </c>
      <c r="T659" s="290"/>
      <c r="U659" s="273"/>
      <c r="V659" s="274" t="s">
        <v>184</v>
      </c>
      <c r="W659" s="274" t="s">
        <v>184</v>
      </c>
      <c r="X659" s="282">
        <v>10</v>
      </c>
      <c r="Y659" s="283" t="s">
        <v>4055</v>
      </c>
      <c r="Z659" s="274"/>
      <c r="AA659" s="277" t="s">
        <v>186</v>
      </c>
      <c r="AB659" s="274"/>
      <c r="AC659" s="286"/>
      <c r="AD659" s="286"/>
      <c r="AE659" s="286"/>
      <c r="AF659" s="288"/>
      <c r="AG659" s="286"/>
      <c r="AH659" s="276"/>
      <c r="AI659" s="276"/>
      <c r="AJ659" s="274" t="s">
        <v>190</v>
      </c>
      <c r="AK659" s="274" t="s">
        <v>190</v>
      </c>
      <c r="AL659" s="274" t="s">
        <v>190</v>
      </c>
      <c r="AM659" s="260" t="s">
        <v>3859</v>
      </c>
      <c r="AN659" s="22">
        <v>182</v>
      </c>
      <c r="AO659" s="22">
        <v>0</v>
      </c>
      <c r="AP659" s="22">
        <v>31</v>
      </c>
      <c r="AQ659" s="22">
        <v>0</v>
      </c>
      <c r="AR659" s="22">
        <v>40</v>
      </c>
      <c r="AS659" s="22">
        <v>7</v>
      </c>
      <c r="AT659" s="22">
        <v>10</v>
      </c>
      <c r="AU659" s="316">
        <f t="shared" si="111"/>
        <v>270</v>
      </c>
      <c r="AV659" s="22">
        <v>190</v>
      </c>
      <c r="AW659" s="22">
        <v>0</v>
      </c>
      <c r="AX659" s="22">
        <v>31</v>
      </c>
      <c r="AY659" s="22">
        <v>0</v>
      </c>
      <c r="AZ659" s="22">
        <v>40</v>
      </c>
      <c r="BA659" s="22">
        <v>7</v>
      </c>
      <c r="BB659" s="22">
        <v>10</v>
      </c>
      <c r="BC659" s="316">
        <f t="shared" si="112"/>
        <v>278</v>
      </c>
      <c r="BD659" s="58">
        <f t="shared" si="113"/>
        <v>8</v>
      </c>
      <c r="BE659" s="58">
        <f t="shared" si="114"/>
        <v>0</v>
      </c>
      <c r="BF659" s="58">
        <f t="shared" si="115"/>
        <v>0</v>
      </c>
      <c r="BG659" s="58">
        <f t="shared" si="116"/>
        <v>0</v>
      </c>
      <c r="BH659" s="58">
        <f t="shared" si="117"/>
        <v>0</v>
      </c>
      <c r="BI659" s="58">
        <f t="shared" si="118"/>
        <v>0</v>
      </c>
      <c r="BJ659" s="58">
        <f t="shared" si="119"/>
        <v>0</v>
      </c>
      <c r="BK659" s="58">
        <f t="shared" si="120"/>
        <v>8</v>
      </c>
    </row>
    <row r="660" spans="1:63" ht="27" customHeight="1">
      <c r="A660" s="238">
        <f t="shared" si="121"/>
        <v>658</v>
      </c>
      <c r="B660" s="239"/>
      <c r="C660" s="266">
        <v>3230</v>
      </c>
      <c r="D660" s="241" t="s">
        <v>4056</v>
      </c>
      <c r="E660" s="267" t="s">
        <v>4057</v>
      </c>
      <c r="F660" s="268" t="s">
        <v>1339</v>
      </c>
      <c r="G660" s="269" t="s">
        <v>4058</v>
      </c>
      <c r="H660" s="245" t="s">
        <v>1341</v>
      </c>
      <c r="I660" s="246" t="s">
        <v>4059</v>
      </c>
      <c r="J660" s="270" t="s">
        <v>209</v>
      </c>
      <c r="K660" s="271">
        <v>26707</v>
      </c>
      <c r="L660" s="249" t="s">
        <v>179</v>
      </c>
      <c r="M660" s="272">
        <v>43740</v>
      </c>
      <c r="N660" s="272"/>
      <c r="O660" s="240" t="s">
        <v>4054</v>
      </c>
      <c r="P660" s="238" t="s">
        <v>102</v>
      </c>
      <c r="Q660" s="238" t="s">
        <v>249</v>
      </c>
      <c r="R660" s="240" t="s">
        <v>182</v>
      </c>
      <c r="S660" s="240" t="s">
        <v>211</v>
      </c>
      <c r="T660" s="251"/>
      <c r="U660" s="273"/>
      <c r="V660" s="274" t="s">
        <v>184</v>
      </c>
      <c r="W660" s="274" t="s">
        <v>184</v>
      </c>
      <c r="X660" s="282">
        <v>8</v>
      </c>
      <c r="Y660" s="267" t="s">
        <v>4060</v>
      </c>
      <c r="Z660" s="274"/>
      <c r="AA660" s="277" t="s">
        <v>186</v>
      </c>
      <c r="AB660" s="274"/>
      <c r="AC660" s="286"/>
      <c r="AD660" s="286"/>
      <c r="AE660" s="286"/>
      <c r="AF660" s="288"/>
      <c r="AG660" s="286"/>
      <c r="AH660" s="286"/>
      <c r="AI660" s="276"/>
      <c r="AJ660" s="274" t="s">
        <v>190</v>
      </c>
      <c r="AK660" s="274" t="s">
        <v>190</v>
      </c>
      <c r="AL660" s="274" t="s">
        <v>190</v>
      </c>
      <c r="AM660" s="260" t="s">
        <v>3859</v>
      </c>
      <c r="AN660" s="22">
        <v>182</v>
      </c>
      <c r="AO660" s="22">
        <v>0</v>
      </c>
      <c r="AP660" s="22">
        <v>20</v>
      </c>
      <c r="AQ660" s="22">
        <v>0</v>
      </c>
      <c r="AR660" s="22">
        <v>0</v>
      </c>
      <c r="AS660" s="22">
        <v>7</v>
      </c>
      <c r="AT660" s="22">
        <v>10</v>
      </c>
      <c r="AU660" s="316">
        <f t="shared" si="111"/>
        <v>219</v>
      </c>
      <c r="AV660" s="22">
        <v>190</v>
      </c>
      <c r="AW660" s="22">
        <v>0</v>
      </c>
      <c r="AX660" s="22">
        <v>20</v>
      </c>
      <c r="AY660" s="22">
        <v>0</v>
      </c>
      <c r="AZ660" s="22">
        <v>0</v>
      </c>
      <c r="BA660" s="22">
        <v>7</v>
      </c>
      <c r="BB660" s="22">
        <v>10</v>
      </c>
      <c r="BC660" s="316">
        <f t="shared" si="112"/>
        <v>227</v>
      </c>
      <c r="BD660" s="58">
        <f t="shared" si="113"/>
        <v>8</v>
      </c>
      <c r="BE660" s="58">
        <f t="shared" si="114"/>
        <v>0</v>
      </c>
      <c r="BF660" s="58">
        <f t="shared" si="115"/>
        <v>0</v>
      </c>
      <c r="BG660" s="58">
        <f t="shared" si="116"/>
        <v>0</v>
      </c>
      <c r="BH660" s="58">
        <f t="shared" si="117"/>
        <v>0</v>
      </c>
      <c r="BI660" s="58">
        <f t="shared" si="118"/>
        <v>0</v>
      </c>
      <c r="BJ660" s="58">
        <f t="shared" si="119"/>
        <v>0</v>
      </c>
      <c r="BK660" s="58">
        <f t="shared" si="120"/>
        <v>8</v>
      </c>
    </row>
    <row r="661" spans="1:63" ht="27" customHeight="1">
      <c r="A661" s="238">
        <f t="shared" si="121"/>
        <v>659</v>
      </c>
      <c r="B661" s="239"/>
      <c r="C661" s="266">
        <v>3585</v>
      </c>
      <c r="D661" s="241" t="s">
        <v>4061</v>
      </c>
      <c r="E661" s="267" t="s">
        <v>4062</v>
      </c>
      <c r="F661" s="268" t="s">
        <v>675</v>
      </c>
      <c r="G661" s="269" t="s">
        <v>509</v>
      </c>
      <c r="H661" s="245" t="s">
        <v>1966</v>
      </c>
      <c r="I661" s="246" t="s">
        <v>511</v>
      </c>
      <c r="J661" s="270" t="s">
        <v>178</v>
      </c>
      <c r="K661" s="271">
        <v>30448</v>
      </c>
      <c r="L661" s="249" t="s">
        <v>179</v>
      </c>
      <c r="M661" s="272">
        <v>43748</v>
      </c>
      <c r="N661" s="272"/>
      <c r="O661" s="240" t="s">
        <v>4054</v>
      </c>
      <c r="P661" s="238" t="s">
        <v>102</v>
      </c>
      <c r="Q661" s="238" t="s">
        <v>249</v>
      </c>
      <c r="R661" s="240" t="s">
        <v>182</v>
      </c>
      <c r="S661" s="240" t="s">
        <v>256</v>
      </c>
      <c r="T661" s="251"/>
      <c r="U661" s="273"/>
      <c r="V661" s="274" t="s">
        <v>184</v>
      </c>
      <c r="W661" s="274" t="s">
        <v>184</v>
      </c>
      <c r="X661" s="282" t="s">
        <v>4063</v>
      </c>
      <c r="Y661" s="267" t="s">
        <v>4064</v>
      </c>
      <c r="Z661" s="277"/>
      <c r="AA661" s="274"/>
      <c r="AB661" s="277" t="s">
        <v>186</v>
      </c>
      <c r="AC661" s="286"/>
      <c r="AD661" s="282" t="s">
        <v>188</v>
      </c>
      <c r="AE661" s="282" t="s">
        <v>188</v>
      </c>
      <c r="AF661" s="288"/>
      <c r="AG661" s="286"/>
      <c r="AH661" s="276"/>
      <c r="AI661" s="276"/>
      <c r="AJ661" s="274" t="s">
        <v>203</v>
      </c>
      <c r="AK661" s="274" t="s">
        <v>190</v>
      </c>
      <c r="AL661" s="274" t="s">
        <v>190</v>
      </c>
      <c r="AM661" s="260" t="s">
        <v>3859</v>
      </c>
      <c r="AN661" s="22">
        <v>182</v>
      </c>
      <c r="AO661" s="22">
        <v>0</v>
      </c>
      <c r="AP661" s="22">
        <v>20</v>
      </c>
      <c r="AQ661" s="22">
        <v>0</v>
      </c>
      <c r="AR661" s="22">
        <v>36</v>
      </c>
      <c r="AS661" s="22">
        <v>7</v>
      </c>
      <c r="AT661" s="22">
        <v>10</v>
      </c>
      <c r="AU661" s="316">
        <f t="shared" si="111"/>
        <v>255</v>
      </c>
      <c r="AV661" s="22">
        <v>190</v>
      </c>
      <c r="AW661" s="22">
        <v>0</v>
      </c>
      <c r="AX661" s="22">
        <v>20</v>
      </c>
      <c r="AY661" s="22">
        <v>0</v>
      </c>
      <c r="AZ661" s="22">
        <v>36</v>
      </c>
      <c r="BA661" s="22">
        <v>7</v>
      </c>
      <c r="BB661" s="22">
        <v>10</v>
      </c>
      <c r="BC661" s="316">
        <f t="shared" si="112"/>
        <v>263</v>
      </c>
      <c r="BD661" s="58">
        <f t="shared" si="113"/>
        <v>8</v>
      </c>
      <c r="BE661" s="58">
        <f t="shared" si="114"/>
        <v>0</v>
      </c>
      <c r="BF661" s="58">
        <f t="shared" si="115"/>
        <v>0</v>
      </c>
      <c r="BG661" s="58">
        <f t="shared" si="116"/>
        <v>0</v>
      </c>
      <c r="BH661" s="58">
        <f t="shared" si="117"/>
        <v>0</v>
      </c>
      <c r="BI661" s="58">
        <f t="shared" si="118"/>
        <v>0</v>
      </c>
      <c r="BJ661" s="58">
        <f t="shared" si="119"/>
        <v>0</v>
      </c>
      <c r="BK661" s="58">
        <f t="shared" si="120"/>
        <v>8</v>
      </c>
    </row>
    <row r="662" spans="1:63" ht="27" customHeight="1">
      <c r="A662" s="238">
        <f t="shared" si="121"/>
        <v>660</v>
      </c>
      <c r="B662" s="239"/>
      <c r="C662" s="266">
        <v>3247</v>
      </c>
      <c r="D662" s="266" t="s">
        <v>4065</v>
      </c>
      <c r="E662" s="267" t="s">
        <v>4066</v>
      </c>
      <c r="F662" s="268" t="s">
        <v>4067</v>
      </c>
      <c r="G662" s="269" t="s">
        <v>4068</v>
      </c>
      <c r="H662" s="245" t="s">
        <v>4069</v>
      </c>
      <c r="I662" s="246" t="s">
        <v>4070</v>
      </c>
      <c r="J662" s="270" t="s">
        <v>209</v>
      </c>
      <c r="K662" s="271">
        <v>36255</v>
      </c>
      <c r="L662" s="249" t="s">
        <v>179</v>
      </c>
      <c r="M662" s="272">
        <v>43746</v>
      </c>
      <c r="N662" s="272"/>
      <c r="O662" s="240" t="s">
        <v>4004</v>
      </c>
      <c r="P662" s="238" t="s">
        <v>3833</v>
      </c>
      <c r="Q662" s="238" t="s">
        <v>249</v>
      </c>
      <c r="R662" s="240" t="s">
        <v>182</v>
      </c>
      <c r="S662" s="240" t="s">
        <v>183</v>
      </c>
      <c r="T662" s="251"/>
      <c r="U662" s="273"/>
      <c r="V662" s="274" t="s">
        <v>184</v>
      </c>
      <c r="W662" s="274" t="s">
        <v>184</v>
      </c>
      <c r="X662" s="282">
        <v>9</v>
      </c>
      <c r="Y662" s="267" t="s">
        <v>4071</v>
      </c>
      <c r="Z662" s="277"/>
      <c r="AA662" s="277"/>
      <c r="AB662" s="274"/>
      <c r="AC662" s="286"/>
      <c r="AD662" s="286"/>
      <c r="AE662" s="286"/>
      <c r="AF662" s="288"/>
      <c r="AG662" s="286"/>
      <c r="AH662" s="276"/>
      <c r="AI662" s="276"/>
      <c r="AJ662" s="274" t="s">
        <v>190</v>
      </c>
      <c r="AK662" s="274" t="s">
        <v>190</v>
      </c>
      <c r="AL662" s="274" t="s">
        <v>190</v>
      </c>
      <c r="AM662" s="289" t="s">
        <v>3967</v>
      </c>
      <c r="AN662" s="22">
        <v>182</v>
      </c>
      <c r="AO662" s="22">
        <v>0</v>
      </c>
      <c r="AP662" s="22">
        <v>20</v>
      </c>
      <c r="AQ662" s="22">
        <v>10</v>
      </c>
      <c r="AR662" s="22">
        <v>0</v>
      </c>
      <c r="AS662" s="22">
        <v>7</v>
      </c>
      <c r="AT662" s="22">
        <v>10</v>
      </c>
      <c r="AU662" s="316">
        <f t="shared" si="111"/>
        <v>229</v>
      </c>
      <c r="AV662" s="22">
        <v>190</v>
      </c>
      <c r="AW662" s="22">
        <v>0</v>
      </c>
      <c r="AX662" s="22">
        <v>20</v>
      </c>
      <c r="AY662" s="22">
        <v>10</v>
      </c>
      <c r="AZ662" s="22">
        <v>0</v>
      </c>
      <c r="BA662" s="22">
        <v>7</v>
      </c>
      <c r="BB662" s="22">
        <v>10</v>
      </c>
      <c r="BC662" s="316">
        <f t="shared" si="112"/>
        <v>237</v>
      </c>
      <c r="BD662" s="58">
        <f t="shared" si="113"/>
        <v>8</v>
      </c>
      <c r="BE662" s="58">
        <f t="shared" si="114"/>
        <v>0</v>
      </c>
      <c r="BF662" s="58">
        <f t="shared" si="115"/>
        <v>0</v>
      </c>
      <c r="BG662" s="58">
        <f t="shared" si="116"/>
        <v>0</v>
      </c>
      <c r="BH662" s="58">
        <f t="shared" si="117"/>
        <v>0</v>
      </c>
      <c r="BI662" s="58">
        <f t="shared" si="118"/>
        <v>0</v>
      </c>
      <c r="BJ662" s="58">
        <f t="shared" si="119"/>
        <v>0</v>
      </c>
      <c r="BK662" s="58">
        <f t="shared" si="120"/>
        <v>8</v>
      </c>
    </row>
    <row r="663" spans="1:63" ht="27" customHeight="1">
      <c r="A663" s="238">
        <f t="shared" si="121"/>
        <v>661</v>
      </c>
      <c r="B663" s="239"/>
      <c r="C663" s="266">
        <v>3193</v>
      </c>
      <c r="D663" s="241" t="s">
        <v>4072</v>
      </c>
      <c r="E663" s="267" t="s">
        <v>4073</v>
      </c>
      <c r="F663" s="268" t="s">
        <v>963</v>
      </c>
      <c r="G663" s="269" t="s">
        <v>4074</v>
      </c>
      <c r="H663" s="245" t="s">
        <v>964</v>
      </c>
      <c r="I663" s="246" t="s">
        <v>4075</v>
      </c>
      <c r="J663" s="270" t="s">
        <v>178</v>
      </c>
      <c r="K663" s="271">
        <v>36320</v>
      </c>
      <c r="L663" s="249" t="s">
        <v>179</v>
      </c>
      <c r="M663" s="272">
        <v>43742</v>
      </c>
      <c r="N663" s="272"/>
      <c r="O663" s="240" t="s">
        <v>4076</v>
      </c>
      <c r="P663" s="238" t="s">
        <v>1385</v>
      </c>
      <c r="Q663" s="238" t="s">
        <v>249</v>
      </c>
      <c r="R663" s="240" t="s">
        <v>182</v>
      </c>
      <c r="S663" s="240" t="s">
        <v>228</v>
      </c>
      <c r="T663" s="251"/>
      <c r="U663" s="273"/>
      <c r="V663" s="274" t="s">
        <v>184</v>
      </c>
      <c r="W663" s="274" t="s">
        <v>184</v>
      </c>
      <c r="X663" s="275">
        <v>8</v>
      </c>
      <c r="Y663" s="267" t="s">
        <v>4077</v>
      </c>
      <c r="Z663" s="274"/>
      <c r="AA663" s="277" t="s">
        <v>186</v>
      </c>
      <c r="AB663" s="274"/>
      <c r="AC663" s="286"/>
      <c r="AD663" s="286"/>
      <c r="AE663" s="286"/>
      <c r="AF663" s="288"/>
      <c r="AG663" s="286"/>
      <c r="AH663" s="276"/>
      <c r="AI663" s="276"/>
      <c r="AJ663" s="274" t="s">
        <v>203</v>
      </c>
      <c r="AK663" s="274" t="s">
        <v>190</v>
      </c>
      <c r="AL663" s="274" t="s">
        <v>190</v>
      </c>
      <c r="AM663" s="260" t="s">
        <v>241</v>
      </c>
      <c r="AN663" s="22">
        <v>182</v>
      </c>
      <c r="AO663" s="22">
        <v>0</v>
      </c>
      <c r="AP663" s="22">
        <v>20</v>
      </c>
      <c r="AQ663" s="22">
        <v>0</v>
      </c>
      <c r="AR663" s="22">
        <v>0</v>
      </c>
      <c r="AS663" s="22">
        <v>7</v>
      </c>
      <c r="AT663" s="22">
        <v>10</v>
      </c>
      <c r="AU663" s="316">
        <f t="shared" si="111"/>
        <v>219</v>
      </c>
      <c r="AV663" s="22">
        <v>190</v>
      </c>
      <c r="AW663" s="22">
        <v>0</v>
      </c>
      <c r="AX663" s="22">
        <v>20</v>
      </c>
      <c r="AY663" s="22">
        <v>0</v>
      </c>
      <c r="AZ663" s="22">
        <v>0</v>
      </c>
      <c r="BA663" s="22">
        <v>7</v>
      </c>
      <c r="BB663" s="22">
        <v>10</v>
      </c>
      <c r="BC663" s="316">
        <f t="shared" si="112"/>
        <v>227</v>
      </c>
      <c r="BD663" s="58">
        <f t="shared" si="113"/>
        <v>8</v>
      </c>
      <c r="BE663" s="58">
        <f t="shared" si="114"/>
        <v>0</v>
      </c>
      <c r="BF663" s="58">
        <f t="shared" si="115"/>
        <v>0</v>
      </c>
      <c r="BG663" s="58">
        <f t="shared" si="116"/>
        <v>0</v>
      </c>
      <c r="BH663" s="58">
        <f t="shared" si="117"/>
        <v>0</v>
      </c>
      <c r="BI663" s="58">
        <f t="shared" si="118"/>
        <v>0</v>
      </c>
      <c r="BJ663" s="58">
        <f t="shared" si="119"/>
        <v>0</v>
      </c>
      <c r="BK663" s="58">
        <f t="shared" si="120"/>
        <v>8</v>
      </c>
    </row>
    <row r="664" spans="1:63" ht="27" customHeight="1">
      <c r="A664" s="238">
        <f t="shared" si="121"/>
        <v>662</v>
      </c>
      <c r="B664" s="239"/>
      <c r="C664" s="266">
        <v>3161</v>
      </c>
      <c r="D664" s="241" t="s">
        <v>4078</v>
      </c>
      <c r="E664" s="267" t="s">
        <v>4079</v>
      </c>
      <c r="F664" s="268" t="s">
        <v>1405</v>
      </c>
      <c r="G664" s="269" t="s">
        <v>1724</v>
      </c>
      <c r="H664" s="245" t="s">
        <v>1407</v>
      </c>
      <c r="I664" s="246" t="s">
        <v>4080</v>
      </c>
      <c r="J664" s="270" t="s">
        <v>209</v>
      </c>
      <c r="K664" s="271">
        <v>35951</v>
      </c>
      <c r="L664" s="249" t="s">
        <v>179</v>
      </c>
      <c r="M664" s="272">
        <v>43740</v>
      </c>
      <c r="N664" s="272"/>
      <c r="O664" s="240" t="s">
        <v>4081</v>
      </c>
      <c r="P664" s="238" t="s">
        <v>318</v>
      </c>
      <c r="Q664" s="238" t="s">
        <v>249</v>
      </c>
      <c r="R664" s="240" t="s">
        <v>182</v>
      </c>
      <c r="S664" s="240" t="s">
        <v>228</v>
      </c>
      <c r="T664" s="251"/>
      <c r="U664" s="273"/>
      <c r="V664" s="274" t="s">
        <v>184</v>
      </c>
      <c r="W664" s="274" t="s">
        <v>184</v>
      </c>
      <c r="X664" s="275">
        <v>10</v>
      </c>
      <c r="Y664" s="267" t="s">
        <v>4082</v>
      </c>
      <c r="Z664" s="277" t="s">
        <v>186</v>
      </c>
      <c r="AA664" s="277"/>
      <c r="AB664" s="274"/>
      <c r="AC664" s="286"/>
      <c r="AD664" s="286"/>
      <c r="AE664" s="286"/>
      <c r="AF664" s="286"/>
      <c r="AG664" s="286"/>
      <c r="AH664" s="276"/>
      <c r="AI664" s="276"/>
      <c r="AJ664" s="274" t="s">
        <v>203</v>
      </c>
      <c r="AK664" s="274" t="s">
        <v>190</v>
      </c>
      <c r="AL664" s="274" t="s">
        <v>190</v>
      </c>
      <c r="AM664" s="260" t="s">
        <v>3859</v>
      </c>
      <c r="AN664" s="22">
        <v>182</v>
      </c>
      <c r="AO664" s="22">
        <v>0</v>
      </c>
      <c r="AP664" s="22">
        <v>20</v>
      </c>
      <c r="AQ664" s="22">
        <v>0</v>
      </c>
      <c r="AR664" s="22">
        <v>0</v>
      </c>
      <c r="AS664" s="22">
        <v>7</v>
      </c>
      <c r="AT664" s="22">
        <v>10</v>
      </c>
      <c r="AU664" s="316">
        <f t="shared" si="111"/>
        <v>219</v>
      </c>
      <c r="AV664" s="22">
        <v>190</v>
      </c>
      <c r="AW664" s="22">
        <v>0</v>
      </c>
      <c r="AX664" s="22">
        <v>20</v>
      </c>
      <c r="AY664" s="22">
        <v>0</v>
      </c>
      <c r="AZ664" s="22">
        <v>0</v>
      </c>
      <c r="BA664" s="22">
        <v>7</v>
      </c>
      <c r="BB664" s="22">
        <v>10</v>
      </c>
      <c r="BC664" s="316">
        <f t="shared" si="112"/>
        <v>227</v>
      </c>
      <c r="BD664" s="58">
        <f t="shared" si="113"/>
        <v>8</v>
      </c>
      <c r="BE664" s="58">
        <f t="shared" si="114"/>
        <v>0</v>
      </c>
      <c r="BF664" s="58">
        <f t="shared" si="115"/>
        <v>0</v>
      </c>
      <c r="BG664" s="58">
        <f t="shared" si="116"/>
        <v>0</v>
      </c>
      <c r="BH664" s="58">
        <f t="shared" si="117"/>
        <v>0</v>
      </c>
      <c r="BI664" s="58">
        <f t="shared" si="118"/>
        <v>0</v>
      </c>
      <c r="BJ664" s="58">
        <f t="shared" si="119"/>
        <v>0</v>
      </c>
      <c r="BK664" s="58">
        <f t="shared" si="120"/>
        <v>8</v>
      </c>
    </row>
    <row r="665" spans="1:63" ht="27" customHeight="1">
      <c r="A665" s="238">
        <f t="shared" si="121"/>
        <v>663</v>
      </c>
      <c r="B665" s="239"/>
      <c r="C665" s="266">
        <v>3173</v>
      </c>
      <c r="D665" s="241" t="s">
        <v>4083</v>
      </c>
      <c r="E665" s="267" t="s">
        <v>4084</v>
      </c>
      <c r="F665" s="268" t="s">
        <v>4085</v>
      </c>
      <c r="G665" s="269" t="s">
        <v>912</v>
      </c>
      <c r="H665" s="245" t="s">
        <v>37</v>
      </c>
      <c r="I665" s="246" t="s">
        <v>913</v>
      </c>
      <c r="J665" s="270" t="s">
        <v>209</v>
      </c>
      <c r="K665" s="271">
        <v>36203</v>
      </c>
      <c r="L665" s="249" t="s">
        <v>179</v>
      </c>
      <c r="M665" s="272">
        <v>43741</v>
      </c>
      <c r="N665" s="272"/>
      <c r="O665" s="240" t="s">
        <v>4086</v>
      </c>
      <c r="P665" s="240"/>
      <c r="Q665" s="238" t="s">
        <v>249</v>
      </c>
      <c r="R665" s="240" t="s">
        <v>182</v>
      </c>
      <c r="S665" s="240" t="s">
        <v>727</v>
      </c>
      <c r="T665" s="251"/>
      <c r="U665" s="273"/>
      <c r="V665" s="274" t="s">
        <v>184</v>
      </c>
      <c r="W665" s="274" t="s">
        <v>184</v>
      </c>
      <c r="X665" s="275">
        <v>4</v>
      </c>
      <c r="Y665" s="267" t="s">
        <v>4087</v>
      </c>
      <c r="Z665" s="277" t="s">
        <v>186</v>
      </c>
      <c r="AA665" s="277"/>
      <c r="AB665" s="274"/>
      <c r="AC665" s="286"/>
      <c r="AD665" s="286"/>
      <c r="AE665" s="286"/>
      <c r="AF665" s="286"/>
      <c r="AG665" s="286"/>
      <c r="AH665" s="276"/>
      <c r="AI665" s="276"/>
      <c r="AJ665" s="274" t="s">
        <v>203</v>
      </c>
      <c r="AK665" s="274" t="s">
        <v>190</v>
      </c>
      <c r="AL665" s="274" t="s">
        <v>190</v>
      </c>
      <c r="AM665" s="260" t="s">
        <v>3859</v>
      </c>
      <c r="AN665" s="22">
        <v>182</v>
      </c>
      <c r="AO665" s="22">
        <v>0</v>
      </c>
      <c r="AP665" s="22">
        <v>20</v>
      </c>
      <c r="AQ665" s="22">
        <v>0</v>
      </c>
      <c r="AR665" s="22">
        <v>0</v>
      </c>
      <c r="AS665" s="22">
        <v>7</v>
      </c>
      <c r="AT665" s="22">
        <v>10</v>
      </c>
      <c r="AU665" s="316">
        <f t="shared" si="111"/>
        <v>219</v>
      </c>
      <c r="AV665" s="22">
        <v>190</v>
      </c>
      <c r="AW665" s="22">
        <v>0</v>
      </c>
      <c r="AX665" s="22">
        <v>20</v>
      </c>
      <c r="AY665" s="22">
        <v>0</v>
      </c>
      <c r="AZ665" s="22">
        <v>0</v>
      </c>
      <c r="BA665" s="22">
        <v>7</v>
      </c>
      <c r="BB665" s="22">
        <v>10</v>
      </c>
      <c r="BC665" s="316">
        <f t="shared" si="112"/>
        <v>227</v>
      </c>
      <c r="BD665" s="58">
        <f t="shared" si="113"/>
        <v>8</v>
      </c>
      <c r="BE665" s="58">
        <f t="shared" si="114"/>
        <v>0</v>
      </c>
      <c r="BF665" s="58">
        <f t="shared" si="115"/>
        <v>0</v>
      </c>
      <c r="BG665" s="58">
        <f t="shared" si="116"/>
        <v>0</v>
      </c>
      <c r="BH665" s="58">
        <f t="shared" si="117"/>
        <v>0</v>
      </c>
      <c r="BI665" s="58">
        <f t="shared" si="118"/>
        <v>0</v>
      </c>
      <c r="BJ665" s="58">
        <f t="shared" si="119"/>
        <v>0</v>
      </c>
      <c r="BK665" s="58">
        <f t="shared" si="120"/>
        <v>8</v>
      </c>
    </row>
    <row r="666" spans="1:63" ht="27" customHeight="1">
      <c r="A666" s="238">
        <f t="shared" si="121"/>
        <v>664</v>
      </c>
      <c r="B666" s="239"/>
      <c r="C666" s="266">
        <v>3152</v>
      </c>
      <c r="D666" s="241" t="s">
        <v>4088</v>
      </c>
      <c r="E666" s="267" t="s">
        <v>4089</v>
      </c>
      <c r="F666" s="268" t="s">
        <v>1297</v>
      </c>
      <c r="G666" s="269" t="s">
        <v>527</v>
      </c>
      <c r="H666" s="245" t="s">
        <v>1299</v>
      </c>
      <c r="I666" s="246" t="s">
        <v>529</v>
      </c>
      <c r="J666" s="270" t="s">
        <v>209</v>
      </c>
      <c r="K666" s="271">
        <v>35220</v>
      </c>
      <c r="L666" s="249" t="s">
        <v>179</v>
      </c>
      <c r="M666" s="272">
        <v>43740</v>
      </c>
      <c r="N666" s="272"/>
      <c r="O666" s="240" t="s">
        <v>4090</v>
      </c>
      <c r="P666" s="238" t="s">
        <v>3775</v>
      </c>
      <c r="Q666" s="238" t="s">
        <v>249</v>
      </c>
      <c r="R666" s="240" t="s">
        <v>182</v>
      </c>
      <c r="S666" s="240" t="s">
        <v>211</v>
      </c>
      <c r="T666" s="251"/>
      <c r="U666" s="273"/>
      <c r="V666" s="274" t="s">
        <v>184</v>
      </c>
      <c r="W666" s="274" t="s">
        <v>184</v>
      </c>
      <c r="X666" s="275">
        <v>0</v>
      </c>
      <c r="Y666" s="267" t="s">
        <v>4091</v>
      </c>
      <c r="Z666" s="277" t="s">
        <v>186</v>
      </c>
      <c r="AA666" s="277"/>
      <c r="AB666" s="274"/>
      <c r="AC666" s="286"/>
      <c r="AD666" s="286"/>
      <c r="AE666" s="286"/>
      <c r="AF666" s="288"/>
      <c r="AG666" s="286"/>
      <c r="AH666" s="276"/>
      <c r="AI666" s="276"/>
      <c r="AJ666" s="274" t="s">
        <v>203</v>
      </c>
      <c r="AK666" s="274" t="s">
        <v>190</v>
      </c>
      <c r="AL666" s="274" t="s">
        <v>190</v>
      </c>
      <c r="AM666" s="260" t="s">
        <v>3859</v>
      </c>
      <c r="AN666" s="22">
        <v>182</v>
      </c>
      <c r="AO666" s="22">
        <v>0</v>
      </c>
      <c r="AP666" s="22">
        <v>20</v>
      </c>
      <c r="AQ666" s="22">
        <v>0</v>
      </c>
      <c r="AR666" s="22">
        <v>0</v>
      </c>
      <c r="AS666" s="22">
        <v>7</v>
      </c>
      <c r="AT666" s="22">
        <v>10</v>
      </c>
      <c r="AU666" s="316">
        <f t="shared" si="111"/>
        <v>219</v>
      </c>
      <c r="AV666" s="22">
        <v>190</v>
      </c>
      <c r="AW666" s="22">
        <v>0</v>
      </c>
      <c r="AX666" s="22">
        <v>20</v>
      </c>
      <c r="AY666" s="22">
        <v>0</v>
      </c>
      <c r="AZ666" s="22">
        <v>0</v>
      </c>
      <c r="BA666" s="22">
        <v>7</v>
      </c>
      <c r="BB666" s="22">
        <v>10</v>
      </c>
      <c r="BC666" s="316">
        <f t="shared" si="112"/>
        <v>227</v>
      </c>
      <c r="BD666" s="58">
        <f t="shared" si="113"/>
        <v>8</v>
      </c>
      <c r="BE666" s="58">
        <f t="shared" si="114"/>
        <v>0</v>
      </c>
      <c r="BF666" s="58">
        <f t="shared" si="115"/>
        <v>0</v>
      </c>
      <c r="BG666" s="58">
        <f t="shared" si="116"/>
        <v>0</v>
      </c>
      <c r="BH666" s="58">
        <f t="shared" si="117"/>
        <v>0</v>
      </c>
      <c r="BI666" s="58">
        <f t="shared" si="118"/>
        <v>0</v>
      </c>
      <c r="BJ666" s="58">
        <f t="shared" si="119"/>
        <v>0</v>
      </c>
      <c r="BK666" s="58">
        <f t="shared" si="120"/>
        <v>8</v>
      </c>
    </row>
    <row r="667" spans="1:63" ht="27" customHeight="1">
      <c r="A667" s="238">
        <f t="shared" si="121"/>
        <v>665</v>
      </c>
      <c r="B667" s="239"/>
      <c r="C667" s="266">
        <v>3198</v>
      </c>
      <c r="D667" s="280" t="s">
        <v>4092</v>
      </c>
      <c r="E667" s="267" t="s">
        <v>4093</v>
      </c>
      <c r="F667" s="268" t="s">
        <v>2309</v>
      </c>
      <c r="G667" s="269" t="s">
        <v>2375</v>
      </c>
      <c r="H667" s="245" t="s">
        <v>4094</v>
      </c>
      <c r="I667" s="246" t="s">
        <v>4095</v>
      </c>
      <c r="J667" s="270" t="s">
        <v>178</v>
      </c>
      <c r="K667" s="271">
        <v>31153</v>
      </c>
      <c r="L667" s="249" t="s">
        <v>179</v>
      </c>
      <c r="M667" s="272">
        <v>43742</v>
      </c>
      <c r="N667" s="272"/>
      <c r="O667" s="240" t="s">
        <v>3965</v>
      </c>
      <c r="P667" s="238" t="s">
        <v>3785</v>
      </c>
      <c r="Q667" s="238" t="s">
        <v>249</v>
      </c>
      <c r="R667" s="240" t="s">
        <v>182</v>
      </c>
      <c r="S667" s="240" t="s">
        <v>228</v>
      </c>
      <c r="T667" s="251"/>
      <c r="U667" s="273"/>
      <c r="V667" s="274" t="s">
        <v>184</v>
      </c>
      <c r="W667" s="274" t="s">
        <v>184</v>
      </c>
      <c r="X667" s="275">
        <v>4</v>
      </c>
      <c r="Y667" s="267" t="s">
        <v>4096</v>
      </c>
      <c r="Z667" s="277"/>
      <c r="AA667" s="277" t="s">
        <v>186</v>
      </c>
      <c r="AB667" s="274"/>
      <c r="AC667" s="286"/>
      <c r="AD667" s="286"/>
      <c r="AE667" s="286"/>
      <c r="AF667" s="288"/>
      <c r="AG667" s="286"/>
      <c r="AH667" s="276"/>
      <c r="AI667" s="276"/>
      <c r="AJ667" s="274" t="s">
        <v>203</v>
      </c>
      <c r="AK667" s="274" t="s">
        <v>190</v>
      </c>
      <c r="AL667" s="274" t="s">
        <v>190</v>
      </c>
      <c r="AM667" s="260" t="s">
        <v>3859</v>
      </c>
      <c r="AN667" s="22">
        <v>182</v>
      </c>
      <c r="AO667" s="22">
        <v>0</v>
      </c>
      <c r="AP667" s="22">
        <v>20</v>
      </c>
      <c r="AQ667" s="22">
        <v>0</v>
      </c>
      <c r="AR667" s="22">
        <v>0</v>
      </c>
      <c r="AS667" s="22">
        <v>7</v>
      </c>
      <c r="AT667" s="22">
        <v>10</v>
      </c>
      <c r="AU667" s="316">
        <f t="shared" si="111"/>
        <v>219</v>
      </c>
      <c r="AV667" s="22">
        <v>190</v>
      </c>
      <c r="AW667" s="22">
        <v>0</v>
      </c>
      <c r="AX667" s="22">
        <v>20</v>
      </c>
      <c r="AY667" s="22">
        <v>0</v>
      </c>
      <c r="AZ667" s="22">
        <v>0</v>
      </c>
      <c r="BA667" s="22">
        <v>7</v>
      </c>
      <c r="BB667" s="22">
        <v>10</v>
      </c>
      <c r="BC667" s="316">
        <f t="shared" si="112"/>
        <v>227</v>
      </c>
      <c r="BD667" s="58">
        <f t="shared" si="113"/>
        <v>8</v>
      </c>
      <c r="BE667" s="58">
        <f t="shared" si="114"/>
        <v>0</v>
      </c>
      <c r="BF667" s="58">
        <f t="shared" si="115"/>
        <v>0</v>
      </c>
      <c r="BG667" s="58">
        <f t="shared" si="116"/>
        <v>0</v>
      </c>
      <c r="BH667" s="58">
        <f t="shared" si="117"/>
        <v>0</v>
      </c>
      <c r="BI667" s="58">
        <f t="shared" si="118"/>
        <v>0</v>
      </c>
      <c r="BJ667" s="58">
        <f t="shared" si="119"/>
        <v>0</v>
      </c>
      <c r="BK667" s="58">
        <f t="shared" si="120"/>
        <v>8</v>
      </c>
    </row>
    <row r="668" spans="1:63" ht="27" customHeight="1">
      <c r="A668" s="238">
        <f t="shared" si="121"/>
        <v>666</v>
      </c>
      <c r="B668" s="239"/>
      <c r="C668" s="266">
        <v>3136</v>
      </c>
      <c r="D668" s="241" t="s">
        <v>4097</v>
      </c>
      <c r="E668" s="267" t="s">
        <v>296</v>
      </c>
      <c r="F668" s="268" t="s">
        <v>488</v>
      </c>
      <c r="G668" s="269" t="s">
        <v>527</v>
      </c>
      <c r="H668" s="245" t="s">
        <v>98</v>
      </c>
      <c r="I668" s="246" t="s">
        <v>529</v>
      </c>
      <c r="J668" s="270" t="s">
        <v>178</v>
      </c>
      <c r="K668" s="271">
        <v>29709</v>
      </c>
      <c r="L668" s="249" t="s">
        <v>179</v>
      </c>
      <c r="M668" s="272">
        <v>43740</v>
      </c>
      <c r="N668" s="272"/>
      <c r="O668" s="240" t="s">
        <v>4090</v>
      </c>
      <c r="P668" s="238" t="s">
        <v>3775</v>
      </c>
      <c r="Q668" s="238" t="s">
        <v>249</v>
      </c>
      <c r="R668" s="240" t="s">
        <v>182</v>
      </c>
      <c r="S668" s="240" t="s">
        <v>219</v>
      </c>
      <c r="T668" s="251"/>
      <c r="U668" s="273"/>
      <c r="V668" s="274" t="s">
        <v>184</v>
      </c>
      <c r="W668" s="274" t="s">
        <v>184</v>
      </c>
      <c r="X668" s="275">
        <v>2</v>
      </c>
      <c r="Y668" s="267" t="s">
        <v>4098</v>
      </c>
      <c r="Z668" s="277"/>
      <c r="AA668" s="274"/>
      <c r="AB668" s="274"/>
      <c r="AC668" s="286"/>
      <c r="AD668" s="286"/>
      <c r="AE668" s="286"/>
      <c r="AF668" s="288"/>
      <c r="AG668" s="286"/>
      <c r="AH668" s="276"/>
      <c r="AI668" s="276"/>
      <c r="AJ668" s="274" t="s">
        <v>203</v>
      </c>
      <c r="AK668" s="274" t="s">
        <v>190</v>
      </c>
      <c r="AL668" s="274" t="s">
        <v>190</v>
      </c>
      <c r="AM668" s="260" t="s">
        <v>241</v>
      </c>
      <c r="AN668" s="22">
        <v>182</v>
      </c>
      <c r="AO668" s="22">
        <v>0</v>
      </c>
      <c r="AP668" s="22">
        <v>20</v>
      </c>
      <c r="AQ668" s="22">
        <v>0</v>
      </c>
      <c r="AR668" s="22">
        <v>0</v>
      </c>
      <c r="AS668" s="22">
        <v>7</v>
      </c>
      <c r="AT668" s="22">
        <v>10</v>
      </c>
      <c r="AU668" s="316">
        <f t="shared" si="111"/>
        <v>219</v>
      </c>
      <c r="AV668" s="22">
        <v>190</v>
      </c>
      <c r="AW668" s="22">
        <v>0</v>
      </c>
      <c r="AX668" s="22">
        <v>20</v>
      </c>
      <c r="AY668" s="22">
        <v>0</v>
      </c>
      <c r="AZ668" s="22">
        <v>0</v>
      </c>
      <c r="BA668" s="22">
        <v>7</v>
      </c>
      <c r="BB668" s="22">
        <v>10</v>
      </c>
      <c r="BC668" s="316">
        <f t="shared" si="112"/>
        <v>227</v>
      </c>
      <c r="BD668" s="58">
        <f t="shared" si="113"/>
        <v>8</v>
      </c>
      <c r="BE668" s="58">
        <f t="shared" si="114"/>
        <v>0</v>
      </c>
      <c r="BF668" s="58">
        <f t="shared" si="115"/>
        <v>0</v>
      </c>
      <c r="BG668" s="58">
        <f t="shared" si="116"/>
        <v>0</v>
      </c>
      <c r="BH668" s="58">
        <f t="shared" si="117"/>
        <v>0</v>
      </c>
      <c r="BI668" s="58">
        <f t="shared" si="118"/>
        <v>0</v>
      </c>
      <c r="BJ668" s="58">
        <f t="shared" si="119"/>
        <v>0</v>
      </c>
      <c r="BK668" s="58">
        <f t="shared" si="120"/>
        <v>8</v>
      </c>
    </row>
    <row r="669" spans="1:63" ht="27" customHeight="1">
      <c r="A669" s="238">
        <f t="shared" si="121"/>
        <v>667</v>
      </c>
      <c r="B669" s="239"/>
      <c r="C669" s="266">
        <v>3189</v>
      </c>
      <c r="D669" s="241" t="s">
        <v>4099</v>
      </c>
      <c r="E669" s="267" t="s">
        <v>296</v>
      </c>
      <c r="F669" s="268" t="s">
        <v>3053</v>
      </c>
      <c r="G669" s="269" t="s">
        <v>2241</v>
      </c>
      <c r="H669" s="245" t="s">
        <v>658</v>
      </c>
      <c r="I669" s="246" t="s">
        <v>2242</v>
      </c>
      <c r="J669" s="270" t="s">
        <v>178</v>
      </c>
      <c r="K669" s="271">
        <v>30683</v>
      </c>
      <c r="L669" s="249" t="s">
        <v>179</v>
      </c>
      <c r="M669" s="272">
        <v>43740</v>
      </c>
      <c r="N669" s="272"/>
      <c r="O669" s="240" t="s">
        <v>4081</v>
      </c>
      <c r="P669" s="238" t="s">
        <v>318</v>
      </c>
      <c r="Q669" s="238" t="s">
        <v>249</v>
      </c>
      <c r="R669" s="240" t="s">
        <v>182</v>
      </c>
      <c r="S669" s="240" t="s">
        <v>256</v>
      </c>
      <c r="T669" s="251"/>
      <c r="U669" s="273"/>
      <c r="V669" s="274" t="s">
        <v>184</v>
      </c>
      <c r="W669" s="274" t="s">
        <v>184</v>
      </c>
      <c r="X669" s="275">
        <v>2</v>
      </c>
      <c r="Y669" s="267" t="s">
        <v>4100</v>
      </c>
      <c r="Z669" s="277"/>
      <c r="AA669" s="277" t="s">
        <v>186</v>
      </c>
      <c r="AB669" s="274"/>
      <c r="AC669" s="286"/>
      <c r="AD669" s="286"/>
      <c r="AE669" s="286"/>
      <c r="AF669" s="288"/>
      <c r="AG669" s="286"/>
      <c r="AH669" s="276"/>
      <c r="AI669" s="276"/>
      <c r="AJ669" s="274" t="s">
        <v>203</v>
      </c>
      <c r="AK669" s="274" t="s">
        <v>190</v>
      </c>
      <c r="AL669" s="274" t="s">
        <v>190</v>
      </c>
      <c r="AM669" s="260" t="s">
        <v>241</v>
      </c>
      <c r="AN669" s="22">
        <v>182</v>
      </c>
      <c r="AO669" s="22">
        <v>0</v>
      </c>
      <c r="AP669" s="22">
        <v>20</v>
      </c>
      <c r="AQ669" s="22">
        <v>0</v>
      </c>
      <c r="AR669" s="22">
        <v>0</v>
      </c>
      <c r="AS669" s="22">
        <v>7</v>
      </c>
      <c r="AT669" s="22">
        <v>10</v>
      </c>
      <c r="AU669" s="316">
        <f t="shared" si="111"/>
        <v>219</v>
      </c>
      <c r="AV669" s="22">
        <v>190</v>
      </c>
      <c r="AW669" s="22">
        <v>0</v>
      </c>
      <c r="AX669" s="22">
        <v>20</v>
      </c>
      <c r="AY669" s="22">
        <v>0</v>
      </c>
      <c r="AZ669" s="22">
        <v>0</v>
      </c>
      <c r="BA669" s="22">
        <v>7</v>
      </c>
      <c r="BB669" s="22">
        <v>10</v>
      </c>
      <c r="BC669" s="316">
        <f t="shared" si="112"/>
        <v>227</v>
      </c>
      <c r="BD669" s="58">
        <f t="shared" si="113"/>
        <v>8</v>
      </c>
      <c r="BE669" s="58">
        <f t="shared" si="114"/>
        <v>0</v>
      </c>
      <c r="BF669" s="58">
        <f t="shared" si="115"/>
        <v>0</v>
      </c>
      <c r="BG669" s="58">
        <f t="shared" si="116"/>
        <v>0</v>
      </c>
      <c r="BH669" s="58">
        <f t="shared" si="117"/>
        <v>0</v>
      </c>
      <c r="BI669" s="58">
        <f t="shared" si="118"/>
        <v>0</v>
      </c>
      <c r="BJ669" s="58">
        <f t="shared" si="119"/>
        <v>0</v>
      </c>
      <c r="BK669" s="58">
        <f t="shared" si="120"/>
        <v>8</v>
      </c>
    </row>
    <row r="670" spans="1:63" ht="27" customHeight="1">
      <c r="A670" s="238">
        <f t="shared" si="121"/>
        <v>668</v>
      </c>
      <c r="B670" s="239"/>
      <c r="C670" s="266">
        <v>3199</v>
      </c>
      <c r="D670" s="241" t="s">
        <v>4101</v>
      </c>
      <c r="E670" s="267" t="s">
        <v>4102</v>
      </c>
      <c r="F670" s="268" t="s">
        <v>4103</v>
      </c>
      <c r="G670" s="269" t="s">
        <v>4104</v>
      </c>
      <c r="H670" s="245" t="s">
        <v>4105</v>
      </c>
      <c r="I670" s="246" t="s">
        <v>4106</v>
      </c>
      <c r="J670" s="270" t="s">
        <v>209</v>
      </c>
      <c r="K670" s="271">
        <v>34496</v>
      </c>
      <c r="L670" s="249" t="s">
        <v>179</v>
      </c>
      <c r="M670" s="272">
        <v>43740</v>
      </c>
      <c r="N670" s="272"/>
      <c r="O670" s="240" t="s">
        <v>4037</v>
      </c>
      <c r="P670" s="238" t="s">
        <v>3770</v>
      </c>
      <c r="Q670" s="238" t="s">
        <v>249</v>
      </c>
      <c r="R670" s="240" t="s">
        <v>182</v>
      </c>
      <c r="S670" s="240" t="s">
        <v>211</v>
      </c>
      <c r="T670" s="251"/>
      <c r="U670" s="273"/>
      <c r="V670" s="274" t="s">
        <v>184</v>
      </c>
      <c r="W670" s="274" t="s">
        <v>184</v>
      </c>
      <c r="X670" s="275">
        <v>8</v>
      </c>
      <c r="Y670" s="267" t="s">
        <v>4107</v>
      </c>
      <c r="Z670" s="274"/>
      <c r="AA670" s="277" t="s">
        <v>186</v>
      </c>
      <c r="AB670" s="274"/>
      <c r="AC670" s="286"/>
      <c r="AD670" s="286"/>
      <c r="AE670" s="286"/>
      <c r="AF670" s="288"/>
      <c r="AG670" s="286"/>
      <c r="AH670" s="276"/>
      <c r="AI670" s="276"/>
      <c r="AJ670" s="274" t="s">
        <v>203</v>
      </c>
      <c r="AK670" s="274" t="s">
        <v>190</v>
      </c>
      <c r="AL670" s="274" t="s">
        <v>190</v>
      </c>
      <c r="AM670" s="260" t="s">
        <v>3859</v>
      </c>
      <c r="AN670" s="22">
        <v>182</v>
      </c>
      <c r="AO670" s="22">
        <v>0</v>
      </c>
      <c r="AP670" s="22">
        <v>20</v>
      </c>
      <c r="AQ670" s="22">
        <v>0</v>
      </c>
      <c r="AR670" s="22">
        <v>0</v>
      </c>
      <c r="AS670" s="22">
        <v>7</v>
      </c>
      <c r="AT670" s="22">
        <v>10</v>
      </c>
      <c r="AU670" s="316">
        <f t="shared" si="111"/>
        <v>219</v>
      </c>
      <c r="AV670" s="22">
        <v>190</v>
      </c>
      <c r="AW670" s="22">
        <v>0</v>
      </c>
      <c r="AX670" s="22">
        <v>20</v>
      </c>
      <c r="AY670" s="22">
        <v>0</v>
      </c>
      <c r="AZ670" s="22">
        <v>0</v>
      </c>
      <c r="BA670" s="22">
        <v>7</v>
      </c>
      <c r="BB670" s="22">
        <v>10</v>
      </c>
      <c r="BC670" s="316">
        <f t="shared" si="112"/>
        <v>227</v>
      </c>
      <c r="BD670" s="58">
        <f t="shared" si="113"/>
        <v>8</v>
      </c>
      <c r="BE670" s="58">
        <f t="shared" si="114"/>
        <v>0</v>
      </c>
      <c r="BF670" s="58">
        <f t="shared" si="115"/>
        <v>0</v>
      </c>
      <c r="BG670" s="58">
        <f t="shared" si="116"/>
        <v>0</v>
      </c>
      <c r="BH670" s="58">
        <f t="shared" si="117"/>
        <v>0</v>
      </c>
      <c r="BI670" s="58">
        <f t="shared" si="118"/>
        <v>0</v>
      </c>
      <c r="BJ670" s="58">
        <f t="shared" si="119"/>
        <v>0</v>
      </c>
      <c r="BK670" s="58">
        <f t="shared" si="120"/>
        <v>8</v>
      </c>
    </row>
    <row r="671" spans="1:63" ht="27" customHeight="1">
      <c r="A671" s="238">
        <f t="shared" si="121"/>
        <v>669</v>
      </c>
      <c r="B671" s="239"/>
      <c r="C671" s="266">
        <v>3190</v>
      </c>
      <c r="D671" s="280" t="s">
        <v>4108</v>
      </c>
      <c r="E671" s="267" t="s">
        <v>4109</v>
      </c>
      <c r="F671" s="268" t="s">
        <v>4110</v>
      </c>
      <c r="G671" s="269" t="s">
        <v>2021</v>
      </c>
      <c r="H671" s="245" t="s">
        <v>4111</v>
      </c>
      <c r="I671" s="246" t="s">
        <v>907</v>
      </c>
      <c r="J671" s="270" t="s">
        <v>209</v>
      </c>
      <c r="K671" s="271">
        <v>36593</v>
      </c>
      <c r="L671" s="249" t="s">
        <v>179</v>
      </c>
      <c r="M671" s="272">
        <v>43741</v>
      </c>
      <c r="N671" s="272"/>
      <c r="O671" s="240" t="s">
        <v>4086</v>
      </c>
      <c r="P671" s="240"/>
      <c r="Q671" s="238" t="s">
        <v>249</v>
      </c>
      <c r="R671" s="240" t="s">
        <v>182</v>
      </c>
      <c r="S671" s="240" t="s">
        <v>228</v>
      </c>
      <c r="T671" s="251"/>
      <c r="U671" s="273"/>
      <c r="V671" s="274" t="s">
        <v>184</v>
      </c>
      <c r="W671" s="274" t="s">
        <v>184</v>
      </c>
      <c r="X671" s="282">
        <v>9</v>
      </c>
      <c r="Y671" s="267" t="s">
        <v>4112</v>
      </c>
      <c r="Z671" s="277" t="s">
        <v>186</v>
      </c>
      <c r="AA671" s="274"/>
      <c r="AB671" s="274"/>
      <c r="AC671" s="286"/>
      <c r="AD671" s="286"/>
      <c r="AE671" s="286"/>
      <c r="AF671" s="288"/>
      <c r="AG671" s="286"/>
      <c r="AH671" s="276"/>
      <c r="AI671" s="276"/>
      <c r="AJ671" s="274" t="s">
        <v>203</v>
      </c>
      <c r="AK671" s="274" t="s">
        <v>190</v>
      </c>
      <c r="AL671" s="274" t="s">
        <v>190</v>
      </c>
      <c r="AM671" s="260" t="s">
        <v>241</v>
      </c>
      <c r="AN671" s="22">
        <v>182</v>
      </c>
      <c r="AO671" s="22">
        <v>0</v>
      </c>
      <c r="AP671" s="22">
        <v>20</v>
      </c>
      <c r="AQ671" s="22">
        <v>0</v>
      </c>
      <c r="AR671" s="22">
        <v>0</v>
      </c>
      <c r="AS671" s="22">
        <v>7</v>
      </c>
      <c r="AT671" s="22">
        <v>10</v>
      </c>
      <c r="AU671" s="316">
        <f t="shared" si="111"/>
        <v>219</v>
      </c>
      <c r="AV671" s="22">
        <v>190</v>
      </c>
      <c r="AW671" s="22">
        <v>0</v>
      </c>
      <c r="AX671" s="22">
        <v>20</v>
      </c>
      <c r="AY671" s="22">
        <v>0</v>
      </c>
      <c r="AZ671" s="22">
        <v>0</v>
      </c>
      <c r="BA671" s="22">
        <v>7</v>
      </c>
      <c r="BB671" s="22">
        <v>10</v>
      </c>
      <c r="BC671" s="316">
        <f t="shared" si="112"/>
        <v>227</v>
      </c>
      <c r="BD671" s="58">
        <f t="shared" si="113"/>
        <v>8</v>
      </c>
      <c r="BE671" s="58">
        <f t="shared" si="114"/>
        <v>0</v>
      </c>
      <c r="BF671" s="58">
        <f t="shared" si="115"/>
        <v>0</v>
      </c>
      <c r="BG671" s="58">
        <f t="shared" si="116"/>
        <v>0</v>
      </c>
      <c r="BH671" s="58">
        <f t="shared" si="117"/>
        <v>0</v>
      </c>
      <c r="BI671" s="58">
        <f t="shared" si="118"/>
        <v>0</v>
      </c>
      <c r="BJ671" s="58">
        <f t="shared" si="119"/>
        <v>0</v>
      </c>
      <c r="BK671" s="58">
        <f t="shared" si="120"/>
        <v>8</v>
      </c>
    </row>
    <row r="672" spans="1:63" ht="27" customHeight="1">
      <c r="A672" s="238">
        <f t="shared" si="121"/>
        <v>670</v>
      </c>
      <c r="B672" s="239"/>
      <c r="C672" s="266">
        <v>3192</v>
      </c>
      <c r="D672" s="241" t="s">
        <v>4113</v>
      </c>
      <c r="E672" s="267" t="s">
        <v>4114</v>
      </c>
      <c r="F672" s="268" t="s">
        <v>1230</v>
      </c>
      <c r="G672" s="269" t="s">
        <v>4115</v>
      </c>
      <c r="H672" s="245" t="s">
        <v>4116</v>
      </c>
      <c r="I672" s="246" t="s">
        <v>4117</v>
      </c>
      <c r="J672" s="270" t="s">
        <v>209</v>
      </c>
      <c r="K672" s="271">
        <v>34783</v>
      </c>
      <c r="L672" s="249" t="s">
        <v>179</v>
      </c>
      <c r="M672" s="272">
        <v>43741</v>
      </c>
      <c r="N672" s="272"/>
      <c r="O672" s="240" t="s">
        <v>4081</v>
      </c>
      <c r="P672" s="238" t="s">
        <v>318</v>
      </c>
      <c r="Q672" s="238" t="s">
        <v>249</v>
      </c>
      <c r="R672" s="240" t="s">
        <v>182</v>
      </c>
      <c r="S672" s="240" t="s">
        <v>256</v>
      </c>
      <c r="T672" s="251"/>
      <c r="U672" s="273"/>
      <c r="V672" s="274" t="s">
        <v>184</v>
      </c>
      <c r="W672" s="274" t="s">
        <v>184</v>
      </c>
      <c r="X672" s="275">
        <v>6</v>
      </c>
      <c r="Y672" s="267" t="s">
        <v>4118</v>
      </c>
      <c r="Z672" s="277" t="s">
        <v>186</v>
      </c>
      <c r="AA672" s="277"/>
      <c r="AB672" s="274"/>
      <c r="AC672" s="286"/>
      <c r="AD672" s="286"/>
      <c r="AE672" s="286"/>
      <c r="AF672" s="288"/>
      <c r="AG672" s="286"/>
      <c r="AH672" s="276"/>
      <c r="AI672" s="276"/>
      <c r="AJ672" s="274" t="s">
        <v>203</v>
      </c>
      <c r="AK672" s="274" t="s">
        <v>190</v>
      </c>
      <c r="AL672" s="274" t="s">
        <v>190</v>
      </c>
      <c r="AM672" s="260" t="s">
        <v>3859</v>
      </c>
      <c r="AN672" s="22">
        <v>182</v>
      </c>
      <c r="AO672" s="22">
        <v>0</v>
      </c>
      <c r="AP672" s="22">
        <v>20</v>
      </c>
      <c r="AQ672" s="22">
        <v>0</v>
      </c>
      <c r="AR672" s="22">
        <v>0</v>
      </c>
      <c r="AS672" s="22">
        <v>7</v>
      </c>
      <c r="AT672" s="22">
        <v>10</v>
      </c>
      <c r="AU672" s="316">
        <f t="shared" si="111"/>
        <v>219</v>
      </c>
      <c r="AV672" s="22">
        <v>190</v>
      </c>
      <c r="AW672" s="22">
        <v>0</v>
      </c>
      <c r="AX672" s="22">
        <v>20</v>
      </c>
      <c r="AY672" s="22">
        <v>0</v>
      </c>
      <c r="AZ672" s="22">
        <v>0</v>
      </c>
      <c r="BA672" s="22">
        <v>7</v>
      </c>
      <c r="BB672" s="22">
        <v>10</v>
      </c>
      <c r="BC672" s="316">
        <f t="shared" si="112"/>
        <v>227</v>
      </c>
      <c r="BD672" s="58">
        <f t="shared" si="113"/>
        <v>8</v>
      </c>
      <c r="BE672" s="58">
        <f t="shared" si="114"/>
        <v>0</v>
      </c>
      <c r="BF672" s="58">
        <f t="shared" si="115"/>
        <v>0</v>
      </c>
      <c r="BG672" s="58">
        <f t="shared" si="116"/>
        <v>0</v>
      </c>
      <c r="BH672" s="58">
        <f t="shared" si="117"/>
        <v>0</v>
      </c>
      <c r="BI672" s="58">
        <f t="shared" si="118"/>
        <v>0</v>
      </c>
      <c r="BJ672" s="58">
        <f t="shared" si="119"/>
        <v>0</v>
      </c>
      <c r="BK672" s="58">
        <f t="shared" si="120"/>
        <v>8</v>
      </c>
    </row>
    <row r="673" spans="1:63" ht="27" customHeight="1">
      <c r="A673" s="238">
        <f t="shared" si="121"/>
        <v>671</v>
      </c>
      <c r="B673" s="239"/>
      <c r="C673" s="266">
        <v>3147</v>
      </c>
      <c r="D673" s="241" t="s">
        <v>4119</v>
      </c>
      <c r="E673" s="267" t="s">
        <v>4120</v>
      </c>
      <c r="F673" s="268" t="s">
        <v>321</v>
      </c>
      <c r="G673" s="269" t="s">
        <v>4121</v>
      </c>
      <c r="H673" s="245" t="s">
        <v>1994</v>
      </c>
      <c r="I673" s="246" t="s">
        <v>4122</v>
      </c>
      <c r="J673" s="270" t="s">
        <v>178</v>
      </c>
      <c r="K673" s="271">
        <v>31879</v>
      </c>
      <c r="L673" s="249" t="s">
        <v>179</v>
      </c>
      <c r="M673" s="272">
        <v>43740</v>
      </c>
      <c r="N673" s="272"/>
      <c r="O673" s="240" t="s">
        <v>4090</v>
      </c>
      <c r="P673" s="238" t="s">
        <v>3775</v>
      </c>
      <c r="Q673" s="238" t="s">
        <v>249</v>
      </c>
      <c r="R673" s="240" t="s">
        <v>182</v>
      </c>
      <c r="S673" s="240" t="s">
        <v>219</v>
      </c>
      <c r="T673" s="251"/>
      <c r="U673" s="273"/>
      <c r="V673" s="274" t="s">
        <v>184</v>
      </c>
      <c r="W673" s="274" t="s">
        <v>184</v>
      </c>
      <c r="X673" s="275">
        <v>3</v>
      </c>
      <c r="Y673" s="267" t="s">
        <v>4123</v>
      </c>
      <c r="Z673" s="274"/>
      <c r="AA673" s="277" t="s">
        <v>186</v>
      </c>
      <c r="AB673" s="274"/>
      <c r="AC673" s="286"/>
      <c r="AD673" s="286"/>
      <c r="AE673" s="286"/>
      <c r="AF673" s="288"/>
      <c r="AG673" s="286"/>
      <c r="AH673" s="276"/>
      <c r="AI673" s="276"/>
      <c r="AJ673" s="274" t="s">
        <v>203</v>
      </c>
      <c r="AK673" s="274" t="s">
        <v>190</v>
      </c>
      <c r="AL673" s="274" t="s">
        <v>190</v>
      </c>
      <c r="AM673" s="260" t="s">
        <v>3859</v>
      </c>
      <c r="AN673" s="22">
        <v>182</v>
      </c>
      <c r="AO673" s="22">
        <v>0</v>
      </c>
      <c r="AP673" s="22">
        <v>20</v>
      </c>
      <c r="AQ673" s="22">
        <v>10</v>
      </c>
      <c r="AR673" s="22">
        <v>0</v>
      </c>
      <c r="AS673" s="22">
        <v>7</v>
      </c>
      <c r="AT673" s="22">
        <v>10</v>
      </c>
      <c r="AU673" s="316">
        <f t="shared" si="111"/>
        <v>229</v>
      </c>
      <c r="AV673" s="22">
        <v>190</v>
      </c>
      <c r="AW673" s="22">
        <v>0</v>
      </c>
      <c r="AX673" s="22">
        <v>20</v>
      </c>
      <c r="AY673" s="22">
        <v>10</v>
      </c>
      <c r="AZ673" s="22">
        <v>0</v>
      </c>
      <c r="BA673" s="22">
        <v>7</v>
      </c>
      <c r="BB673" s="22">
        <v>10</v>
      </c>
      <c r="BC673" s="316">
        <f t="shared" si="112"/>
        <v>237</v>
      </c>
      <c r="BD673" s="58">
        <f t="shared" si="113"/>
        <v>8</v>
      </c>
      <c r="BE673" s="58">
        <f t="shared" si="114"/>
        <v>0</v>
      </c>
      <c r="BF673" s="58">
        <f t="shared" si="115"/>
        <v>0</v>
      </c>
      <c r="BG673" s="58">
        <f t="shared" si="116"/>
        <v>0</v>
      </c>
      <c r="BH673" s="58">
        <f t="shared" si="117"/>
        <v>0</v>
      </c>
      <c r="BI673" s="58">
        <f t="shared" si="118"/>
        <v>0</v>
      </c>
      <c r="BJ673" s="58">
        <f t="shared" si="119"/>
        <v>0</v>
      </c>
      <c r="BK673" s="58">
        <f t="shared" si="120"/>
        <v>8</v>
      </c>
    </row>
    <row r="674" spans="1:63" ht="27" customHeight="1">
      <c r="A674" s="238">
        <f t="shared" si="121"/>
        <v>672</v>
      </c>
      <c r="B674" s="239"/>
      <c r="C674" s="266">
        <v>3184</v>
      </c>
      <c r="D674" s="241" t="s">
        <v>4124</v>
      </c>
      <c r="E674" s="267" t="s">
        <v>4125</v>
      </c>
      <c r="F674" s="268" t="s">
        <v>4126</v>
      </c>
      <c r="G674" s="269" t="s">
        <v>4127</v>
      </c>
      <c r="H674" s="245" t="s">
        <v>299</v>
      </c>
      <c r="I674" s="246" t="s">
        <v>4128</v>
      </c>
      <c r="J674" s="270" t="s">
        <v>178</v>
      </c>
      <c r="K674" s="271">
        <v>34734</v>
      </c>
      <c r="L674" s="249" t="s">
        <v>179</v>
      </c>
      <c r="M674" s="272">
        <v>43740</v>
      </c>
      <c r="N674" s="272"/>
      <c r="O674" s="240" t="s">
        <v>4086</v>
      </c>
      <c r="P674" s="240"/>
      <c r="Q674" s="238" t="s">
        <v>249</v>
      </c>
      <c r="R674" s="240" t="s">
        <v>182</v>
      </c>
      <c r="S674" s="240" t="s">
        <v>433</v>
      </c>
      <c r="T674" s="251"/>
      <c r="U674" s="273"/>
      <c r="V674" s="274" t="s">
        <v>184</v>
      </c>
      <c r="W674" s="274" t="s">
        <v>184</v>
      </c>
      <c r="X674" s="275">
        <v>4</v>
      </c>
      <c r="Y674" s="267" t="s">
        <v>4129</v>
      </c>
      <c r="Z674" s="277" t="s">
        <v>186</v>
      </c>
      <c r="AA674" s="277"/>
      <c r="AB674" s="274"/>
      <c r="AC674" s="286"/>
      <c r="AD674" s="286"/>
      <c r="AE674" s="286"/>
      <c r="AF674" s="288"/>
      <c r="AG674" s="286"/>
      <c r="AH674" s="276"/>
      <c r="AI674" s="276"/>
      <c r="AJ674" s="274" t="s">
        <v>203</v>
      </c>
      <c r="AK674" s="274" t="s">
        <v>190</v>
      </c>
      <c r="AL674" s="274" t="s">
        <v>190</v>
      </c>
      <c r="AM674" s="260" t="s">
        <v>3859</v>
      </c>
      <c r="AN674" s="22">
        <v>182</v>
      </c>
      <c r="AO674" s="22">
        <v>0</v>
      </c>
      <c r="AP674" s="22">
        <v>20</v>
      </c>
      <c r="AQ674" s="22">
        <v>0</v>
      </c>
      <c r="AR674" s="22">
        <v>0</v>
      </c>
      <c r="AS674" s="22">
        <v>7</v>
      </c>
      <c r="AT674" s="22">
        <v>10</v>
      </c>
      <c r="AU674" s="316">
        <f t="shared" si="111"/>
        <v>219</v>
      </c>
      <c r="AV674" s="22">
        <v>190</v>
      </c>
      <c r="AW674" s="22">
        <v>0</v>
      </c>
      <c r="AX674" s="22">
        <v>20</v>
      </c>
      <c r="AY674" s="22">
        <v>0</v>
      </c>
      <c r="AZ674" s="22">
        <v>0</v>
      </c>
      <c r="BA674" s="22">
        <v>7</v>
      </c>
      <c r="BB674" s="22">
        <v>10</v>
      </c>
      <c r="BC674" s="316">
        <f t="shared" si="112"/>
        <v>227</v>
      </c>
      <c r="BD674" s="58">
        <f t="shared" si="113"/>
        <v>8</v>
      </c>
      <c r="BE674" s="58">
        <f t="shared" si="114"/>
        <v>0</v>
      </c>
      <c r="BF674" s="58">
        <f t="shared" si="115"/>
        <v>0</v>
      </c>
      <c r="BG674" s="58">
        <f t="shared" si="116"/>
        <v>0</v>
      </c>
      <c r="BH674" s="58">
        <f t="shared" si="117"/>
        <v>0</v>
      </c>
      <c r="BI674" s="58">
        <f t="shared" si="118"/>
        <v>0</v>
      </c>
      <c r="BJ674" s="58">
        <f t="shared" si="119"/>
        <v>0</v>
      </c>
      <c r="BK674" s="58">
        <f t="shared" si="120"/>
        <v>8</v>
      </c>
    </row>
    <row r="675" spans="1:63" ht="27" customHeight="1">
      <c r="A675" s="238">
        <f t="shared" si="121"/>
        <v>673</v>
      </c>
      <c r="B675" s="239"/>
      <c r="C675" s="266">
        <v>3204</v>
      </c>
      <c r="D675" s="241" t="s">
        <v>4130</v>
      </c>
      <c r="E675" s="267" t="s">
        <v>4131</v>
      </c>
      <c r="F675" s="268" t="s">
        <v>4132</v>
      </c>
      <c r="G675" s="269" t="s">
        <v>4133</v>
      </c>
      <c r="H675" s="245" t="s">
        <v>1636</v>
      </c>
      <c r="I675" s="246" t="s">
        <v>4134</v>
      </c>
      <c r="J675" s="270" t="s">
        <v>209</v>
      </c>
      <c r="K675" s="271">
        <v>32952</v>
      </c>
      <c r="L675" s="249" t="s">
        <v>179</v>
      </c>
      <c r="M675" s="272">
        <v>43740</v>
      </c>
      <c r="N675" s="272"/>
      <c r="O675" s="240" t="s">
        <v>4037</v>
      </c>
      <c r="P675" s="238" t="s">
        <v>3770</v>
      </c>
      <c r="Q675" s="238" t="s">
        <v>249</v>
      </c>
      <c r="R675" s="240" t="s">
        <v>182</v>
      </c>
      <c r="S675" s="240" t="s">
        <v>183</v>
      </c>
      <c r="T675" s="251"/>
      <c r="U675" s="273"/>
      <c r="V675" s="274" t="s">
        <v>184</v>
      </c>
      <c r="W675" s="274" t="s">
        <v>184</v>
      </c>
      <c r="X675" s="275">
        <v>1</v>
      </c>
      <c r="Y675" s="267" t="s">
        <v>4135</v>
      </c>
      <c r="Z675" s="277"/>
      <c r="AA675" s="277" t="s">
        <v>186</v>
      </c>
      <c r="AB675" s="274"/>
      <c r="AC675" s="286"/>
      <c r="AD675" s="286"/>
      <c r="AE675" s="286"/>
      <c r="AF675" s="288"/>
      <c r="AG675" s="286"/>
      <c r="AH675" s="276"/>
      <c r="AI675" s="276"/>
      <c r="AJ675" s="274" t="s">
        <v>190</v>
      </c>
      <c r="AK675" s="274" t="s">
        <v>190</v>
      </c>
      <c r="AL675" s="274" t="s">
        <v>190</v>
      </c>
      <c r="AM675" s="260" t="s">
        <v>3859</v>
      </c>
      <c r="AN675" s="22">
        <v>182</v>
      </c>
      <c r="AO675" s="22">
        <v>0</v>
      </c>
      <c r="AP675" s="22">
        <v>0</v>
      </c>
      <c r="AQ675" s="22">
        <v>0</v>
      </c>
      <c r="AR675" s="22">
        <v>0</v>
      </c>
      <c r="AS675" s="22">
        <v>7</v>
      </c>
      <c r="AT675" s="22">
        <v>10</v>
      </c>
      <c r="AU675" s="316">
        <f t="shared" si="111"/>
        <v>199</v>
      </c>
      <c r="AV675" s="22">
        <v>190</v>
      </c>
      <c r="AW675" s="22">
        <v>0</v>
      </c>
      <c r="AX675" s="22">
        <v>0</v>
      </c>
      <c r="AY675" s="22">
        <v>0</v>
      </c>
      <c r="AZ675" s="22">
        <v>0</v>
      </c>
      <c r="BA675" s="22">
        <v>7</v>
      </c>
      <c r="BB675" s="22">
        <v>10</v>
      </c>
      <c r="BC675" s="316">
        <f t="shared" si="112"/>
        <v>207</v>
      </c>
      <c r="BD675" s="58">
        <f t="shared" si="113"/>
        <v>8</v>
      </c>
      <c r="BE675" s="58">
        <f t="shared" si="114"/>
        <v>0</v>
      </c>
      <c r="BF675" s="58">
        <f t="shared" si="115"/>
        <v>0</v>
      </c>
      <c r="BG675" s="58">
        <f t="shared" si="116"/>
        <v>0</v>
      </c>
      <c r="BH675" s="58">
        <f t="shared" si="117"/>
        <v>0</v>
      </c>
      <c r="BI675" s="58">
        <f t="shared" si="118"/>
        <v>0</v>
      </c>
      <c r="BJ675" s="58">
        <f t="shared" si="119"/>
        <v>0</v>
      </c>
      <c r="BK675" s="58">
        <f t="shared" si="120"/>
        <v>8</v>
      </c>
    </row>
    <row r="676" spans="1:63" ht="27" customHeight="1">
      <c r="A676" s="238">
        <f t="shared" si="121"/>
        <v>674</v>
      </c>
      <c r="B676" s="239"/>
      <c r="C676" s="266">
        <v>3261</v>
      </c>
      <c r="D676" s="241" t="s">
        <v>4136</v>
      </c>
      <c r="E676" s="267" t="s">
        <v>4137</v>
      </c>
      <c r="F676" s="268" t="s">
        <v>4138</v>
      </c>
      <c r="G676" s="269" t="s">
        <v>4139</v>
      </c>
      <c r="H676" s="245" t="s">
        <v>949</v>
      </c>
      <c r="I676" s="246" t="s">
        <v>4140</v>
      </c>
      <c r="J676" s="270" t="s">
        <v>209</v>
      </c>
      <c r="K676" s="271">
        <v>32123</v>
      </c>
      <c r="L676" s="249" t="s">
        <v>179</v>
      </c>
      <c r="M676" s="272">
        <v>43746</v>
      </c>
      <c r="N676" s="272"/>
      <c r="O676" s="240" t="s">
        <v>3978</v>
      </c>
      <c r="P676" s="238" t="s">
        <v>3638</v>
      </c>
      <c r="Q676" s="238" t="s">
        <v>249</v>
      </c>
      <c r="R676" s="240" t="s">
        <v>182</v>
      </c>
      <c r="S676" s="240" t="s">
        <v>228</v>
      </c>
      <c r="T676" s="251"/>
      <c r="U676" s="273"/>
      <c r="V676" s="274" t="s">
        <v>184</v>
      </c>
      <c r="W676" s="274" t="s">
        <v>184</v>
      </c>
      <c r="X676" s="275">
        <v>6</v>
      </c>
      <c r="Y676" s="267" t="s">
        <v>4141</v>
      </c>
      <c r="Z676" s="274"/>
      <c r="AA676" s="277"/>
      <c r="AB676" s="274"/>
      <c r="AC676" s="286"/>
      <c r="AD676" s="286"/>
      <c r="AE676" s="286"/>
      <c r="AF676" s="288"/>
      <c r="AG676" s="286"/>
      <c r="AH676" s="276"/>
      <c r="AI676" s="276"/>
      <c r="AJ676" s="274" t="s">
        <v>203</v>
      </c>
      <c r="AK676" s="274" t="s">
        <v>190</v>
      </c>
      <c r="AL676" s="274" t="s">
        <v>190</v>
      </c>
      <c r="AM676" s="260" t="s">
        <v>241</v>
      </c>
      <c r="AN676" s="22">
        <v>182</v>
      </c>
      <c r="AO676" s="22">
        <v>0</v>
      </c>
      <c r="AP676" s="22">
        <v>20</v>
      </c>
      <c r="AQ676" s="22">
        <v>10</v>
      </c>
      <c r="AR676" s="22">
        <v>0</v>
      </c>
      <c r="AS676" s="22">
        <v>7</v>
      </c>
      <c r="AT676" s="22">
        <v>10</v>
      </c>
      <c r="AU676" s="316">
        <f t="shared" si="111"/>
        <v>229</v>
      </c>
      <c r="AV676" s="22">
        <v>190</v>
      </c>
      <c r="AW676" s="22">
        <v>0</v>
      </c>
      <c r="AX676" s="22">
        <v>20</v>
      </c>
      <c r="AY676" s="22">
        <v>10</v>
      </c>
      <c r="AZ676" s="22">
        <v>0</v>
      </c>
      <c r="BA676" s="22">
        <v>7</v>
      </c>
      <c r="BB676" s="22">
        <v>10</v>
      </c>
      <c r="BC676" s="316">
        <f t="shared" si="112"/>
        <v>237</v>
      </c>
      <c r="BD676" s="58">
        <f t="shared" si="113"/>
        <v>8</v>
      </c>
      <c r="BE676" s="58">
        <f t="shared" si="114"/>
        <v>0</v>
      </c>
      <c r="BF676" s="58">
        <f t="shared" si="115"/>
        <v>0</v>
      </c>
      <c r="BG676" s="58">
        <f t="shared" si="116"/>
        <v>0</v>
      </c>
      <c r="BH676" s="58">
        <f t="shared" si="117"/>
        <v>0</v>
      </c>
      <c r="BI676" s="58">
        <f t="shared" si="118"/>
        <v>0</v>
      </c>
      <c r="BJ676" s="58">
        <f t="shared" si="119"/>
        <v>0</v>
      </c>
      <c r="BK676" s="58">
        <f t="shared" si="120"/>
        <v>8</v>
      </c>
    </row>
    <row r="677" spans="1:63" ht="27" customHeight="1">
      <c r="A677" s="238">
        <f t="shared" si="121"/>
        <v>675</v>
      </c>
      <c r="B677" s="239"/>
      <c r="C677" s="266">
        <v>3153</v>
      </c>
      <c r="D677" s="241" t="s">
        <v>4142</v>
      </c>
      <c r="E677" s="267" t="s">
        <v>4143</v>
      </c>
      <c r="F677" s="268" t="s">
        <v>472</v>
      </c>
      <c r="G677" s="269" t="s">
        <v>2991</v>
      </c>
      <c r="H677" s="245" t="s">
        <v>474</v>
      </c>
      <c r="I677" s="246" t="s">
        <v>4144</v>
      </c>
      <c r="J677" s="270" t="s">
        <v>178</v>
      </c>
      <c r="K677" s="271">
        <v>33893</v>
      </c>
      <c r="L677" s="249" t="s">
        <v>179</v>
      </c>
      <c r="M677" s="272">
        <v>43740</v>
      </c>
      <c r="N677" s="272"/>
      <c r="O677" s="240" t="s">
        <v>4090</v>
      </c>
      <c r="P677" s="238" t="s">
        <v>3775</v>
      </c>
      <c r="Q677" s="238" t="s">
        <v>249</v>
      </c>
      <c r="R677" s="240" t="s">
        <v>182</v>
      </c>
      <c r="S677" s="240" t="s">
        <v>211</v>
      </c>
      <c r="T677" s="251"/>
      <c r="U677" s="273"/>
      <c r="V677" s="274" t="s">
        <v>184</v>
      </c>
      <c r="W677" s="274" t="s">
        <v>184</v>
      </c>
      <c r="X677" s="275">
        <v>3</v>
      </c>
      <c r="Y677" s="267" t="s">
        <v>4145</v>
      </c>
      <c r="Z677" s="274"/>
      <c r="AA677" s="277" t="s">
        <v>186</v>
      </c>
      <c r="AB677" s="274"/>
      <c r="AC677" s="286"/>
      <c r="AD677" s="286"/>
      <c r="AE677" s="286"/>
      <c r="AF677" s="288"/>
      <c r="AG677" s="286"/>
      <c r="AH677" s="276"/>
      <c r="AI677" s="276"/>
      <c r="AJ677" s="274" t="s">
        <v>203</v>
      </c>
      <c r="AK677" s="274" t="s">
        <v>190</v>
      </c>
      <c r="AL677" s="274" t="s">
        <v>190</v>
      </c>
      <c r="AM677" s="260" t="s">
        <v>3859</v>
      </c>
      <c r="AN677" s="22">
        <v>182</v>
      </c>
      <c r="AO677" s="22">
        <v>0</v>
      </c>
      <c r="AP677" s="22">
        <v>20</v>
      </c>
      <c r="AQ677" s="22">
        <v>0</v>
      </c>
      <c r="AR677" s="22">
        <v>0</v>
      </c>
      <c r="AS677" s="22">
        <v>7</v>
      </c>
      <c r="AT677" s="22">
        <v>10</v>
      </c>
      <c r="AU677" s="316">
        <f t="shared" si="111"/>
        <v>219</v>
      </c>
      <c r="AV677" s="22">
        <v>190</v>
      </c>
      <c r="AW677" s="22">
        <v>0</v>
      </c>
      <c r="AX677" s="22">
        <v>20</v>
      </c>
      <c r="AY677" s="22">
        <v>0</v>
      </c>
      <c r="AZ677" s="22">
        <v>0</v>
      </c>
      <c r="BA677" s="22">
        <v>7</v>
      </c>
      <c r="BB677" s="22">
        <v>10</v>
      </c>
      <c r="BC677" s="316">
        <f t="shared" si="112"/>
        <v>227</v>
      </c>
      <c r="BD677" s="58">
        <f t="shared" si="113"/>
        <v>8</v>
      </c>
      <c r="BE677" s="58">
        <f t="shared" si="114"/>
        <v>0</v>
      </c>
      <c r="BF677" s="58">
        <f t="shared" si="115"/>
        <v>0</v>
      </c>
      <c r="BG677" s="58">
        <f t="shared" si="116"/>
        <v>0</v>
      </c>
      <c r="BH677" s="58">
        <f t="shared" si="117"/>
        <v>0</v>
      </c>
      <c r="BI677" s="58">
        <f t="shared" si="118"/>
        <v>0</v>
      </c>
      <c r="BJ677" s="58">
        <f t="shared" si="119"/>
        <v>0</v>
      </c>
      <c r="BK677" s="58">
        <f t="shared" si="120"/>
        <v>8</v>
      </c>
    </row>
    <row r="678" spans="1:63" ht="27" customHeight="1">
      <c r="A678" s="238">
        <f t="shared" si="121"/>
        <v>676</v>
      </c>
      <c r="B678" s="239"/>
      <c r="C678" s="266">
        <v>3211</v>
      </c>
      <c r="D678" s="241" t="s">
        <v>4146</v>
      </c>
      <c r="E678" s="267" t="s">
        <v>4147</v>
      </c>
      <c r="F678" s="268" t="s">
        <v>4148</v>
      </c>
      <c r="G678" s="269" t="s">
        <v>4149</v>
      </c>
      <c r="H678" s="291" t="s">
        <v>4150</v>
      </c>
      <c r="I678" s="246" t="s">
        <v>4151</v>
      </c>
      <c r="J678" s="270" t="s">
        <v>209</v>
      </c>
      <c r="K678" s="271">
        <v>32572</v>
      </c>
      <c r="L678" s="249" t="s">
        <v>179</v>
      </c>
      <c r="M678" s="272">
        <v>43742</v>
      </c>
      <c r="N678" s="272"/>
      <c r="O678" s="240" t="s">
        <v>4152</v>
      </c>
      <c r="P678" s="238" t="s">
        <v>3950</v>
      </c>
      <c r="Q678" s="238" t="s">
        <v>249</v>
      </c>
      <c r="R678" s="240" t="s">
        <v>3960</v>
      </c>
      <c r="S678" s="240" t="s">
        <v>1206</v>
      </c>
      <c r="T678" s="251" t="s">
        <v>4153</v>
      </c>
      <c r="U678" s="273">
        <v>43789</v>
      </c>
      <c r="V678" s="274" t="s">
        <v>184</v>
      </c>
      <c r="W678" s="274" t="s">
        <v>184</v>
      </c>
      <c r="X678" s="275">
        <v>5</v>
      </c>
      <c r="Y678" s="267" t="s">
        <v>4154</v>
      </c>
      <c r="Z678" s="277" t="s">
        <v>186</v>
      </c>
      <c r="AA678" s="274"/>
      <c r="AB678" s="274"/>
      <c r="AC678" s="286"/>
      <c r="AD678" s="286"/>
      <c r="AE678" s="286"/>
      <c r="AF678" s="288"/>
      <c r="AG678" s="286"/>
      <c r="AH678" s="276"/>
      <c r="AI678" s="276"/>
      <c r="AJ678" s="274" t="s">
        <v>203</v>
      </c>
      <c r="AK678" s="274" t="s">
        <v>190</v>
      </c>
      <c r="AL678" s="274" t="s">
        <v>190</v>
      </c>
      <c r="AM678" s="260" t="s">
        <v>3859</v>
      </c>
      <c r="AN678" s="22">
        <v>182</v>
      </c>
      <c r="AO678" s="22">
        <v>0</v>
      </c>
      <c r="AP678" s="22">
        <v>0</v>
      </c>
      <c r="AQ678" s="22">
        <v>0</v>
      </c>
      <c r="AR678" s="22">
        <v>0</v>
      </c>
      <c r="AS678" s="22">
        <v>7</v>
      </c>
      <c r="AT678" s="22">
        <v>10</v>
      </c>
      <c r="AU678" s="316">
        <f t="shared" si="111"/>
        <v>199</v>
      </c>
      <c r="AV678" s="22">
        <v>190</v>
      </c>
      <c r="AW678" s="22">
        <v>0</v>
      </c>
      <c r="AX678" s="22">
        <v>0</v>
      </c>
      <c r="AY678" s="22">
        <v>0</v>
      </c>
      <c r="AZ678" s="22">
        <v>0</v>
      </c>
      <c r="BA678" s="22">
        <v>7</v>
      </c>
      <c r="BB678" s="22">
        <v>10</v>
      </c>
      <c r="BC678" s="316">
        <f t="shared" si="112"/>
        <v>207</v>
      </c>
      <c r="BD678" s="58">
        <f t="shared" si="113"/>
        <v>8</v>
      </c>
      <c r="BE678" s="58">
        <f t="shared" si="114"/>
        <v>0</v>
      </c>
      <c r="BF678" s="58">
        <f t="shared" si="115"/>
        <v>0</v>
      </c>
      <c r="BG678" s="58">
        <f t="shared" si="116"/>
        <v>0</v>
      </c>
      <c r="BH678" s="58">
        <f t="shared" si="117"/>
        <v>0</v>
      </c>
      <c r="BI678" s="58">
        <f t="shared" si="118"/>
        <v>0</v>
      </c>
      <c r="BJ678" s="58">
        <f t="shared" si="119"/>
        <v>0</v>
      </c>
      <c r="BK678" s="58">
        <f t="shared" si="120"/>
        <v>8</v>
      </c>
    </row>
    <row r="679" spans="1:63" ht="27" customHeight="1">
      <c r="A679" s="238">
        <f t="shared" si="121"/>
        <v>677</v>
      </c>
      <c r="B679" s="239"/>
      <c r="C679" s="266">
        <v>3597</v>
      </c>
      <c r="D679" s="241" t="s">
        <v>4155</v>
      </c>
      <c r="E679" s="267" t="s">
        <v>4156</v>
      </c>
      <c r="F679" s="268" t="s">
        <v>2550</v>
      </c>
      <c r="G679" s="269" t="s">
        <v>2241</v>
      </c>
      <c r="H679" s="245" t="s">
        <v>1647</v>
      </c>
      <c r="I679" s="246" t="s">
        <v>2242</v>
      </c>
      <c r="J679" s="270" t="s">
        <v>178</v>
      </c>
      <c r="K679" s="271">
        <v>34799</v>
      </c>
      <c r="L679" s="249" t="s">
        <v>179</v>
      </c>
      <c r="M679" s="272">
        <v>43747</v>
      </c>
      <c r="N679" s="272"/>
      <c r="O679" s="240"/>
      <c r="P679" s="238" t="s">
        <v>3754</v>
      </c>
      <c r="Q679" s="238" t="s">
        <v>249</v>
      </c>
      <c r="R679" s="240" t="s">
        <v>182</v>
      </c>
      <c r="S679" s="240" t="s">
        <v>228</v>
      </c>
      <c r="T679" s="251"/>
      <c r="U679" s="273"/>
      <c r="V679" s="274" t="s">
        <v>184</v>
      </c>
      <c r="W679" s="274" t="s">
        <v>184</v>
      </c>
      <c r="X679" s="275">
        <v>8</v>
      </c>
      <c r="Y679" s="267" t="s">
        <v>4157</v>
      </c>
      <c r="Z679" s="277"/>
      <c r="AA679" s="277"/>
      <c r="AB679" s="277"/>
      <c r="AC679" s="287"/>
      <c r="AD679" s="287"/>
      <c r="AE679" s="287"/>
      <c r="AF679" s="288"/>
      <c r="AG679" s="286"/>
      <c r="AH679" s="276"/>
      <c r="AI679" s="276"/>
      <c r="AJ679" s="274" t="s">
        <v>190</v>
      </c>
      <c r="AK679" s="274" t="s">
        <v>190</v>
      </c>
      <c r="AL679" s="274" t="s">
        <v>190</v>
      </c>
      <c r="AM679" s="289"/>
      <c r="AN679" s="22">
        <v>182</v>
      </c>
      <c r="AO679" s="22">
        <v>0</v>
      </c>
      <c r="AP679" s="22">
        <v>20</v>
      </c>
      <c r="AQ679" s="22">
        <v>0</v>
      </c>
      <c r="AR679" s="22">
        <v>0</v>
      </c>
      <c r="AS679" s="22">
        <v>7</v>
      </c>
      <c r="AT679" s="22">
        <v>10</v>
      </c>
      <c r="AU679" s="316">
        <f t="shared" si="111"/>
        <v>219</v>
      </c>
      <c r="AV679" s="22">
        <v>190</v>
      </c>
      <c r="AW679" s="22">
        <v>0</v>
      </c>
      <c r="AX679" s="22">
        <v>20</v>
      </c>
      <c r="AY679" s="22">
        <v>0</v>
      </c>
      <c r="AZ679" s="22">
        <v>0</v>
      </c>
      <c r="BA679" s="22">
        <v>7</v>
      </c>
      <c r="BB679" s="22">
        <v>10</v>
      </c>
      <c r="BC679" s="316">
        <f t="shared" si="112"/>
        <v>227</v>
      </c>
      <c r="BD679" s="58">
        <f t="shared" si="113"/>
        <v>8</v>
      </c>
      <c r="BE679" s="58">
        <f t="shared" si="114"/>
        <v>0</v>
      </c>
      <c r="BF679" s="58">
        <f t="shared" si="115"/>
        <v>0</v>
      </c>
      <c r="BG679" s="58">
        <f t="shared" si="116"/>
        <v>0</v>
      </c>
      <c r="BH679" s="58">
        <f t="shared" si="117"/>
        <v>0</v>
      </c>
      <c r="BI679" s="58">
        <f t="shared" si="118"/>
        <v>0</v>
      </c>
      <c r="BJ679" s="58">
        <f t="shared" si="119"/>
        <v>0</v>
      </c>
      <c r="BK679" s="58">
        <f t="shared" si="120"/>
        <v>8</v>
      </c>
    </row>
    <row r="680" spans="1:63" ht="27" customHeight="1">
      <c r="A680" s="238">
        <f t="shared" si="121"/>
        <v>678</v>
      </c>
      <c r="B680" s="239"/>
      <c r="C680" s="266">
        <v>3209</v>
      </c>
      <c r="D680" s="241" t="s">
        <v>4158</v>
      </c>
      <c r="E680" s="267" t="s">
        <v>4159</v>
      </c>
      <c r="F680" s="268" t="s">
        <v>3021</v>
      </c>
      <c r="G680" s="269" t="s">
        <v>4160</v>
      </c>
      <c r="H680" s="245" t="s">
        <v>3920</v>
      </c>
      <c r="I680" s="246" t="s">
        <v>4161</v>
      </c>
      <c r="J680" s="270" t="s">
        <v>209</v>
      </c>
      <c r="K680" s="271">
        <v>31786</v>
      </c>
      <c r="L680" s="249" t="s">
        <v>179</v>
      </c>
      <c r="M680" s="272">
        <v>43741</v>
      </c>
      <c r="N680" s="272"/>
      <c r="O680" s="240" t="s">
        <v>4081</v>
      </c>
      <c r="P680" s="238" t="s">
        <v>318</v>
      </c>
      <c r="Q680" s="238" t="s">
        <v>249</v>
      </c>
      <c r="R680" s="240" t="s">
        <v>182</v>
      </c>
      <c r="S680" s="240" t="s">
        <v>228</v>
      </c>
      <c r="T680" s="251"/>
      <c r="U680" s="273"/>
      <c r="V680" s="274" t="s">
        <v>184</v>
      </c>
      <c r="W680" s="274" t="s">
        <v>184</v>
      </c>
      <c r="X680" s="275">
        <v>6</v>
      </c>
      <c r="Y680" s="267" t="s">
        <v>4162</v>
      </c>
      <c r="Z680" s="277"/>
      <c r="AA680" s="277" t="s">
        <v>186</v>
      </c>
      <c r="AB680" s="277"/>
      <c r="AC680" s="287"/>
      <c r="AD680" s="287"/>
      <c r="AE680" s="286"/>
      <c r="AF680" s="288"/>
      <c r="AG680" s="286"/>
      <c r="AH680" s="276"/>
      <c r="AI680" s="276"/>
      <c r="AJ680" s="274" t="s">
        <v>203</v>
      </c>
      <c r="AK680" s="274" t="s">
        <v>190</v>
      </c>
      <c r="AL680" s="274" t="s">
        <v>190</v>
      </c>
      <c r="AM680" s="260" t="s">
        <v>3859</v>
      </c>
      <c r="AN680" s="22">
        <v>182</v>
      </c>
      <c r="AO680" s="22">
        <v>0</v>
      </c>
      <c r="AP680" s="22">
        <v>20</v>
      </c>
      <c r="AQ680" s="22">
        <v>0</v>
      </c>
      <c r="AR680" s="22">
        <v>0</v>
      </c>
      <c r="AS680" s="22">
        <v>7</v>
      </c>
      <c r="AT680" s="22">
        <v>10</v>
      </c>
      <c r="AU680" s="316">
        <f t="shared" si="111"/>
        <v>219</v>
      </c>
      <c r="AV680" s="22">
        <v>190</v>
      </c>
      <c r="AW680" s="22">
        <v>0</v>
      </c>
      <c r="AX680" s="22">
        <v>20</v>
      </c>
      <c r="AY680" s="22">
        <v>0</v>
      </c>
      <c r="AZ680" s="22">
        <v>0</v>
      </c>
      <c r="BA680" s="22">
        <v>7</v>
      </c>
      <c r="BB680" s="22">
        <v>10</v>
      </c>
      <c r="BC680" s="316">
        <f t="shared" si="112"/>
        <v>227</v>
      </c>
      <c r="BD680" s="58">
        <f t="shared" si="113"/>
        <v>8</v>
      </c>
      <c r="BE680" s="58">
        <f t="shared" si="114"/>
        <v>0</v>
      </c>
      <c r="BF680" s="58">
        <f t="shared" si="115"/>
        <v>0</v>
      </c>
      <c r="BG680" s="58">
        <f t="shared" si="116"/>
        <v>0</v>
      </c>
      <c r="BH680" s="58">
        <f t="shared" si="117"/>
        <v>0</v>
      </c>
      <c r="BI680" s="58">
        <f t="shared" si="118"/>
        <v>0</v>
      </c>
      <c r="BJ680" s="58">
        <f t="shared" si="119"/>
        <v>0</v>
      </c>
      <c r="BK680" s="58">
        <f t="shared" si="120"/>
        <v>8</v>
      </c>
    </row>
    <row r="681" spans="1:63" ht="27" customHeight="1">
      <c r="A681" s="238">
        <f t="shared" si="121"/>
        <v>679</v>
      </c>
      <c r="B681" s="239"/>
      <c r="C681" s="266">
        <v>3532</v>
      </c>
      <c r="D681" s="241" t="s">
        <v>4163</v>
      </c>
      <c r="E681" s="267" t="s">
        <v>4164</v>
      </c>
      <c r="F681" s="268" t="s">
        <v>4165</v>
      </c>
      <c r="G681" s="269" t="s">
        <v>2021</v>
      </c>
      <c r="H681" s="245" t="s">
        <v>4166</v>
      </c>
      <c r="I681" s="246" t="s">
        <v>907</v>
      </c>
      <c r="J681" s="270" t="s">
        <v>209</v>
      </c>
      <c r="K681" s="271">
        <v>30806</v>
      </c>
      <c r="L681" s="249" t="s">
        <v>179</v>
      </c>
      <c r="M681" s="272">
        <v>43746</v>
      </c>
      <c r="N681" s="272"/>
      <c r="O681" s="240" t="s">
        <v>4024</v>
      </c>
      <c r="P681" s="238" t="s">
        <v>3959</v>
      </c>
      <c r="Q681" s="238" t="s">
        <v>249</v>
      </c>
      <c r="R681" s="240" t="s">
        <v>182</v>
      </c>
      <c r="S681" s="240" t="s">
        <v>211</v>
      </c>
      <c r="T681" s="251"/>
      <c r="U681" s="273"/>
      <c r="V681" s="274" t="s">
        <v>184</v>
      </c>
      <c r="W681" s="274" t="s">
        <v>184</v>
      </c>
      <c r="X681" s="275">
        <v>4</v>
      </c>
      <c r="Y681" s="267" t="s">
        <v>4167</v>
      </c>
      <c r="Z681" s="277"/>
      <c r="AA681" s="277"/>
      <c r="AB681" s="277"/>
      <c r="AC681" s="287"/>
      <c r="AD681" s="287"/>
      <c r="AE681" s="287"/>
      <c r="AF681" s="288"/>
      <c r="AG681" s="286"/>
      <c r="AH681" s="276"/>
      <c r="AI681" s="276"/>
      <c r="AJ681" s="274" t="s">
        <v>190</v>
      </c>
      <c r="AK681" s="274" t="s">
        <v>190</v>
      </c>
      <c r="AL681" s="274" t="s">
        <v>190</v>
      </c>
      <c r="AM681" s="289"/>
      <c r="AN681" s="22">
        <v>182</v>
      </c>
      <c r="AO681" s="22">
        <v>0</v>
      </c>
      <c r="AP681" s="22">
        <v>20</v>
      </c>
      <c r="AQ681" s="22">
        <v>0</v>
      </c>
      <c r="AR681" s="22">
        <v>0</v>
      </c>
      <c r="AS681" s="22">
        <v>7</v>
      </c>
      <c r="AT681" s="22">
        <v>10</v>
      </c>
      <c r="AU681" s="316">
        <f t="shared" si="111"/>
        <v>219</v>
      </c>
      <c r="AV681" s="22">
        <v>190</v>
      </c>
      <c r="AW681" s="22">
        <v>0</v>
      </c>
      <c r="AX681" s="22">
        <v>20</v>
      </c>
      <c r="AY681" s="22">
        <v>0</v>
      </c>
      <c r="AZ681" s="22">
        <v>0</v>
      </c>
      <c r="BA681" s="22">
        <v>7</v>
      </c>
      <c r="BB681" s="22">
        <v>10</v>
      </c>
      <c r="BC681" s="316">
        <f t="shared" si="112"/>
        <v>227</v>
      </c>
      <c r="BD681" s="58">
        <f t="shared" si="113"/>
        <v>8</v>
      </c>
      <c r="BE681" s="58">
        <f t="shared" si="114"/>
        <v>0</v>
      </c>
      <c r="BF681" s="58">
        <f t="shared" si="115"/>
        <v>0</v>
      </c>
      <c r="BG681" s="58">
        <f t="shared" si="116"/>
        <v>0</v>
      </c>
      <c r="BH681" s="58">
        <f t="shared" si="117"/>
        <v>0</v>
      </c>
      <c r="BI681" s="58">
        <f t="shared" si="118"/>
        <v>0</v>
      </c>
      <c r="BJ681" s="58">
        <f t="shared" si="119"/>
        <v>0</v>
      </c>
      <c r="BK681" s="58">
        <f t="shared" si="120"/>
        <v>8</v>
      </c>
    </row>
    <row r="682" spans="1:63" ht="27" customHeight="1">
      <c r="A682" s="238">
        <f t="shared" si="121"/>
        <v>680</v>
      </c>
      <c r="B682" s="239"/>
      <c r="C682" s="266">
        <v>3234</v>
      </c>
      <c r="D682" s="241" t="s">
        <v>4168</v>
      </c>
      <c r="E682" s="267" t="s">
        <v>4169</v>
      </c>
      <c r="F682" s="268" t="s">
        <v>2098</v>
      </c>
      <c r="G682" s="269" t="s">
        <v>4170</v>
      </c>
      <c r="H682" s="245" t="s">
        <v>4171</v>
      </c>
      <c r="I682" s="246" t="s">
        <v>4116</v>
      </c>
      <c r="J682" s="270" t="s">
        <v>178</v>
      </c>
      <c r="K682" s="271">
        <v>32357</v>
      </c>
      <c r="L682" s="249" t="s">
        <v>179</v>
      </c>
      <c r="M682" s="272">
        <v>43742</v>
      </c>
      <c r="N682" s="272"/>
      <c r="O682" s="240" t="s">
        <v>4090</v>
      </c>
      <c r="P682" s="238" t="s">
        <v>3775</v>
      </c>
      <c r="Q682" s="238" t="s">
        <v>249</v>
      </c>
      <c r="R682" s="240" t="s">
        <v>182</v>
      </c>
      <c r="S682" s="240" t="s">
        <v>219</v>
      </c>
      <c r="T682" s="251"/>
      <c r="U682" s="273"/>
      <c r="V682" s="274" t="s">
        <v>184</v>
      </c>
      <c r="W682" s="274" t="s">
        <v>184</v>
      </c>
      <c r="X682" s="275">
        <v>3</v>
      </c>
      <c r="Y682" s="267" t="s">
        <v>4172</v>
      </c>
      <c r="Z682" s="277"/>
      <c r="AA682" s="277"/>
      <c r="AB682" s="277" t="s">
        <v>186</v>
      </c>
      <c r="AC682" s="287"/>
      <c r="AD682" s="286"/>
      <c r="AE682" s="286"/>
      <c r="AF682" s="288"/>
      <c r="AG682" s="286"/>
      <c r="AH682" s="276"/>
      <c r="AI682" s="276"/>
      <c r="AJ682" s="274" t="s">
        <v>190</v>
      </c>
      <c r="AK682" s="274" t="s">
        <v>190</v>
      </c>
      <c r="AL682" s="274" t="s">
        <v>190</v>
      </c>
      <c r="AM682" s="289" t="s">
        <v>3967</v>
      </c>
      <c r="AN682" s="22">
        <v>182</v>
      </c>
      <c r="AO682" s="22">
        <v>0</v>
      </c>
      <c r="AP682" s="22">
        <v>20</v>
      </c>
      <c r="AQ682" s="22">
        <v>0</v>
      </c>
      <c r="AR682" s="22">
        <v>0</v>
      </c>
      <c r="AS682" s="22">
        <v>7</v>
      </c>
      <c r="AT682" s="22">
        <v>10</v>
      </c>
      <c r="AU682" s="316">
        <f t="shared" si="111"/>
        <v>219</v>
      </c>
      <c r="AV682" s="22">
        <v>190</v>
      </c>
      <c r="AW682" s="22">
        <v>0</v>
      </c>
      <c r="AX682" s="22">
        <v>20</v>
      </c>
      <c r="AY682" s="22">
        <v>0</v>
      </c>
      <c r="AZ682" s="22">
        <v>0</v>
      </c>
      <c r="BA682" s="22">
        <v>7</v>
      </c>
      <c r="BB682" s="22">
        <v>10</v>
      </c>
      <c r="BC682" s="316">
        <f t="shared" si="112"/>
        <v>227</v>
      </c>
      <c r="BD682" s="58">
        <f t="shared" si="113"/>
        <v>8</v>
      </c>
      <c r="BE682" s="58">
        <f t="shared" si="114"/>
        <v>0</v>
      </c>
      <c r="BF682" s="58">
        <f t="shared" si="115"/>
        <v>0</v>
      </c>
      <c r="BG682" s="58">
        <f t="shared" si="116"/>
        <v>0</v>
      </c>
      <c r="BH682" s="58">
        <f t="shared" si="117"/>
        <v>0</v>
      </c>
      <c r="BI682" s="58">
        <f t="shared" si="118"/>
        <v>0</v>
      </c>
      <c r="BJ682" s="58">
        <f t="shared" si="119"/>
        <v>0</v>
      </c>
      <c r="BK682" s="58">
        <f t="shared" si="120"/>
        <v>8</v>
      </c>
    </row>
    <row r="683" spans="1:63" ht="27" customHeight="1">
      <c r="A683" s="238">
        <f t="shared" si="121"/>
        <v>681</v>
      </c>
      <c r="B683" s="239"/>
      <c r="C683" s="266">
        <v>3191</v>
      </c>
      <c r="D683" s="284">
        <v>0</v>
      </c>
      <c r="E683" s="267" t="s">
        <v>4173</v>
      </c>
      <c r="F683" s="268" t="s">
        <v>4174</v>
      </c>
      <c r="G683" s="269" t="s">
        <v>567</v>
      </c>
      <c r="H683" s="245" t="s">
        <v>4175</v>
      </c>
      <c r="I683" s="246" t="s">
        <v>568</v>
      </c>
      <c r="J683" s="270" t="s">
        <v>178</v>
      </c>
      <c r="K683" s="271">
        <v>34394</v>
      </c>
      <c r="L683" s="249" t="s">
        <v>179</v>
      </c>
      <c r="M683" s="272">
        <v>43742</v>
      </c>
      <c r="N683" s="272"/>
      <c r="O683" s="240" t="s">
        <v>4076</v>
      </c>
      <c r="P683" s="238" t="s">
        <v>1385</v>
      </c>
      <c r="Q683" s="238" t="s">
        <v>249</v>
      </c>
      <c r="R683" s="240" t="s">
        <v>182</v>
      </c>
      <c r="S683" s="240" t="s">
        <v>228</v>
      </c>
      <c r="T683" s="251"/>
      <c r="U683" s="273"/>
      <c r="V683" s="274" t="s">
        <v>184</v>
      </c>
      <c r="W683" s="274" t="s">
        <v>184</v>
      </c>
      <c r="X683" s="275">
        <v>7</v>
      </c>
      <c r="Y683" s="267" t="s">
        <v>4176</v>
      </c>
      <c r="Z683" s="277" t="s">
        <v>186</v>
      </c>
      <c r="AA683" s="277"/>
      <c r="AB683" s="277"/>
      <c r="AC683" s="287"/>
      <c r="AD683" s="287"/>
      <c r="AE683" s="286"/>
      <c r="AF683" s="288"/>
      <c r="AG683" s="286"/>
      <c r="AH683" s="276"/>
      <c r="AI683" s="276"/>
      <c r="AJ683" s="274" t="s">
        <v>203</v>
      </c>
      <c r="AK683" s="274" t="s">
        <v>190</v>
      </c>
      <c r="AL683" s="274" t="s">
        <v>190</v>
      </c>
      <c r="AM683" s="260" t="s">
        <v>241</v>
      </c>
      <c r="AN683" s="22">
        <v>182</v>
      </c>
      <c r="AO683" s="22">
        <v>0</v>
      </c>
      <c r="AP683" s="22">
        <v>20</v>
      </c>
      <c r="AQ683" s="22">
        <v>0</v>
      </c>
      <c r="AR683" s="22">
        <v>0</v>
      </c>
      <c r="AS683" s="22">
        <v>7</v>
      </c>
      <c r="AT683" s="22">
        <v>10</v>
      </c>
      <c r="AU683" s="316">
        <f t="shared" si="111"/>
        <v>219</v>
      </c>
      <c r="AV683" s="22">
        <v>190</v>
      </c>
      <c r="AW683" s="22">
        <v>0</v>
      </c>
      <c r="AX683" s="22">
        <v>20</v>
      </c>
      <c r="AY683" s="22">
        <v>0</v>
      </c>
      <c r="AZ683" s="22">
        <v>0</v>
      </c>
      <c r="BA683" s="22">
        <v>7</v>
      </c>
      <c r="BB683" s="22">
        <v>10</v>
      </c>
      <c r="BC683" s="316">
        <f t="shared" si="112"/>
        <v>227</v>
      </c>
      <c r="BD683" s="58">
        <f t="shared" si="113"/>
        <v>8</v>
      </c>
      <c r="BE683" s="58">
        <f t="shared" si="114"/>
        <v>0</v>
      </c>
      <c r="BF683" s="58">
        <f t="shared" si="115"/>
        <v>0</v>
      </c>
      <c r="BG683" s="58">
        <f t="shared" si="116"/>
        <v>0</v>
      </c>
      <c r="BH683" s="58">
        <f t="shared" si="117"/>
        <v>0</v>
      </c>
      <c r="BI683" s="58">
        <f t="shared" si="118"/>
        <v>0</v>
      </c>
      <c r="BJ683" s="58">
        <f t="shared" si="119"/>
        <v>0</v>
      </c>
      <c r="BK683" s="58">
        <f t="shared" si="120"/>
        <v>8</v>
      </c>
    </row>
    <row r="684" spans="1:63" ht="27" customHeight="1">
      <c r="A684" s="238">
        <f t="shared" si="121"/>
        <v>682</v>
      </c>
      <c r="B684" s="239"/>
      <c r="C684" s="266">
        <v>3309</v>
      </c>
      <c r="D684" s="241" t="s">
        <v>4177</v>
      </c>
      <c r="E684" s="267" t="s">
        <v>4178</v>
      </c>
      <c r="F684" s="268" t="s">
        <v>1066</v>
      </c>
      <c r="G684" s="269" t="s">
        <v>4179</v>
      </c>
      <c r="H684" s="245" t="s">
        <v>1068</v>
      </c>
      <c r="I684" s="246" t="s">
        <v>4180</v>
      </c>
      <c r="J684" s="270" t="s">
        <v>178</v>
      </c>
      <c r="K684" s="271">
        <v>35127</v>
      </c>
      <c r="L684" s="249" t="s">
        <v>179</v>
      </c>
      <c r="M684" s="272">
        <v>43746</v>
      </c>
      <c r="N684" s="272"/>
      <c r="O684" s="240" t="s">
        <v>4181</v>
      </c>
      <c r="P684" s="238" t="s">
        <v>282</v>
      </c>
      <c r="Q684" s="238" t="s">
        <v>249</v>
      </c>
      <c r="R684" s="240" t="s">
        <v>182</v>
      </c>
      <c r="S684" s="240" t="s">
        <v>1206</v>
      </c>
      <c r="T684" s="251"/>
      <c r="U684" s="273"/>
      <c r="V684" s="274" t="s">
        <v>184</v>
      </c>
      <c r="W684" s="274" t="s">
        <v>184</v>
      </c>
      <c r="X684" s="275">
        <v>5</v>
      </c>
      <c r="Y684" s="267" t="s">
        <v>4182</v>
      </c>
      <c r="Z684" s="277" t="s">
        <v>186</v>
      </c>
      <c r="AA684" s="277"/>
      <c r="AB684" s="277"/>
      <c r="AC684" s="286"/>
      <c r="AD684" s="286"/>
      <c r="AE684" s="286"/>
      <c r="AF684" s="288"/>
      <c r="AG684" s="286"/>
      <c r="AH684" s="276"/>
      <c r="AI684" s="276"/>
      <c r="AJ684" s="274" t="s">
        <v>203</v>
      </c>
      <c r="AK684" s="274" t="s">
        <v>190</v>
      </c>
      <c r="AL684" s="274" t="s">
        <v>190</v>
      </c>
      <c r="AM684" s="260" t="s">
        <v>3859</v>
      </c>
      <c r="AN684" s="22">
        <v>182</v>
      </c>
      <c r="AO684" s="22">
        <v>0</v>
      </c>
      <c r="AP684" s="22">
        <v>20</v>
      </c>
      <c r="AQ684" s="22">
        <v>0</v>
      </c>
      <c r="AR684" s="22">
        <v>0</v>
      </c>
      <c r="AS684" s="22">
        <v>7</v>
      </c>
      <c r="AT684" s="22">
        <v>10</v>
      </c>
      <c r="AU684" s="316">
        <f t="shared" si="111"/>
        <v>219</v>
      </c>
      <c r="AV684" s="22">
        <v>190</v>
      </c>
      <c r="AW684" s="22">
        <v>0</v>
      </c>
      <c r="AX684" s="22">
        <v>20</v>
      </c>
      <c r="AY684" s="22">
        <v>0</v>
      </c>
      <c r="AZ684" s="22">
        <v>0</v>
      </c>
      <c r="BA684" s="22">
        <v>7</v>
      </c>
      <c r="BB684" s="22">
        <v>10</v>
      </c>
      <c r="BC684" s="316">
        <f t="shared" si="112"/>
        <v>227</v>
      </c>
      <c r="BD684" s="58">
        <f t="shared" si="113"/>
        <v>8</v>
      </c>
      <c r="BE684" s="58">
        <f t="shared" si="114"/>
        <v>0</v>
      </c>
      <c r="BF684" s="58">
        <f t="shared" si="115"/>
        <v>0</v>
      </c>
      <c r="BG684" s="58">
        <f t="shared" si="116"/>
        <v>0</v>
      </c>
      <c r="BH684" s="58">
        <f t="shared" si="117"/>
        <v>0</v>
      </c>
      <c r="BI684" s="58">
        <f t="shared" si="118"/>
        <v>0</v>
      </c>
      <c r="BJ684" s="58">
        <f t="shared" si="119"/>
        <v>0</v>
      </c>
      <c r="BK684" s="58">
        <f t="shared" si="120"/>
        <v>8</v>
      </c>
    </row>
    <row r="685" spans="1:63" ht="27" customHeight="1">
      <c r="A685" s="238">
        <f t="shared" si="121"/>
        <v>683</v>
      </c>
      <c r="B685" s="239"/>
      <c r="C685" s="266">
        <v>3201</v>
      </c>
      <c r="D685" s="241" t="s">
        <v>4183</v>
      </c>
      <c r="E685" s="267" t="s">
        <v>4184</v>
      </c>
      <c r="F685" s="268" t="s">
        <v>4185</v>
      </c>
      <c r="G685" s="269" t="s">
        <v>1898</v>
      </c>
      <c r="H685" s="245" t="s">
        <v>4186</v>
      </c>
      <c r="I685" s="246" t="s">
        <v>1900</v>
      </c>
      <c r="J685" s="270" t="s">
        <v>178</v>
      </c>
      <c r="K685" s="271">
        <v>36858</v>
      </c>
      <c r="L685" s="249" t="s">
        <v>179</v>
      </c>
      <c r="M685" s="272">
        <v>43741</v>
      </c>
      <c r="N685" s="272"/>
      <c r="O685" s="240" t="s">
        <v>4086</v>
      </c>
      <c r="P685" s="240"/>
      <c r="Q685" s="238" t="s">
        <v>249</v>
      </c>
      <c r="R685" s="240" t="s">
        <v>182</v>
      </c>
      <c r="S685" s="240" t="s">
        <v>228</v>
      </c>
      <c r="T685" s="251"/>
      <c r="U685" s="273"/>
      <c r="V685" s="274" t="s">
        <v>184</v>
      </c>
      <c r="W685" s="274" t="s">
        <v>184</v>
      </c>
      <c r="X685" s="275">
        <v>5</v>
      </c>
      <c r="Y685" s="267" t="s">
        <v>4187</v>
      </c>
      <c r="Z685" s="277" t="s">
        <v>186</v>
      </c>
      <c r="AA685" s="277"/>
      <c r="AB685" s="274"/>
      <c r="AC685" s="287"/>
      <c r="AD685" s="286"/>
      <c r="AE685" s="287"/>
      <c r="AF685" s="288"/>
      <c r="AG685" s="286"/>
      <c r="AH685" s="276"/>
      <c r="AI685" s="276"/>
      <c r="AJ685" s="274" t="s">
        <v>203</v>
      </c>
      <c r="AK685" s="274" t="s">
        <v>190</v>
      </c>
      <c r="AL685" s="274" t="s">
        <v>190</v>
      </c>
      <c r="AM685" s="260" t="s">
        <v>3916</v>
      </c>
      <c r="AN685" s="22">
        <v>182</v>
      </c>
      <c r="AO685" s="22">
        <v>0</v>
      </c>
      <c r="AP685" s="22">
        <v>20</v>
      </c>
      <c r="AQ685" s="22">
        <v>0</v>
      </c>
      <c r="AR685" s="22">
        <v>0</v>
      </c>
      <c r="AS685" s="22">
        <v>7</v>
      </c>
      <c r="AT685" s="22">
        <v>10</v>
      </c>
      <c r="AU685" s="316">
        <f t="shared" si="111"/>
        <v>219</v>
      </c>
      <c r="AV685" s="22">
        <v>190</v>
      </c>
      <c r="AW685" s="22">
        <v>0</v>
      </c>
      <c r="AX685" s="22">
        <v>20</v>
      </c>
      <c r="AY685" s="22">
        <v>0</v>
      </c>
      <c r="AZ685" s="22">
        <v>0</v>
      </c>
      <c r="BA685" s="22">
        <v>7</v>
      </c>
      <c r="BB685" s="22">
        <v>10</v>
      </c>
      <c r="BC685" s="316">
        <f t="shared" si="112"/>
        <v>227</v>
      </c>
      <c r="BD685" s="58">
        <f t="shared" si="113"/>
        <v>8</v>
      </c>
      <c r="BE685" s="58">
        <f t="shared" si="114"/>
        <v>0</v>
      </c>
      <c r="BF685" s="58">
        <f t="shared" si="115"/>
        <v>0</v>
      </c>
      <c r="BG685" s="58">
        <f t="shared" si="116"/>
        <v>0</v>
      </c>
      <c r="BH685" s="58">
        <f t="shared" si="117"/>
        <v>0</v>
      </c>
      <c r="BI685" s="58">
        <f t="shared" si="118"/>
        <v>0</v>
      </c>
      <c r="BJ685" s="58">
        <f t="shared" si="119"/>
        <v>0</v>
      </c>
      <c r="BK685" s="58">
        <f t="shared" si="120"/>
        <v>8</v>
      </c>
    </row>
    <row r="686" spans="1:63" ht="27" customHeight="1">
      <c r="A686" s="238">
        <f t="shared" si="121"/>
        <v>684</v>
      </c>
      <c r="B686" s="239"/>
      <c r="C686" s="266">
        <v>3251</v>
      </c>
      <c r="D686" s="284">
        <v>0</v>
      </c>
      <c r="E686" s="267" t="s">
        <v>4188</v>
      </c>
      <c r="F686" s="268" t="s">
        <v>2937</v>
      </c>
      <c r="G686" s="269" t="s">
        <v>4189</v>
      </c>
      <c r="H686" s="245" t="s">
        <v>4190</v>
      </c>
      <c r="I686" s="246" t="s">
        <v>4191</v>
      </c>
      <c r="J686" s="270" t="s">
        <v>209</v>
      </c>
      <c r="K686" s="271">
        <v>33790</v>
      </c>
      <c r="L686" s="249" t="s">
        <v>179</v>
      </c>
      <c r="M686" s="272">
        <v>43746</v>
      </c>
      <c r="N686" s="272"/>
      <c r="O686" s="240" t="s">
        <v>3999</v>
      </c>
      <c r="P686" s="238" t="s">
        <v>3649</v>
      </c>
      <c r="Q686" s="238" t="s">
        <v>249</v>
      </c>
      <c r="R686" s="240" t="s">
        <v>182</v>
      </c>
      <c r="S686" s="240" t="s">
        <v>4192</v>
      </c>
      <c r="T686" s="251"/>
      <c r="U686" s="273"/>
      <c r="V686" s="274" t="s">
        <v>184</v>
      </c>
      <c r="W686" s="274" t="s">
        <v>184</v>
      </c>
      <c r="X686" s="275">
        <v>4</v>
      </c>
      <c r="Y686" s="267" t="s">
        <v>4005</v>
      </c>
      <c r="Z686" s="274"/>
      <c r="AA686" s="277"/>
      <c r="AB686" s="274"/>
      <c r="AC686" s="287"/>
      <c r="AD686" s="287"/>
      <c r="AE686" s="287"/>
      <c r="AF686" s="287"/>
      <c r="AG686" s="286"/>
      <c r="AH686" s="276"/>
      <c r="AI686" s="276"/>
      <c r="AJ686" s="274" t="s">
        <v>203</v>
      </c>
      <c r="AK686" s="274" t="s">
        <v>190</v>
      </c>
      <c r="AL686" s="274" t="s">
        <v>190</v>
      </c>
      <c r="AM686" s="260" t="s">
        <v>3859</v>
      </c>
      <c r="AN686" s="22">
        <v>182</v>
      </c>
      <c r="AO686" s="22">
        <v>0</v>
      </c>
      <c r="AP686" s="22">
        <v>20</v>
      </c>
      <c r="AQ686" s="22">
        <v>0</v>
      </c>
      <c r="AR686" s="22">
        <v>0</v>
      </c>
      <c r="AS686" s="22">
        <v>7</v>
      </c>
      <c r="AT686" s="22">
        <v>10</v>
      </c>
      <c r="AU686" s="316">
        <f t="shared" si="111"/>
        <v>219</v>
      </c>
      <c r="AV686" s="22">
        <v>190</v>
      </c>
      <c r="AW686" s="22">
        <v>0</v>
      </c>
      <c r="AX686" s="22">
        <v>20</v>
      </c>
      <c r="AY686" s="22">
        <v>0</v>
      </c>
      <c r="AZ686" s="22">
        <v>0</v>
      </c>
      <c r="BA686" s="22">
        <v>7</v>
      </c>
      <c r="BB686" s="22">
        <v>10</v>
      </c>
      <c r="BC686" s="316">
        <f t="shared" si="112"/>
        <v>227</v>
      </c>
      <c r="BD686" s="58">
        <f t="shared" si="113"/>
        <v>8</v>
      </c>
      <c r="BE686" s="58">
        <f t="shared" si="114"/>
        <v>0</v>
      </c>
      <c r="BF686" s="58">
        <f t="shared" si="115"/>
        <v>0</v>
      </c>
      <c r="BG686" s="58">
        <f t="shared" si="116"/>
        <v>0</v>
      </c>
      <c r="BH686" s="58">
        <f t="shared" si="117"/>
        <v>0</v>
      </c>
      <c r="BI686" s="58">
        <f t="shared" si="118"/>
        <v>0</v>
      </c>
      <c r="BJ686" s="58">
        <f t="shared" si="119"/>
        <v>0</v>
      </c>
      <c r="BK686" s="58">
        <f t="shared" si="120"/>
        <v>8</v>
      </c>
    </row>
    <row r="687" spans="1:63" ht="27" customHeight="1">
      <c r="A687" s="238">
        <f t="shared" si="121"/>
        <v>685</v>
      </c>
      <c r="B687" s="239"/>
      <c r="C687" s="266">
        <v>3288</v>
      </c>
      <c r="D687" s="241" t="s">
        <v>4193</v>
      </c>
      <c r="E687" s="267" t="s">
        <v>4194</v>
      </c>
      <c r="F687" s="268" t="s">
        <v>4195</v>
      </c>
      <c r="G687" s="269" t="s">
        <v>2021</v>
      </c>
      <c r="H687" s="245" t="s">
        <v>474</v>
      </c>
      <c r="I687" s="246" t="s">
        <v>907</v>
      </c>
      <c r="J687" s="270" t="s">
        <v>178</v>
      </c>
      <c r="K687" s="271">
        <v>35551</v>
      </c>
      <c r="L687" s="249" t="s">
        <v>179</v>
      </c>
      <c r="M687" s="272">
        <v>43746</v>
      </c>
      <c r="N687" s="272"/>
      <c r="O687" s="240" t="s">
        <v>4004</v>
      </c>
      <c r="P687" s="238" t="s">
        <v>3833</v>
      </c>
      <c r="Q687" s="238" t="s">
        <v>249</v>
      </c>
      <c r="R687" s="240" t="s">
        <v>182</v>
      </c>
      <c r="S687" s="240" t="s">
        <v>331</v>
      </c>
      <c r="T687" s="251"/>
      <c r="U687" s="273"/>
      <c r="V687" s="274" t="s">
        <v>184</v>
      </c>
      <c r="W687" s="274" t="s">
        <v>184</v>
      </c>
      <c r="X687" s="275">
        <v>8</v>
      </c>
      <c r="Y687" s="267" t="s">
        <v>4196</v>
      </c>
      <c r="Z687" s="277"/>
      <c r="AA687" s="274"/>
      <c r="AB687" s="274"/>
      <c r="AC687" s="287"/>
      <c r="AD687" s="287"/>
      <c r="AE687" s="287"/>
      <c r="AF687" s="287"/>
      <c r="AG687" s="286"/>
      <c r="AH687" s="276"/>
      <c r="AI687" s="276"/>
      <c r="AJ687" s="274" t="s">
        <v>203</v>
      </c>
      <c r="AK687" s="274" t="s">
        <v>190</v>
      </c>
      <c r="AL687" s="274" t="s">
        <v>190</v>
      </c>
      <c r="AM687" s="260" t="s">
        <v>3859</v>
      </c>
      <c r="AN687" s="22">
        <v>182</v>
      </c>
      <c r="AO687" s="22">
        <v>0</v>
      </c>
      <c r="AP687" s="22">
        <v>20</v>
      </c>
      <c r="AQ687" s="22">
        <v>0</v>
      </c>
      <c r="AR687" s="22">
        <v>0</v>
      </c>
      <c r="AS687" s="22">
        <v>7</v>
      </c>
      <c r="AT687" s="22">
        <v>10</v>
      </c>
      <c r="AU687" s="316">
        <f t="shared" si="111"/>
        <v>219</v>
      </c>
      <c r="AV687" s="22">
        <v>190</v>
      </c>
      <c r="AW687" s="22">
        <v>0</v>
      </c>
      <c r="AX687" s="22">
        <v>20</v>
      </c>
      <c r="AY687" s="22">
        <v>0</v>
      </c>
      <c r="AZ687" s="22">
        <v>0</v>
      </c>
      <c r="BA687" s="22">
        <v>7</v>
      </c>
      <c r="BB687" s="22">
        <v>10</v>
      </c>
      <c r="BC687" s="316">
        <f t="shared" si="112"/>
        <v>227</v>
      </c>
      <c r="BD687" s="58">
        <f t="shared" si="113"/>
        <v>8</v>
      </c>
      <c r="BE687" s="58">
        <f t="shared" si="114"/>
        <v>0</v>
      </c>
      <c r="BF687" s="58">
        <f t="shared" si="115"/>
        <v>0</v>
      </c>
      <c r="BG687" s="58">
        <f t="shared" si="116"/>
        <v>0</v>
      </c>
      <c r="BH687" s="58">
        <f t="shared" si="117"/>
        <v>0</v>
      </c>
      <c r="BI687" s="58">
        <f t="shared" si="118"/>
        <v>0</v>
      </c>
      <c r="BJ687" s="58">
        <f t="shared" si="119"/>
        <v>0</v>
      </c>
      <c r="BK687" s="58">
        <f t="shared" si="120"/>
        <v>8</v>
      </c>
    </row>
    <row r="688" spans="1:63" ht="27" customHeight="1">
      <c r="A688" s="238">
        <f t="shared" si="121"/>
        <v>686</v>
      </c>
      <c r="B688" s="239"/>
      <c r="C688" s="266">
        <v>3529</v>
      </c>
      <c r="D688" s="280" t="s">
        <v>4197</v>
      </c>
      <c r="E688" s="267" t="s">
        <v>4198</v>
      </c>
      <c r="F688" s="268" t="s">
        <v>1090</v>
      </c>
      <c r="G688" s="269" t="s">
        <v>4199</v>
      </c>
      <c r="H688" s="245" t="s">
        <v>1092</v>
      </c>
      <c r="I688" s="246" t="s">
        <v>4200</v>
      </c>
      <c r="J688" s="270" t="s">
        <v>209</v>
      </c>
      <c r="K688" s="271">
        <v>37051</v>
      </c>
      <c r="L688" s="249" t="s">
        <v>179</v>
      </c>
      <c r="M688" s="272">
        <v>43746</v>
      </c>
      <c r="N688" s="272"/>
      <c r="O688" s="240" t="s">
        <v>4201</v>
      </c>
      <c r="P688" s="238" t="s">
        <v>3634</v>
      </c>
      <c r="Q688" s="238" t="s">
        <v>249</v>
      </c>
      <c r="R688" s="240" t="s">
        <v>3960</v>
      </c>
      <c r="S688" s="240" t="s">
        <v>4202</v>
      </c>
      <c r="T688" s="251" t="s">
        <v>4153</v>
      </c>
      <c r="U688" s="273">
        <v>43789</v>
      </c>
      <c r="V688" s="274" t="s">
        <v>184</v>
      </c>
      <c r="W688" s="274" t="s">
        <v>184</v>
      </c>
      <c r="X688" s="275">
        <v>9</v>
      </c>
      <c r="Y688" s="267" t="s">
        <v>4203</v>
      </c>
      <c r="Z688" s="277" t="s">
        <v>186</v>
      </c>
      <c r="AA688" s="277"/>
      <c r="AB688" s="274"/>
      <c r="AC688" s="286"/>
      <c r="AD688" s="287"/>
      <c r="AE688" s="287"/>
      <c r="AF688" s="287"/>
      <c r="AG688" s="286"/>
      <c r="AH688" s="276"/>
      <c r="AI688" s="276"/>
      <c r="AJ688" s="274" t="s">
        <v>203</v>
      </c>
      <c r="AK688" s="274" t="s">
        <v>190</v>
      </c>
      <c r="AL688" s="274" t="s">
        <v>190</v>
      </c>
      <c r="AM688" s="260" t="s">
        <v>3859</v>
      </c>
      <c r="AN688" s="22">
        <v>182</v>
      </c>
      <c r="AO688" s="22">
        <v>0</v>
      </c>
      <c r="AP688" s="22">
        <v>0</v>
      </c>
      <c r="AQ688" s="22">
        <v>0</v>
      </c>
      <c r="AR688" s="22">
        <v>0</v>
      </c>
      <c r="AS688" s="22">
        <v>7</v>
      </c>
      <c r="AT688" s="22">
        <v>10</v>
      </c>
      <c r="AU688" s="316">
        <f t="shared" si="111"/>
        <v>199</v>
      </c>
      <c r="AV688" s="22">
        <v>190</v>
      </c>
      <c r="AW688" s="22">
        <v>0</v>
      </c>
      <c r="AX688" s="22">
        <v>0</v>
      </c>
      <c r="AY688" s="22">
        <v>0</v>
      </c>
      <c r="AZ688" s="22">
        <v>0</v>
      </c>
      <c r="BA688" s="22">
        <v>7</v>
      </c>
      <c r="BB688" s="22">
        <v>10</v>
      </c>
      <c r="BC688" s="316">
        <f t="shared" si="112"/>
        <v>207</v>
      </c>
      <c r="BD688" s="58">
        <f t="shared" si="113"/>
        <v>8</v>
      </c>
      <c r="BE688" s="58">
        <f t="shared" si="114"/>
        <v>0</v>
      </c>
      <c r="BF688" s="58">
        <f t="shared" si="115"/>
        <v>0</v>
      </c>
      <c r="BG688" s="58">
        <f t="shared" si="116"/>
        <v>0</v>
      </c>
      <c r="BH688" s="58">
        <f t="shared" si="117"/>
        <v>0</v>
      </c>
      <c r="BI688" s="58">
        <f t="shared" si="118"/>
        <v>0</v>
      </c>
      <c r="BJ688" s="58">
        <f t="shared" si="119"/>
        <v>0</v>
      </c>
      <c r="BK688" s="58">
        <f t="shared" si="120"/>
        <v>8</v>
      </c>
    </row>
    <row r="689" spans="1:63" ht="27" customHeight="1">
      <c r="A689" s="238">
        <f t="shared" si="121"/>
        <v>687</v>
      </c>
      <c r="B689" s="239"/>
      <c r="C689" s="266">
        <v>3565</v>
      </c>
      <c r="D689" s="241" t="s">
        <v>4204</v>
      </c>
      <c r="E689" s="267" t="s">
        <v>4205</v>
      </c>
      <c r="F689" s="268" t="s">
        <v>881</v>
      </c>
      <c r="G689" s="269" t="s">
        <v>4206</v>
      </c>
      <c r="H689" s="245" t="s">
        <v>882</v>
      </c>
      <c r="I689" s="246" t="s">
        <v>4207</v>
      </c>
      <c r="J689" s="270" t="s">
        <v>178</v>
      </c>
      <c r="K689" s="271">
        <v>36705</v>
      </c>
      <c r="L689" s="249" t="s">
        <v>179</v>
      </c>
      <c r="M689" s="272">
        <v>43746</v>
      </c>
      <c r="N689" s="272"/>
      <c r="O689" s="240" t="s">
        <v>4076</v>
      </c>
      <c r="P689" s="238" t="s">
        <v>1385</v>
      </c>
      <c r="Q689" s="238" t="s">
        <v>249</v>
      </c>
      <c r="R689" s="240" t="s">
        <v>182</v>
      </c>
      <c r="S689" s="240" t="s">
        <v>256</v>
      </c>
      <c r="T689" s="251"/>
      <c r="U689" s="273"/>
      <c r="V689" s="274" t="s">
        <v>184</v>
      </c>
      <c r="W689" s="274" t="s">
        <v>184</v>
      </c>
      <c r="X689" s="275">
        <v>11</v>
      </c>
      <c r="Y689" s="267" t="s">
        <v>4208</v>
      </c>
      <c r="Z689" s="274"/>
      <c r="AA689" s="277"/>
      <c r="AB689" s="274"/>
      <c r="AC689" s="286"/>
      <c r="AD689" s="287"/>
      <c r="AE689" s="286"/>
      <c r="AF689" s="288"/>
      <c r="AG689" s="286"/>
      <c r="AH689" s="276"/>
      <c r="AI689" s="276"/>
      <c r="AJ689" s="274" t="s">
        <v>203</v>
      </c>
      <c r="AK689" s="274" t="s">
        <v>190</v>
      </c>
      <c r="AL689" s="274" t="s">
        <v>190</v>
      </c>
      <c r="AM689" s="260" t="s">
        <v>3859</v>
      </c>
      <c r="AN689" s="22">
        <v>182</v>
      </c>
      <c r="AO689" s="22">
        <v>0</v>
      </c>
      <c r="AP689" s="22">
        <v>20</v>
      </c>
      <c r="AQ689" s="22">
        <v>0</v>
      </c>
      <c r="AR689" s="22">
        <v>0</v>
      </c>
      <c r="AS689" s="22">
        <v>7</v>
      </c>
      <c r="AT689" s="22">
        <v>10</v>
      </c>
      <c r="AU689" s="316">
        <f t="shared" si="111"/>
        <v>219</v>
      </c>
      <c r="AV689" s="22">
        <v>190</v>
      </c>
      <c r="AW689" s="22">
        <v>0</v>
      </c>
      <c r="AX689" s="22">
        <v>20</v>
      </c>
      <c r="AY689" s="22">
        <v>0</v>
      </c>
      <c r="AZ689" s="22">
        <v>0</v>
      </c>
      <c r="BA689" s="22">
        <v>7</v>
      </c>
      <c r="BB689" s="22">
        <v>10</v>
      </c>
      <c r="BC689" s="316">
        <f t="shared" si="112"/>
        <v>227</v>
      </c>
      <c r="BD689" s="58">
        <f t="shared" si="113"/>
        <v>8</v>
      </c>
      <c r="BE689" s="58">
        <f t="shared" si="114"/>
        <v>0</v>
      </c>
      <c r="BF689" s="58">
        <f t="shared" si="115"/>
        <v>0</v>
      </c>
      <c r="BG689" s="58">
        <f t="shared" si="116"/>
        <v>0</v>
      </c>
      <c r="BH689" s="58">
        <f t="shared" si="117"/>
        <v>0</v>
      </c>
      <c r="BI689" s="58">
        <f t="shared" si="118"/>
        <v>0</v>
      </c>
      <c r="BJ689" s="58">
        <f t="shared" si="119"/>
        <v>0</v>
      </c>
      <c r="BK689" s="58">
        <f t="shared" si="120"/>
        <v>8</v>
      </c>
    </row>
    <row r="690" spans="1:63" ht="27" customHeight="1">
      <c r="A690" s="238">
        <f t="shared" si="121"/>
        <v>688</v>
      </c>
      <c r="B690" s="239"/>
      <c r="C690" s="266">
        <v>3196</v>
      </c>
      <c r="D690" s="241" t="s">
        <v>4209</v>
      </c>
      <c r="E690" s="267" t="s">
        <v>4210</v>
      </c>
      <c r="F690" s="268" t="s">
        <v>4211</v>
      </c>
      <c r="G690" s="269" t="s">
        <v>2241</v>
      </c>
      <c r="H690" s="245" t="s">
        <v>4212</v>
      </c>
      <c r="I690" s="246" t="s">
        <v>2242</v>
      </c>
      <c r="J690" s="270" t="s">
        <v>178</v>
      </c>
      <c r="K690" s="271">
        <v>33755</v>
      </c>
      <c r="L690" s="249" t="s">
        <v>179</v>
      </c>
      <c r="M690" s="272">
        <v>43742</v>
      </c>
      <c r="N690" s="272"/>
      <c r="O690" s="240" t="s">
        <v>4090</v>
      </c>
      <c r="P690" s="238" t="s">
        <v>3775</v>
      </c>
      <c r="Q690" s="238" t="s">
        <v>249</v>
      </c>
      <c r="R690" s="240" t="s">
        <v>182</v>
      </c>
      <c r="S690" s="240" t="s">
        <v>228</v>
      </c>
      <c r="T690" s="251"/>
      <c r="U690" s="273"/>
      <c r="V690" s="274" t="s">
        <v>184</v>
      </c>
      <c r="W690" s="274" t="s">
        <v>184</v>
      </c>
      <c r="X690" s="275">
        <v>6</v>
      </c>
      <c r="Y690" s="267" t="s">
        <v>4213</v>
      </c>
      <c r="Z690" s="274"/>
      <c r="AA690" s="277" t="s">
        <v>186</v>
      </c>
      <c r="AB690" s="277"/>
      <c r="AC690" s="286"/>
      <c r="AD690" s="287"/>
      <c r="AE690" s="286"/>
      <c r="AF690" s="288"/>
      <c r="AG690" s="286"/>
      <c r="AH690" s="276"/>
      <c r="AI690" s="276"/>
      <c r="AJ690" s="274" t="s">
        <v>203</v>
      </c>
      <c r="AK690" s="274" t="s">
        <v>190</v>
      </c>
      <c r="AL690" s="274" t="s">
        <v>190</v>
      </c>
      <c r="AM690" s="260" t="s">
        <v>3859</v>
      </c>
      <c r="AN690" s="22">
        <v>182</v>
      </c>
      <c r="AO690" s="22">
        <v>0</v>
      </c>
      <c r="AP690" s="22">
        <v>20</v>
      </c>
      <c r="AQ690" s="22">
        <v>0</v>
      </c>
      <c r="AR690" s="22">
        <v>0</v>
      </c>
      <c r="AS690" s="22">
        <v>7</v>
      </c>
      <c r="AT690" s="22">
        <v>10</v>
      </c>
      <c r="AU690" s="316">
        <f t="shared" si="111"/>
        <v>219</v>
      </c>
      <c r="AV690" s="22">
        <v>190</v>
      </c>
      <c r="AW690" s="22">
        <v>0</v>
      </c>
      <c r="AX690" s="22">
        <v>20</v>
      </c>
      <c r="AY690" s="22">
        <v>0</v>
      </c>
      <c r="AZ690" s="22">
        <v>0</v>
      </c>
      <c r="BA690" s="22">
        <v>7</v>
      </c>
      <c r="BB690" s="22">
        <v>10</v>
      </c>
      <c r="BC690" s="316">
        <f t="shared" si="112"/>
        <v>227</v>
      </c>
      <c r="BD690" s="58">
        <f t="shared" si="113"/>
        <v>8</v>
      </c>
      <c r="BE690" s="58">
        <f t="shared" si="114"/>
        <v>0</v>
      </c>
      <c r="BF690" s="58">
        <f t="shared" si="115"/>
        <v>0</v>
      </c>
      <c r="BG690" s="58">
        <f t="shared" si="116"/>
        <v>0</v>
      </c>
      <c r="BH690" s="58">
        <f t="shared" si="117"/>
        <v>0</v>
      </c>
      <c r="BI690" s="58">
        <f t="shared" si="118"/>
        <v>0</v>
      </c>
      <c r="BJ690" s="58">
        <f t="shared" si="119"/>
        <v>0</v>
      </c>
      <c r="BK690" s="58">
        <f t="shared" si="120"/>
        <v>8</v>
      </c>
    </row>
    <row r="691" spans="1:63" ht="27" customHeight="1">
      <c r="A691" s="238">
        <f t="shared" si="121"/>
        <v>689</v>
      </c>
      <c r="B691" s="239"/>
      <c r="C691" s="266">
        <v>3141</v>
      </c>
      <c r="D691" s="241" t="s">
        <v>4214</v>
      </c>
      <c r="E691" s="267" t="s">
        <v>296</v>
      </c>
      <c r="F691" s="268" t="s">
        <v>4215</v>
      </c>
      <c r="G691" s="269" t="s">
        <v>1984</v>
      </c>
      <c r="H691" s="245" t="s">
        <v>4216</v>
      </c>
      <c r="I691" s="246" t="s">
        <v>4217</v>
      </c>
      <c r="J691" s="270" t="s">
        <v>178</v>
      </c>
      <c r="K691" s="271">
        <v>31778</v>
      </c>
      <c r="L691" s="249" t="s">
        <v>179</v>
      </c>
      <c r="M691" s="272">
        <v>43740</v>
      </c>
      <c r="N691" s="272"/>
      <c r="O691" s="240" t="s">
        <v>4004</v>
      </c>
      <c r="P691" s="238" t="s">
        <v>3833</v>
      </c>
      <c r="Q691" s="238" t="s">
        <v>249</v>
      </c>
      <c r="R691" s="240" t="s">
        <v>182</v>
      </c>
      <c r="S691" s="240" t="s">
        <v>211</v>
      </c>
      <c r="T691" s="251"/>
      <c r="U691" s="273"/>
      <c r="V691" s="274" t="s">
        <v>184</v>
      </c>
      <c r="W691" s="274" t="s">
        <v>184</v>
      </c>
      <c r="X691" s="275">
        <v>5</v>
      </c>
      <c r="Y691" s="267" t="s">
        <v>4218</v>
      </c>
      <c r="Z691" s="274"/>
      <c r="AA691" s="277" t="s">
        <v>186</v>
      </c>
      <c r="AB691" s="274"/>
      <c r="AC691" s="286"/>
      <c r="AD691" s="287"/>
      <c r="AE691" s="286"/>
      <c r="AF691" s="288"/>
      <c r="AG691" s="286"/>
      <c r="AH691" s="276"/>
      <c r="AI691" s="276"/>
      <c r="AJ691" s="274"/>
      <c r="AK691" s="274" t="s">
        <v>190</v>
      </c>
      <c r="AL691" s="274" t="s">
        <v>190</v>
      </c>
      <c r="AM691" s="260" t="s">
        <v>3859</v>
      </c>
      <c r="AN691" s="22">
        <v>182</v>
      </c>
      <c r="AO691" s="22">
        <v>0</v>
      </c>
      <c r="AP691" s="22">
        <v>20</v>
      </c>
      <c r="AQ691" s="22">
        <v>0</v>
      </c>
      <c r="AR691" s="22">
        <v>0</v>
      </c>
      <c r="AS691" s="22">
        <v>7</v>
      </c>
      <c r="AT691" s="22">
        <v>10</v>
      </c>
      <c r="AU691" s="316">
        <f t="shared" si="111"/>
        <v>219</v>
      </c>
      <c r="AV691" s="22">
        <v>190</v>
      </c>
      <c r="AW691" s="22">
        <v>0</v>
      </c>
      <c r="AX691" s="22">
        <v>20</v>
      </c>
      <c r="AY691" s="22">
        <v>0</v>
      </c>
      <c r="AZ691" s="22">
        <v>0</v>
      </c>
      <c r="BA691" s="22">
        <v>7</v>
      </c>
      <c r="BB691" s="22">
        <v>10</v>
      </c>
      <c r="BC691" s="316">
        <f t="shared" si="112"/>
        <v>227</v>
      </c>
      <c r="BD691" s="58">
        <f t="shared" si="113"/>
        <v>8</v>
      </c>
      <c r="BE691" s="58">
        <f t="shared" si="114"/>
        <v>0</v>
      </c>
      <c r="BF691" s="58">
        <f t="shared" si="115"/>
        <v>0</v>
      </c>
      <c r="BG691" s="58">
        <f t="shared" si="116"/>
        <v>0</v>
      </c>
      <c r="BH691" s="58">
        <f t="shared" si="117"/>
        <v>0</v>
      </c>
      <c r="BI691" s="58">
        <f t="shared" si="118"/>
        <v>0</v>
      </c>
      <c r="BJ691" s="58">
        <f t="shared" si="119"/>
        <v>0</v>
      </c>
      <c r="BK691" s="58">
        <f t="shared" si="120"/>
        <v>8</v>
      </c>
    </row>
    <row r="692" spans="1:63" ht="27" customHeight="1">
      <c r="A692" s="238">
        <f t="shared" si="121"/>
        <v>690</v>
      </c>
      <c r="B692" s="239"/>
      <c r="C692" s="266">
        <v>3182</v>
      </c>
      <c r="D692" s="241" t="s">
        <v>4219</v>
      </c>
      <c r="E692" s="267" t="s">
        <v>4220</v>
      </c>
      <c r="F692" s="268" t="s">
        <v>4221</v>
      </c>
      <c r="G692" s="269" t="s">
        <v>4222</v>
      </c>
      <c r="H692" s="245" t="s">
        <v>4223</v>
      </c>
      <c r="I692" s="246" t="s">
        <v>4224</v>
      </c>
      <c r="J692" s="270" t="s">
        <v>178</v>
      </c>
      <c r="K692" s="271">
        <v>34252</v>
      </c>
      <c r="L692" s="249" t="s">
        <v>179</v>
      </c>
      <c r="M692" s="272">
        <v>43741</v>
      </c>
      <c r="N692" s="272"/>
      <c r="O692" s="240" t="s">
        <v>4076</v>
      </c>
      <c r="P692" s="238" t="s">
        <v>1385</v>
      </c>
      <c r="Q692" s="238" t="s">
        <v>249</v>
      </c>
      <c r="R692" s="240" t="s">
        <v>182</v>
      </c>
      <c r="S692" s="240" t="s">
        <v>228</v>
      </c>
      <c r="T692" s="251"/>
      <c r="U692" s="273"/>
      <c r="V692" s="274" t="s">
        <v>184</v>
      </c>
      <c r="W692" s="274" t="s">
        <v>184</v>
      </c>
      <c r="X692" s="275">
        <v>7</v>
      </c>
      <c r="Y692" s="267" t="s">
        <v>4225</v>
      </c>
      <c r="Z692" s="274"/>
      <c r="AA692" s="277"/>
      <c r="AB692" s="274"/>
      <c r="AC692" s="286"/>
      <c r="AD692" s="287"/>
      <c r="AE692" s="287"/>
      <c r="AF692" s="288"/>
      <c r="AG692" s="286"/>
      <c r="AH692" s="276"/>
      <c r="AI692" s="276"/>
      <c r="AJ692" s="274" t="s">
        <v>190</v>
      </c>
      <c r="AK692" s="274" t="s">
        <v>190</v>
      </c>
      <c r="AL692" s="274"/>
      <c r="AM692" s="289" t="s">
        <v>3967</v>
      </c>
      <c r="AN692" s="22">
        <v>182</v>
      </c>
      <c r="AO692" s="22">
        <v>0</v>
      </c>
      <c r="AP692" s="22">
        <v>20</v>
      </c>
      <c r="AQ692" s="22">
        <v>0</v>
      </c>
      <c r="AR692" s="22">
        <v>0</v>
      </c>
      <c r="AS692" s="22">
        <v>7</v>
      </c>
      <c r="AT692" s="22">
        <v>10</v>
      </c>
      <c r="AU692" s="316">
        <f t="shared" si="111"/>
        <v>219</v>
      </c>
      <c r="AV692" s="22">
        <v>190</v>
      </c>
      <c r="AW692" s="22">
        <v>0</v>
      </c>
      <c r="AX692" s="22">
        <v>20</v>
      </c>
      <c r="AY692" s="22">
        <v>0</v>
      </c>
      <c r="AZ692" s="22">
        <v>0</v>
      </c>
      <c r="BA692" s="22">
        <v>7</v>
      </c>
      <c r="BB692" s="22">
        <v>10</v>
      </c>
      <c r="BC692" s="316">
        <f t="shared" si="112"/>
        <v>227</v>
      </c>
      <c r="BD692" s="58">
        <f t="shared" si="113"/>
        <v>8</v>
      </c>
      <c r="BE692" s="58">
        <f t="shared" si="114"/>
        <v>0</v>
      </c>
      <c r="BF692" s="58">
        <f t="shared" si="115"/>
        <v>0</v>
      </c>
      <c r="BG692" s="58">
        <f t="shared" si="116"/>
        <v>0</v>
      </c>
      <c r="BH692" s="58">
        <f t="shared" si="117"/>
        <v>0</v>
      </c>
      <c r="BI692" s="58">
        <f t="shared" si="118"/>
        <v>0</v>
      </c>
      <c r="BJ692" s="58">
        <f t="shared" si="119"/>
        <v>0</v>
      </c>
      <c r="BK692" s="58">
        <f t="shared" si="120"/>
        <v>8</v>
      </c>
    </row>
    <row r="693" spans="1:63" ht="27" customHeight="1">
      <c r="A693" s="238">
        <f t="shared" si="121"/>
        <v>691</v>
      </c>
      <c r="B693" s="239"/>
      <c r="C693" s="266">
        <v>3140</v>
      </c>
      <c r="D693" s="241" t="s">
        <v>4226</v>
      </c>
      <c r="E693" s="267" t="s">
        <v>4227</v>
      </c>
      <c r="F693" s="268" t="s">
        <v>472</v>
      </c>
      <c r="G693" s="269" t="s">
        <v>4228</v>
      </c>
      <c r="H693" s="245" t="s">
        <v>474</v>
      </c>
      <c r="I693" s="246" t="s">
        <v>4229</v>
      </c>
      <c r="J693" s="270" t="s">
        <v>178</v>
      </c>
      <c r="K693" s="271">
        <v>32881</v>
      </c>
      <c r="L693" s="249" t="s">
        <v>179</v>
      </c>
      <c r="M693" s="272">
        <v>43740</v>
      </c>
      <c r="N693" s="272"/>
      <c r="O693" s="240" t="s">
        <v>4090</v>
      </c>
      <c r="P693" s="238" t="s">
        <v>3775</v>
      </c>
      <c r="Q693" s="238" t="s">
        <v>249</v>
      </c>
      <c r="R693" s="240" t="s">
        <v>182</v>
      </c>
      <c r="S693" s="240" t="s">
        <v>211</v>
      </c>
      <c r="T693" s="251"/>
      <c r="U693" s="273"/>
      <c r="V693" s="274" t="s">
        <v>184</v>
      </c>
      <c r="W693" s="274" t="s">
        <v>184</v>
      </c>
      <c r="X693" s="275">
        <v>4</v>
      </c>
      <c r="Y693" s="267" t="s">
        <v>4230</v>
      </c>
      <c r="Z693" s="274"/>
      <c r="AA693" s="277" t="s">
        <v>186</v>
      </c>
      <c r="AB693" s="274"/>
      <c r="AC693" s="286"/>
      <c r="AD693" s="287"/>
      <c r="AE693" s="286"/>
      <c r="AF693" s="288"/>
      <c r="AG693" s="286"/>
      <c r="AH693" s="276"/>
      <c r="AI693" s="276"/>
      <c r="AJ693" s="274" t="s">
        <v>203</v>
      </c>
      <c r="AK693" s="274" t="s">
        <v>190</v>
      </c>
      <c r="AL693" s="274" t="s">
        <v>190</v>
      </c>
      <c r="AM693" s="260" t="s">
        <v>3859</v>
      </c>
      <c r="AN693" s="22">
        <v>182</v>
      </c>
      <c r="AO693" s="22">
        <v>0</v>
      </c>
      <c r="AP693" s="22">
        <v>20</v>
      </c>
      <c r="AQ693" s="22">
        <v>0</v>
      </c>
      <c r="AR693" s="22">
        <v>0</v>
      </c>
      <c r="AS693" s="22">
        <v>7</v>
      </c>
      <c r="AT693" s="22">
        <v>10</v>
      </c>
      <c r="AU693" s="316">
        <f t="shared" si="111"/>
        <v>219</v>
      </c>
      <c r="AV693" s="22">
        <v>190</v>
      </c>
      <c r="AW693" s="22">
        <v>0</v>
      </c>
      <c r="AX693" s="22">
        <v>20</v>
      </c>
      <c r="AY693" s="22">
        <v>0</v>
      </c>
      <c r="AZ693" s="22">
        <v>0</v>
      </c>
      <c r="BA693" s="22">
        <v>7</v>
      </c>
      <c r="BB693" s="22">
        <v>10</v>
      </c>
      <c r="BC693" s="316">
        <f t="shared" si="112"/>
        <v>227</v>
      </c>
      <c r="BD693" s="58">
        <f t="shared" si="113"/>
        <v>8</v>
      </c>
      <c r="BE693" s="58">
        <f t="shared" si="114"/>
        <v>0</v>
      </c>
      <c r="BF693" s="58">
        <f t="shared" si="115"/>
        <v>0</v>
      </c>
      <c r="BG693" s="58">
        <f t="shared" si="116"/>
        <v>0</v>
      </c>
      <c r="BH693" s="58">
        <f t="shared" si="117"/>
        <v>0</v>
      </c>
      <c r="BI693" s="58">
        <f t="shared" si="118"/>
        <v>0</v>
      </c>
      <c r="BJ693" s="58">
        <f t="shared" si="119"/>
        <v>0</v>
      </c>
      <c r="BK693" s="58">
        <f t="shared" si="120"/>
        <v>8</v>
      </c>
    </row>
    <row r="694" spans="1:63" ht="27" customHeight="1">
      <c r="A694" s="238">
        <f t="shared" si="121"/>
        <v>692</v>
      </c>
      <c r="B694" s="239"/>
      <c r="C694" s="266">
        <v>3179</v>
      </c>
      <c r="D694" s="241" t="s">
        <v>4231</v>
      </c>
      <c r="E694" s="267" t="s">
        <v>4232</v>
      </c>
      <c r="F694" s="268" t="s">
        <v>3768</v>
      </c>
      <c r="G694" s="269" t="s">
        <v>4233</v>
      </c>
      <c r="H694" s="245" t="s">
        <v>4234</v>
      </c>
      <c r="I694" s="246" t="s">
        <v>4235</v>
      </c>
      <c r="J694" s="270" t="s">
        <v>209</v>
      </c>
      <c r="K694" s="271">
        <v>31556</v>
      </c>
      <c r="L694" s="249" t="s">
        <v>179</v>
      </c>
      <c r="M694" s="272">
        <v>43740</v>
      </c>
      <c r="N694" s="272"/>
      <c r="O694" s="240" t="s">
        <v>4236</v>
      </c>
      <c r="P694" s="238" t="s">
        <v>3770</v>
      </c>
      <c r="Q694" s="238" t="s">
        <v>249</v>
      </c>
      <c r="R694" s="240" t="s">
        <v>182</v>
      </c>
      <c r="S694" s="240" t="s">
        <v>228</v>
      </c>
      <c r="T694" s="251"/>
      <c r="U694" s="273"/>
      <c r="V694" s="274" t="s">
        <v>184</v>
      </c>
      <c r="W694" s="274" t="s">
        <v>184</v>
      </c>
      <c r="X694" s="275">
        <v>12</v>
      </c>
      <c r="Y694" s="267" t="s">
        <v>4237</v>
      </c>
      <c r="Z694" s="274"/>
      <c r="AA694" s="277"/>
      <c r="AB694" s="274"/>
      <c r="AC694" s="286"/>
      <c r="AD694" s="287"/>
      <c r="AE694" s="286"/>
      <c r="AF694" s="288"/>
      <c r="AG694" s="286"/>
      <c r="AH694" s="276"/>
      <c r="AI694" s="276"/>
      <c r="AJ694" s="274" t="s">
        <v>190</v>
      </c>
      <c r="AK694" s="274" t="s">
        <v>190</v>
      </c>
      <c r="AL694" s="274" t="s">
        <v>190</v>
      </c>
      <c r="AM694" s="260" t="s">
        <v>3967</v>
      </c>
      <c r="AN694" s="22">
        <v>182</v>
      </c>
      <c r="AO694" s="22">
        <v>0</v>
      </c>
      <c r="AP694" s="22">
        <v>20</v>
      </c>
      <c r="AQ694" s="22">
        <v>0</v>
      </c>
      <c r="AR694" s="22">
        <v>0</v>
      </c>
      <c r="AS694" s="22">
        <v>7</v>
      </c>
      <c r="AT694" s="22">
        <v>10</v>
      </c>
      <c r="AU694" s="316">
        <f t="shared" si="111"/>
        <v>219</v>
      </c>
      <c r="AV694" s="22">
        <v>190</v>
      </c>
      <c r="AW694" s="22">
        <v>0</v>
      </c>
      <c r="AX694" s="22">
        <v>20</v>
      </c>
      <c r="AY694" s="22">
        <v>0</v>
      </c>
      <c r="AZ694" s="22">
        <v>0</v>
      </c>
      <c r="BA694" s="22">
        <v>7</v>
      </c>
      <c r="BB694" s="22">
        <v>10</v>
      </c>
      <c r="BC694" s="316">
        <f t="shared" si="112"/>
        <v>227</v>
      </c>
      <c r="BD694" s="58">
        <f t="shared" si="113"/>
        <v>8</v>
      </c>
      <c r="BE694" s="58">
        <f t="shared" si="114"/>
        <v>0</v>
      </c>
      <c r="BF694" s="58">
        <f t="shared" si="115"/>
        <v>0</v>
      </c>
      <c r="BG694" s="58">
        <f t="shared" si="116"/>
        <v>0</v>
      </c>
      <c r="BH694" s="58">
        <f t="shared" si="117"/>
        <v>0</v>
      </c>
      <c r="BI694" s="58">
        <f t="shared" si="118"/>
        <v>0</v>
      </c>
      <c r="BJ694" s="58">
        <f t="shared" si="119"/>
        <v>0</v>
      </c>
      <c r="BK694" s="58">
        <f t="shared" si="120"/>
        <v>8</v>
      </c>
    </row>
    <row r="695" spans="1:63" ht="27" customHeight="1">
      <c r="A695" s="238">
        <f t="shared" si="121"/>
        <v>693</v>
      </c>
      <c r="B695" s="239"/>
      <c r="C695" s="266">
        <v>3150</v>
      </c>
      <c r="D695" s="241" t="s">
        <v>4238</v>
      </c>
      <c r="E695" s="267" t="s">
        <v>4239</v>
      </c>
      <c r="F695" s="268" t="s">
        <v>472</v>
      </c>
      <c r="G695" s="269" t="s">
        <v>1710</v>
      </c>
      <c r="H695" s="245" t="s">
        <v>474</v>
      </c>
      <c r="I695" s="246" t="s">
        <v>1711</v>
      </c>
      <c r="J695" s="270" t="s">
        <v>209</v>
      </c>
      <c r="K695" s="271">
        <v>35490</v>
      </c>
      <c r="L695" s="249" t="s">
        <v>179</v>
      </c>
      <c r="M695" s="272">
        <v>43740</v>
      </c>
      <c r="N695" s="272"/>
      <c r="O695" s="240" t="s">
        <v>4090</v>
      </c>
      <c r="P695" s="238" t="s">
        <v>3775</v>
      </c>
      <c r="Q695" s="238" t="s">
        <v>249</v>
      </c>
      <c r="R695" s="240" t="s">
        <v>182</v>
      </c>
      <c r="S695" s="240" t="s">
        <v>211</v>
      </c>
      <c r="T695" s="251"/>
      <c r="U695" s="273"/>
      <c r="V695" s="274" t="s">
        <v>184</v>
      </c>
      <c r="W695" s="274" t="s">
        <v>184</v>
      </c>
      <c r="X695" s="275">
        <v>4</v>
      </c>
      <c r="Y695" s="267" t="s">
        <v>4240</v>
      </c>
      <c r="Z695" s="274"/>
      <c r="AA695" s="277" t="s">
        <v>186</v>
      </c>
      <c r="AB695" s="274"/>
      <c r="AC695" s="286"/>
      <c r="AD695" s="287"/>
      <c r="AE695" s="286"/>
      <c r="AF695" s="288"/>
      <c r="AG695" s="286"/>
      <c r="AH695" s="276"/>
      <c r="AI695" s="276"/>
      <c r="AJ695" s="274" t="s">
        <v>203</v>
      </c>
      <c r="AK695" s="274" t="s">
        <v>190</v>
      </c>
      <c r="AL695" s="274" t="s">
        <v>190</v>
      </c>
      <c r="AM695" s="260" t="s">
        <v>3859</v>
      </c>
      <c r="AN695" s="22">
        <v>182</v>
      </c>
      <c r="AO695" s="22">
        <v>0</v>
      </c>
      <c r="AP695" s="22">
        <v>0</v>
      </c>
      <c r="AQ695" s="22">
        <v>0</v>
      </c>
      <c r="AR695" s="22">
        <v>0</v>
      </c>
      <c r="AS695" s="22">
        <v>7</v>
      </c>
      <c r="AT695" s="22">
        <v>10</v>
      </c>
      <c r="AU695" s="316">
        <f t="shared" si="111"/>
        <v>199</v>
      </c>
      <c r="AV695" s="22">
        <v>190</v>
      </c>
      <c r="AW695" s="22">
        <v>0</v>
      </c>
      <c r="AX695" s="22">
        <v>0</v>
      </c>
      <c r="AY695" s="22">
        <v>0</v>
      </c>
      <c r="AZ695" s="22">
        <v>0</v>
      </c>
      <c r="BA695" s="22">
        <v>7</v>
      </c>
      <c r="BB695" s="22">
        <v>10</v>
      </c>
      <c r="BC695" s="316">
        <f t="shared" si="112"/>
        <v>207</v>
      </c>
      <c r="BD695" s="58">
        <f t="shared" si="113"/>
        <v>8</v>
      </c>
      <c r="BE695" s="58">
        <f t="shared" si="114"/>
        <v>0</v>
      </c>
      <c r="BF695" s="58">
        <f t="shared" si="115"/>
        <v>0</v>
      </c>
      <c r="BG695" s="58">
        <f t="shared" si="116"/>
        <v>0</v>
      </c>
      <c r="BH695" s="58">
        <f t="shared" si="117"/>
        <v>0</v>
      </c>
      <c r="BI695" s="58">
        <f t="shared" si="118"/>
        <v>0</v>
      </c>
      <c r="BJ695" s="58">
        <f t="shared" si="119"/>
        <v>0</v>
      </c>
      <c r="BK695" s="58">
        <f t="shared" si="120"/>
        <v>8</v>
      </c>
    </row>
    <row r="696" spans="1:63" ht="27" customHeight="1">
      <c r="A696" s="238">
        <f t="shared" si="121"/>
        <v>694</v>
      </c>
      <c r="B696" s="239"/>
      <c r="C696" s="266">
        <v>3593</v>
      </c>
      <c r="D696" s="241" t="s">
        <v>4241</v>
      </c>
      <c r="E696" s="267" t="s">
        <v>4242</v>
      </c>
      <c r="F696" s="268" t="s">
        <v>4243</v>
      </c>
      <c r="G696" s="269" t="s">
        <v>4244</v>
      </c>
      <c r="H696" s="245" t="s">
        <v>4245</v>
      </c>
      <c r="I696" s="246" t="s">
        <v>4246</v>
      </c>
      <c r="J696" s="270" t="s">
        <v>209</v>
      </c>
      <c r="K696" s="271">
        <v>33701</v>
      </c>
      <c r="L696" s="249" t="s">
        <v>179</v>
      </c>
      <c r="M696" s="272">
        <v>43749</v>
      </c>
      <c r="N696" s="272"/>
      <c r="O696" s="240" t="s">
        <v>4024</v>
      </c>
      <c r="P696" s="238" t="s">
        <v>3634</v>
      </c>
      <c r="Q696" s="238" t="s">
        <v>249</v>
      </c>
      <c r="R696" s="240" t="s">
        <v>182</v>
      </c>
      <c r="S696" s="240" t="s">
        <v>228</v>
      </c>
      <c r="T696" s="251"/>
      <c r="U696" s="273"/>
      <c r="V696" s="274" t="s">
        <v>184</v>
      </c>
      <c r="W696" s="274" t="s">
        <v>184</v>
      </c>
      <c r="X696" s="275">
        <v>0</v>
      </c>
      <c r="Y696" s="267" t="s">
        <v>4247</v>
      </c>
      <c r="Z696" s="277"/>
      <c r="AA696" s="277" t="s">
        <v>186</v>
      </c>
      <c r="AB696" s="274"/>
      <c r="AC696" s="286"/>
      <c r="AD696" s="287"/>
      <c r="AE696" s="286"/>
      <c r="AF696" s="288"/>
      <c r="AG696" s="286"/>
      <c r="AH696" s="276"/>
      <c r="AI696" s="276"/>
      <c r="AJ696" s="274" t="s">
        <v>203</v>
      </c>
      <c r="AK696" s="274" t="s">
        <v>190</v>
      </c>
      <c r="AL696" s="274" t="s">
        <v>190</v>
      </c>
      <c r="AM696" s="260" t="s">
        <v>3859</v>
      </c>
      <c r="AN696" s="22">
        <v>182</v>
      </c>
      <c r="AO696" s="22">
        <v>0</v>
      </c>
      <c r="AP696" s="22">
        <v>20</v>
      </c>
      <c r="AQ696" s="22">
        <v>10</v>
      </c>
      <c r="AR696" s="22">
        <v>0</v>
      </c>
      <c r="AS696" s="22">
        <v>7</v>
      </c>
      <c r="AT696" s="22">
        <v>10</v>
      </c>
      <c r="AU696" s="316">
        <f t="shared" si="111"/>
        <v>229</v>
      </c>
      <c r="AV696" s="22">
        <v>190</v>
      </c>
      <c r="AW696" s="22">
        <v>0</v>
      </c>
      <c r="AX696" s="22">
        <v>20</v>
      </c>
      <c r="AY696" s="22">
        <v>10</v>
      </c>
      <c r="AZ696" s="22">
        <v>0</v>
      </c>
      <c r="BA696" s="22">
        <v>7</v>
      </c>
      <c r="BB696" s="22">
        <v>10</v>
      </c>
      <c r="BC696" s="316">
        <f t="shared" si="112"/>
        <v>237</v>
      </c>
      <c r="BD696" s="58">
        <f t="shared" si="113"/>
        <v>8</v>
      </c>
      <c r="BE696" s="58">
        <f t="shared" si="114"/>
        <v>0</v>
      </c>
      <c r="BF696" s="58">
        <f t="shared" si="115"/>
        <v>0</v>
      </c>
      <c r="BG696" s="58">
        <f t="shared" si="116"/>
        <v>0</v>
      </c>
      <c r="BH696" s="58">
        <f t="shared" si="117"/>
        <v>0</v>
      </c>
      <c r="BI696" s="58">
        <f t="shared" si="118"/>
        <v>0</v>
      </c>
      <c r="BJ696" s="58">
        <f t="shared" si="119"/>
        <v>0</v>
      </c>
      <c r="BK696" s="58">
        <f t="shared" si="120"/>
        <v>8</v>
      </c>
    </row>
    <row r="697" spans="1:63" ht="27" customHeight="1">
      <c r="A697" s="238">
        <f t="shared" si="121"/>
        <v>695</v>
      </c>
      <c r="B697" s="239"/>
      <c r="C697" s="266">
        <v>3584</v>
      </c>
      <c r="D697" s="284">
        <v>0</v>
      </c>
      <c r="E697" s="267" t="s">
        <v>4248</v>
      </c>
      <c r="F697" s="268" t="s">
        <v>2151</v>
      </c>
      <c r="G697" s="269" t="s">
        <v>4249</v>
      </c>
      <c r="H697" s="245" t="s">
        <v>4250</v>
      </c>
      <c r="I697" s="246" t="s">
        <v>4106</v>
      </c>
      <c r="J697" s="270" t="s">
        <v>209</v>
      </c>
      <c r="K697" s="271">
        <v>36821</v>
      </c>
      <c r="L697" s="249" t="s">
        <v>179</v>
      </c>
      <c r="M697" s="272">
        <v>43746</v>
      </c>
      <c r="N697" s="272"/>
      <c r="O697" s="240" t="s">
        <v>4024</v>
      </c>
      <c r="P697" s="238" t="s">
        <v>2821</v>
      </c>
      <c r="Q697" s="238" t="s">
        <v>249</v>
      </c>
      <c r="R697" s="240" t="s">
        <v>182</v>
      </c>
      <c r="S697" s="240" t="s">
        <v>228</v>
      </c>
      <c r="T697" s="251"/>
      <c r="U697" s="273"/>
      <c r="V697" s="274" t="s">
        <v>184</v>
      </c>
      <c r="W697" s="274" t="s">
        <v>184</v>
      </c>
      <c r="X697" s="275">
        <v>6</v>
      </c>
      <c r="Y697" s="267" t="s">
        <v>4251</v>
      </c>
      <c r="Z697" s="274"/>
      <c r="AA697" s="277"/>
      <c r="AB697" s="274"/>
      <c r="AC697" s="286"/>
      <c r="AD697" s="287"/>
      <c r="AE697" s="286"/>
      <c r="AF697" s="288"/>
      <c r="AG697" s="286"/>
      <c r="AH697" s="276"/>
      <c r="AI697" s="276"/>
      <c r="AJ697" s="274" t="s">
        <v>190</v>
      </c>
      <c r="AK697" s="274" t="s">
        <v>190</v>
      </c>
      <c r="AL697" s="274" t="s">
        <v>190</v>
      </c>
      <c r="AM697" s="260" t="s">
        <v>3967</v>
      </c>
      <c r="AN697" s="22">
        <v>182</v>
      </c>
      <c r="AO697" s="22">
        <v>0</v>
      </c>
      <c r="AP697" s="22">
        <v>0</v>
      </c>
      <c r="AQ697" s="22">
        <v>0</v>
      </c>
      <c r="AR697" s="22">
        <v>0</v>
      </c>
      <c r="AS697" s="22">
        <v>7</v>
      </c>
      <c r="AT697" s="22">
        <v>10</v>
      </c>
      <c r="AU697" s="316">
        <f t="shared" si="111"/>
        <v>199</v>
      </c>
      <c r="AV697" s="22">
        <v>190</v>
      </c>
      <c r="AW697" s="22">
        <v>0</v>
      </c>
      <c r="AX697" s="22">
        <v>0</v>
      </c>
      <c r="AY697" s="22">
        <v>0</v>
      </c>
      <c r="AZ697" s="22">
        <v>0</v>
      </c>
      <c r="BA697" s="22">
        <v>7</v>
      </c>
      <c r="BB697" s="22">
        <v>10</v>
      </c>
      <c r="BC697" s="316">
        <f t="shared" si="112"/>
        <v>207</v>
      </c>
      <c r="BD697" s="58">
        <f t="shared" si="113"/>
        <v>8</v>
      </c>
      <c r="BE697" s="58">
        <f t="shared" si="114"/>
        <v>0</v>
      </c>
      <c r="BF697" s="58">
        <f t="shared" si="115"/>
        <v>0</v>
      </c>
      <c r="BG697" s="58">
        <f t="shared" si="116"/>
        <v>0</v>
      </c>
      <c r="BH697" s="58">
        <f t="shared" si="117"/>
        <v>0</v>
      </c>
      <c r="BI697" s="58">
        <f t="shared" si="118"/>
        <v>0</v>
      </c>
      <c r="BJ697" s="58">
        <f t="shared" si="119"/>
        <v>0</v>
      </c>
      <c r="BK697" s="58">
        <f t="shared" si="120"/>
        <v>8</v>
      </c>
    </row>
    <row r="698" spans="1:63" ht="27" customHeight="1">
      <c r="A698" s="238">
        <f t="shared" si="121"/>
        <v>696</v>
      </c>
      <c r="B698" s="239"/>
      <c r="C698" s="266">
        <v>3561</v>
      </c>
      <c r="D698" s="241" t="s">
        <v>4252</v>
      </c>
      <c r="E698" s="267" t="s">
        <v>4253</v>
      </c>
      <c r="F698" s="268" t="s">
        <v>4254</v>
      </c>
      <c r="G698" s="269" t="s">
        <v>698</v>
      </c>
      <c r="H698" s="245" t="s">
        <v>4255</v>
      </c>
      <c r="I698" s="246" t="s">
        <v>4256</v>
      </c>
      <c r="J698" s="270" t="s">
        <v>178</v>
      </c>
      <c r="K698" s="271">
        <v>35067</v>
      </c>
      <c r="L698" s="249" t="s">
        <v>179</v>
      </c>
      <c r="M698" s="272">
        <v>43748</v>
      </c>
      <c r="N698" s="272"/>
      <c r="O698" s="240" t="s">
        <v>3999</v>
      </c>
      <c r="P698" s="238" t="s">
        <v>3634</v>
      </c>
      <c r="Q698" s="238" t="s">
        <v>249</v>
      </c>
      <c r="R698" s="240" t="s">
        <v>182</v>
      </c>
      <c r="S698" s="240" t="s">
        <v>183</v>
      </c>
      <c r="T698" s="251"/>
      <c r="U698" s="273"/>
      <c r="V698" s="274" t="s">
        <v>184</v>
      </c>
      <c r="W698" s="274" t="s">
        <v>184</v>
      </c>
      <c r="X698" s="275">
        <v>6</v>
      </c>
      <c r="Y698" s="267" t="s">
        <v>4257</v>
      </c>
      <c r="Z698" s="277"/>
      <c r="AA698" s="277" t="s">
        <v>186</v>
      </c>
      <c r="AB698" s="274"/>
      <c r="AC698" s="286"/>
      <c r="AD698" s="287"/>
      <c r="AE698" s="286"/>
      <c r="AF698" s="288"/>
      <c r="AG698" s="286"/>
      <c r="AH698" s="276"/>
      <c r="AI698" s="276"/>
      <c r="AJ698" s="274" t="s">
        <v>203</v>
      </c>
      <c r="AK698" s="274" t="s">
        <v>190</v>
      </c>
      <c r="AL698" s="274" t="s">
        <v>190</v>
      </c>
      <c r="AM698" s="260" t="s">
        <v>3859</v>
      </c>
      <c r="AN698" s="22">
        <v>182</v>
      </c>
      <c r="AO698" s="22">
        <v>0</v>
      </c>
      <c r="AP698" s="22">
        <v>20</v>
      </c>
      <c r="AQ698" s="22">
        <v>0</v>
      </c>
      <c r="AR698" s="22">
        <v>0</v>
      </c>
      <c r="AS698" s="22">
        <v>7</v>
      </c>
      <c r="AT698" s="22">
        <v>10</v>
      </c>
      <c r="AU698" s="316">
        <f t="shared" si="111"/>
        <v>219</v>
      </c>
      <c r="AV698" s="22">
        <v>190</v>
      </c>
      <c r="AW698" s="22">
        <v>0</v>
      </c>
      <c r="AX698" s="22">
        <v>20</v>
      </c>
      <c r="AY698" s="22">
        <v>0</v>
      </c>
      <c r="AZ698" s="22">
        <v>0</v>
      </c>
      <c r="BA698" s="22">
        <v>7</v>
      </c>
      <c r="BB698" s="22">
        <v>10</v>
      </c>
      <c r="BC698" s="316">
        <f t="shared" si="112"/>
        <v>227</v>
      </c>
      <c r="BD698" s="58">
        <f t="shared" si="113"/>
        <v>8</v>
      </c>
      <c r="BE698" s="58">
        <f t="shared" si="114"/>
        <v>0</v>
      </c>
      <c r="BF698" s="58">
        <f t="shared" si="115"/>
        <v>0</v>
      </c>
      <c r="BG698" s="58">
        <f t="shared" si="116"/>
        <v>0</v>
      </c>
      <c r="BH698" s="58">
        <f t="shared" si="117"/>
        <v>0</v>
      </c>
      <c r="BI698" s="58">
        <f t="shared" si="118"/>
        <v>0</v>
      </c>
      <c r="BJ698" s="58">
        <f t="shared" si="119"/>
        <v>0</v>
      </c>
      <c r="BK698" s="58">
        <f t="shared" si="120"/>
        <v>8</v>
      </c>
    </row>
    <row r="699" spans="1:63" ht="27" customHeight="1">
      <c r="A699" s="238">
        <f t="shared" si="121"/>
        <v>697</v>
      </c>
      <c r="B699" s="239"/>
      <c r="C699" s="266">
        <v>3525</v>
      </c>
      <c r="D699" s="241" t="s">
        <v>4258</v>
      </c>
      <c r="E699" s="267" t="s">
        <v>4259</v>
      </c>
      <c r="F699" s="268" t="s">
        <v>2591</v>
      </c>
      <c r="G699" s="269" t="s">
        <v>4260</v>
      </c>
      <c r="H699" s="245" t="s">
        <v>4261</v>
      </c>
      <c r="I699" s="246" t="s">
        <v>4262</v>
      </c>
      <c r="J699" s="270" t="s">
        <v>178</v>
      </c>
      <c r="K699" s="271">
        <v>36845</v>
      </c>
      <c r="L699" s="249" t="s">
        <v>179</v>
      </c>
      <c r="M699" s="272">
        <v>43746</v>
      </c>
      <c r="N699" s="272"/>
      <c r="O699" s="240" t="s">
        <v>3999</v>
      </c>
      <c r="P699" s="238" t="s">
        <v>3634</v>
      </c>
      <c r="Q699" s="238" t="s">
        <v>249</v>
      </c>
      <c r="R699" s="240" t="s">
        <v>182</v>
      </c>
      <c r="S699" s="240" t="s">
        <v>211</v>
      </c>
      <c r="T699" s="251"/>
      <c r="U699" s="273"/>
      <c r="V699" s="274" t="s">
        <v>184</v>
      </c>
      <c r="W699" s="274" t="s">
        <v>184</v>
      </c>
      <c r="X699" s="275">
        <v>9</v>
      </c>
      <c r="Y699" s="267" t="s">
        <v>4263</v>
      </c>
      <c r="Z699" s="274"/>
      <c r="AA699" s="277"/>
      <c r="AB699" s="274"/>
      <c r="AC699" s="286"/>
      <c r="AD699" s="287"/>
      <c r="AE699" s="286"/>
      <c r="AF699" s="288"/>
      <c r="AG699" s="286"/>
      <c r="AH699" s="276"/>
      <c r="AI699" s="276"/>
      <c r="AJ699" s="274" t="s">
        <v>190</v>
      </c>
      <c r="AK699" s="274" t="s">
        <v>190</v>
      </c>
      <c r="AL699" s="274" t="s">
        <v>203</v>
      </c>
      <c r="AM699" s="260" t="s">
        <v>3967</v>
      </c>
      <c r="AN699" s="22">
        <v>182</v>
      </c>
      <c r="AO699" s="22">
        <v>0</v>
      </c>
      <c r="AP699" s="22">
        <v>20</v>
      </c>
      <c r="AQ699" s="22">
        <v>0</v>
      </c>
      <c r="AR699" s="22">
        <v>0</v>
      </c>
      <c r="AS699" s="22">
        <v>7</v>
      </c>
      <c r="AT699" s="22">
        <v>10</v>
      </c>
      <c r="AU699" s="316">
        <f t="shared" si="111"/>
        <v>219</v>
      </c>
      <c r="AV699" s="22">
        <v>190</v>
      </c>
      <c r="AW699" s="22">
        <v>0</v>
      </c>
      <c r="AX699" s="22">
        <v>20</v>
      </c>
      <c r="AY699" s="22">
        <v>0</v>
      </c>
      <c r="AZ699" s="22">
        <v>0</v>
      </c>
      <c r="BA699" s="22">
        <v>7</v>
      </c>
      <c r="BB699" s="22">
        <v>10</v>
      </c>
      <c r="BC699" s="316">
        <f t="shared" si="112"/>
        <v>227</v>
      </c>
      <c r="BD699" s="58">
        <f t="shared" si="113"/>
        <v>8</v>
      </c>
      <c r="BE699" s="58">
        <f t="shared" si="114"/>
        <v>0</v>
      </c>
      <c r="BF699" s="58">
        <f t="shared" si="115"/>
        <v>0</v>
      </c>
      <c r="BG699" s="58">
        <f t="shared" si="116"/>
        <v>0</v>
      </c>
      <c r="BH699" s="58">
        <f t="shared" si="117"/>
        <v>0</v>
      </c>
      <c r="BI699" s="58">
        <f t="shared" si="118"/>
        <v>0</v>
      </c>
      <c r="BJ699" s="58">
        <f t="shared" si="119"/>
        <v>0</v>
      </c>
      <c r="BK699" s="58">
        <f t="shared" si="120"/>
        <v>8</v>
      </c>
    </row>
    <row r="700" spans="1:63" ht="27" customHeight="1">
      <c r="A700" s="238">
        <f t="shared" si="121"/>
        <v>698</v>
      </c>
      <c r="B700" s="239"/>
      <c r="C700" s="266">
        <v>3302</v>
      </c>
      <c r="D700" s="280" t="s">
        <v>4264</v>
      </c>
      <c r="E700" s="267" t="s">
        <v>4265</v>
      </c>
      <c r="F700" s="268" t="s">
        <v>4266</v>
      </c>
      <c r="G700" s="269" t="s">
        <v>4267</v>
      </c>
      <c r="H700" s="245" t="s">
        <v>1197</v>
      </c>
      <c r="I700" s="246" t="s">
        <v>4268</v>
      </c>
      <c r="J700" s="270" t="s">
        <v>178</v>
      </c>
      <c r="K700" s="271">
        <v>35586</v>
      </c>
      <c r="L700" s="249" t="s">
        <v>179</v>
      </c>
      <c r="M700" s="272">
        <v>43746</v>
      </c>
      <c r="N700" s="272"/>
      <c r="O700" s="240" t="s">
        <v>4076</v>
      </c>
      <c r="P700" s="238" t="s">
        <v>1385</v>
      </c>
      <c r="Q700" s="238" t="s">
        <v>249</v>
      </c>
      <c r="R700" s="240" t="s">
        <v>182</v>
      </c>
      <c r="S700" s="240" t="s">
        <v>228</v>
      </c>
      <c r="T700" s="251"/>
      <c r="U700" s="273"/>
      <c r="V700" s="274" t="s">
        <v>184</v>
      </c>
      <c r="W700" s="274" t="s">
        <v>184</v>
      </c>
      <c r="X700" s="275">
        <v>4</v>
      </c>
      <c r="Y700" s="267" t="s">
        <v>4269</v>
      </c>
      <c r="Z700" s="274"/>
      <c r="AA700" s="277"/>
      <c r="AB700" s="274"/>
      <c r="AC700" s="286"/>
      <c r="AD700" s="287"/>
      <c r="AE700" s="287"/>
      <c r="AF700" s="287"/>
      <c r="AG700" s="286"/>
      <c r="AH700" s="276"/>
      <c r="AI700" s="276"/>
      <c r="AJ700" s="274" t="s">
        <v>190</v>
      </c>
      <c r="AK700" s="274" t="s">
        <v>190</v>
      </c>
      <c r="AL700" s="274" t="s">
        <v>190</v>
      </c>
      <c r="AM700" s="260" t="s">
        <v>3859</v>
      </c>
      <c r="AN700" s="22">
        <v>182</v>
      </c>
      <c r="AO700" s="22">
        <v>0</v>
      </c>
      <c r="AP700" s="22">
        <v>20</v>
      </c>
      <c r="AQ700" s="22">
        <v>0</v>
      </c>
      <c r="AR700" s="22">
        <v>0</v>
      </c>
      <c r="AS700" s="22">
        <v>7</v>
      </c>
      <c r="AT700" s="22">
        <v>10</v>
      </c>
      <c r="AU700" s="316">
        <f t="shared" si="111"/>
        <v>219</v>
      </c>
      <c r="AV700" s="22">
        <v>190</v>
      </c>
      <c r="AW700" s="22">
        <v>0</v>
      </c>
      <c r="AX700" s="22">
        <v>20</v>
      </c>
      <c r="AY700" s="22">
        <v>0</v>
      </c>
      <c r="AZ700" s="22">
        <v>0</v>
      </c>
      <c r="BA700" s="22">
        <v>7</v>
      </c>
      <c r="BB700" s="22">
        <v>10</v>
      </c>
      <c r="BC700" s="316">
        <f t="shared" si="112"/>
        <v>227</v>
      </c>
      <c r="BD700" s="58">
        <f t="shared" si="113"/>
        <v>8</v>
      </c>
      <c r="BE700" s="58">
        <f t="shared" si="114"/>
        <v>0</v>
      </c>
      <c r="BF700" s="58">
        <f t="shared" si="115"/>
        <v>0</v>
      </c>
      <c r="BG700" s="58">
        <f t="shared" si="116"/>
        <v>0</v>
      </c>
      <c r="BH700" s="58">
        <f t="shared" si="117"/>
        <v>0</v>
      </c>
      <c r="BI700" s="58">
        <f t="shared" si="118"/>
        <v>0</v>
      </c>
      <c r="BJ700" s="58">
        <f t="shared" si="119"/>
        <v>0</v>
      </c>
      <c r="BK700" s="58">
        <f t="shared" si="120"/>
        <v>8</v>
      </c>
    </row>
    <row r="701" spans="1:63" ht="27" customHeight="1">
      <c r="A701" s="238">
        <f t="shared" si="121"/>
        <v>699</v>
      </c>
      <c r="B701" s="239"/>
      <c r="C701" s="266">
        <v>3200</v>
      </c>
      <c r="D701" s="241" t="s">
        <v>4270</v>
      </c>
      <c r="E701" s="267" t="s">
        <v>4271</v>
      </c>
      <c r="F701" s="268" t="s">
        <v>4272</v>
      </c>
      <c r="G701" s="269" t="s">
        <v>732</v>
      </c>
      <c r="H701" s="245" t="s">
        <v>4273</v>
      </c>
      <c r="I701" s="246" t="s">
        <v>743</v>
      </c>
      <c r="J701" s="270" t="s">
        <v>178</v>
      </c>
      <c r="K701" s="271">
        <v>30864</v>
      </c>
      <c r="L701" s="249" t="s">
        <v>179</v>
      </c>
      <c r="M701" s="272">
        <v>43741</v>
      </c>
      <c r="N701" s="272"/>
      <c r="O701" s="240" t="s">
        <v>4086</v>
      </c>
      <c r="P701" s="240"/>
      <c r="Q701" s="238" t="s">
        <v>249</v>
      </c>
      <c r="R701" s="240" t="s">
        <v>182</v>
      </c>
      <c r="S701" s="240" t="s">
        <v>228</v>
      </c>
      <c r="T701" s="251"/>
      <c r="U701" s="273"/>
      <c r="V701" s="274" t="s">
        <v>184</v>
      </c>
      <c r="W701" s="274" t="s">
        <v>184</v>
      </c>
      <c r="X701" s="275">
        <v>5</v>
      </c>
      <c r="Y701" s="267" t="s">
        <v>4274</v>
      </c>
      <c r="Z701" s="274"/>
      <c r="AA701" s="277" t="s">
        <v>186</v>
      </c>
      <c r="AB701" s="274"/>
      <c r="AC701" s="286"/>
      <c r="AD701" s="287"/>
      <c r="AE701" s="286"/>
      <c r="AF701" s="288"/>
      <c r="AG701" s="286"/>
      <c r="AH701" s="276"/>
      <c r="AI701" s="276"/>
      <c r="AJ701" s="274" t="s">
        <v>203</v>
      </c>
      <c r="AK701" s="274" t="s">
        <v>190</v>
      </c>
      <c r="AL701" s="274" t="s">
        <v>190</v>
      </c>
      <c r="AM701" s="260" t="s">
        <v>3916</v>
      </c>
      <c r="AN701" s="22">
        <v>182</v>
      </c>
      <c r="AO701" s="22">
        <v>0</v>
      </c>
      <c r="AP701" s="22">
        <v>20</v>
      </c>
      <c r="AQ701" s="22">
        <v>0</v>
      </c>
      <c r="AR701" s="22">
        <v>0</v>
      </c>
      <c r="AS701" s="22">
        <v>7</v>
      </c>
      <c r="AT701" s="22">
        <v>10</v>
      </c>
      <c r="AU701" s="316">
        <f t="shared" si="111"/>
        <v>219</v>
      </c>
      <c r="AV701" s="22">
        <v>190</v>
      </c>
      <c r="AW701" s="22">
        <v>0</v>
      </c>
      <c r="AX701" s="22">
        <v>20</v>
      </c>
      <c r="AY701" s="22">
        <v>0</v>
      </c>
      <c r="AZ701" s="22">
        <v>0</v>
      </c>
      <c r="BA701" s="22">
        <v>7</v>
      </c>
      <c r="BB701" s="22">
        <v>10</v>
      </c>
      <c r="BC701" s="316">
        <f t="shared" si="112"/>
        <v>227</v>
      </c>
      <c r="BD701" s="58">
        <f t="shared" si="113"/>
        <v>8</v>
      </c>
      <c r="BE701" s="58">
        <f t="shared" si="114"/>
        <v>0</v>
      </c>
      <c r="BF701" s="58">
        <f t="shared" si="115"/>
        <v>0</v>
      </c>
      <c r="BG701" s="58">
        <f t="shared" si="116"/>
        <v>0</v>
      </c>
      <c r="BH701" s="58">
        <f t="shared" si="117"/>
        <v>0</v>
      </c>
      <c r="BI701" s="58">
        <f t="shared" si="118"/>
        <v>0</v>
      </c>
      <c r="BJ701" s="58">
        <f t="shared" si="119"/>
        <v>0</v>
      </c>
      <c r="BK701" s="58">
        <f t="shared" si="120"/>
        <v>8</v>
      </c>
    </row>
    <row r="702" spans="1:63" ht="27" customHeight="1">
      <c r="A702" s="238">
        <f t="shared" si="121"/>
        <v>700</v>
      </c>
      <c r="B702" s="239"/>
      <c r="C702" s="266">
        <v>3220</v>
      </c>
      <c r="D702" s="241">
        <v>0</v>
      </c>
      <c r="E702" s="267" t="s">
        <v>4275</v>
      </c>
      <c r="F702" s="268" t="s">
        <v>4276</v>
      </c>
      <c r="G702" s="269" t="s">
        <v>3492</v>
      </c>
      <c r="H702" s="245" t="s">
        <v>4277</v>
      </c>
      <c r="I702" s="246" t="s">
        <v>4278</v>
      </c>
      <c r="J702" s="270" t="s">
        <v>209</v>
      </c>
      <c r="K702" s="271">
        <v>31811</v>
      </c>
      <c r="L702" s="249" t="s">
        <v>179</v>
      </c>
      <c r="M702" s="272">
        <v>43742</v>
      </c>
      <c r="N702" s="272"/>
      <c r="O702" s="240" t="s">
        <v>3983</v>
      </c>
      <c r="P702" s="238" t="s">
        <v>2821</v>
      </c>
      <c r="Q702" s="238" t="s">
        <v>249</v>
      </c>
      <c r="R702" s="240" t="s">
        <v>182</v>
      </c>
      <c r="S702" s="240" t="s">
        <v>433</v>
      </c>
      <c r="T702" s="251"/>
      <c r="U702" s="273"/>
      <c r="V702" s="274" t="s">
        <v>184</v>
      </c>
      <c r="W702" s="274" t="s">
        <v>184</v>
      </c>
      <c r="X702" s="275">
        <v>7</v>
      </c>
      <c r="Y702" s="267" t="s">
        <v>4279</v>
      </c>
      <c r="Z702" s="274"/>
      <c r="AA702" s="277"/>
      <c r="AB702" s="274"/>
      <c r="AC702" s="286"/>
      <c r="AD702" s="287"/>
      <c r="AE702" s="286"/>
      <c r="AF702" s="288"/>
      <c r="AG702" s="286"/>
      <c r="AH702" s="276"/>
      <c r="AI702" s="276"/>
      <c r="AJ702" s="274" t="s">
        <v>203</v>
      </c>
      <c r="AK702" s="274" t="s">
        <v>190</v>
      </c>
      <c r="AL702" s="274" t="s">
        <v>190</v>
      </c>
      <c r="AM702" s="260" t="s">
        <v>3859</v>
      </c>
      <c r="AN702" s="22">
        <v>182</v>
      </c>
      <c r="AO702" s="22">
        <v>0</v>
      </c>
      <c r="AP702" s="22">
        <v>20</v>
      </c>
      <c r="AQ702" s="22">
        <v>0</v>
      </c>
      <c r="AR702" s="22">
        <v>0</v>
      </c>
      <c r="AS702" s="22">
        <v>7</v>
      </c>
      <c r="AT702" s="22">
        <v>10</v>
      </c>
      <c r="AU702" s="316">
        <f t="shared" si="111"/>
        <v>219</v>
      </c>
      <c r="AV702" s="22">
        <v>190</v>
      </c>
      <c r="AW702" s="22">
        <v>0</v>
      </c>
      <c r="AX702" s="22">
        <v>20</v>
      </c>
      <c r="AY702" s="22">
        <v>0</v>
      </c>
      <c r="AZ702" s="22">
        <v>0</v>
      </c>
      <c r="BA702" s="22">
        <v>7</v>
      </c>
      <c r="BB702" s="22">
        <v>10</v>
      </c>
      <c r="BC702" s="316">
        <f t="shared" si="112"/>
        <v>227</v>
      </c>
      <c r="BD702" s="58">
        <f t="shared" si="113"/>
        <v>8</v>
      </c>
      <c r="BE702" s="58">
        <f t="shared" si="114"/>
        <v>0</v>
      </c>
      <c r="BF702" s="58">
        <f t="shared" si="115"/>
        <v>0</v>
      </c>
      <c r="BG702" s="58">
        <f t="shared" si="116"/>
        <v>0</v>
      </c>
      <c r="BH702" s="58">
        <f t="shared" si="117"/>
        <v>0</v>
      </c>
      <c r="BI702" s="58">
        <f t="shared" si="118"/>
        <v>0</v>
      </c>
      <c r="BJ702" s="58">
        <f t="shared" si="119"/>
        <v>0</v>
      </c>
      <c r="BK702" s="58">
        <f t="shared" si="120"/>
        <v>8</v>
      </c>
    </row>
    <row r="703" spans="1:63" ht="27" customHeight="1">
      <c r="A703" s="238">
        <f t="shared" si="121"/>
        <v>701</v>
      </c>
      <c r="B703" s="239"/>
      <c r="C703" s="266">
        <v>3241</v>
      </c>
      <c r="D703" s="241" t="s">
        <v>4280</v>
      </c>
      <c r="E703" s="267" t="s">
        <v>4281</v>
      </c>
      <c r="F703" s="268" t="s">
        <v>732</v>
      </c>
      <c r="G703" s="269" t="s">
        <v>4282</v>
      </c>
      <c r="H703" s="245" t="s">
        <v>1850</v>
      </c>
      <c r="I703" s="246" t="s">
        <v>4283</v>
      </c>
      <c r="J703" s="270" t="s">
        <v>209</v>
      </c>
      <c r="K703" s="271">
        <v>35619</v>
      </c>
      <c r="L703" s="249" t="s">
        <v>179</v>
      </c>
      <c r="M703" s="272">
        <v>43742</v>
      </c>
      <c r="N703" s="272"/>
      <c r="O703" s="240" t="s">
        <v>4037</v>
      </c>
      <c r="P703" s="238" t="s">
        <v>3770</v>
      </c>
      <c r="Q703" s="238" t="s">
        <v>249</v>
      </c>
      <c r="R703" s="240" t="s">
        <v>182</v>
      </c>
      <c r="S703" s="240" t="s">
        <v>310</v>
      </c>
      <c r="T703" s="251"/>
      <c r="U703" s="273"/>
      <c r="V703" s="274" t="s">
        <v>184</v>
      </c>
      <c r="W703" s="274" t="s">
        <v>184</v>
      </c>
      <c r="X703" s="275">
        <v>7</v>
      </c>
      <c r="Y703" s="267" t="s">
        <v>4284</v>
      </c>
      <c r="Z703" s="274"/>
      <c r="AA703" s="277" t="s">
        <v>186</v>
      </c>
      <c r="AB703" s="274"/>
      <c r="AC703" s="286"/>
      <c r="AD703" s="287"/>
      <c r="AE703" s="286"/>
      <c r="AF703" s="288"/>
      <c r="AG703" s="286"/>
      <c r="AH703" s="276"/>
      <c r="AI703" s="276"/>
      <c r="AJ703" s="274" t="s">
        <v>190</v>
      </c>
      <c r="AK703" s="274" t="s">
        <v>190</v>
      </c>
      <c r="AL703" s="274" t="s">
        <v>190</v>
      </c>
      <c r="AM703" s="260" t="s">
        <v>3967</v>
      </c>
      <c r="AN703" s="22">
        <v>182</v>
      </c>
      <c r="AO703" s="22">
        <v>0</v>
      </c>
      <c r="AP703" s="22">
        <v>0</v>
      </c>
      <c r="AQ703" s="22">
        <v>0</v>
      </c>
      <c r="AR703" s="22">
        <v>0</v>
      </c>
      <c r="AS703" s="22">
        <v>7</v>
      </c>
      <c r="AT703" s="22">
        <v>10</v>
      </c>
      <c r="AU703" s="316">
        <f t="shared" si="111"/>
        <v>199</v>
      </c>
      <c r="AV703" s="22">
        <v>190</v>
      </c>
      <c r="AW703" s="22">
        <v>0</v>
      </c>
      <c r="AX703" s="22">
        <v>0</v>
      </c>
      <c r="AY703" s="22">
        <v>0</v>
      </c>
      <c r="AZ703" s="22">
        <v>0</v>
      </c>
      <c r="BA703" s="22">
        <v>7</v>
      </c>
      <c r="BB703" s="22">
        <v>10</v>
      </c>
      <c r="BC703" s="316">
        <f t="shared" si="112"/>
        <v>207</v>
      </c>
      <c r="BD703" s="58">
        <f t="shared" si="113"/>
        <v>8</v>
      </c>
      <c r="BE703" s="58">
        <f t="shared" si="114"/>
        <v>0</v>
      </c>
      <c r="BF703" s="58">
        <f t="shared" si="115"/>
        <v>0</v>
      </c>
      <c r="BG703" s="58">
        <f t="shared" si="116"/>
        <v>0</v>
      </c>
      <c r="BH703" s="58">
        <f t="shared" si="117"/>
        <v>0</v>
      </c>
      <c r="BI703" s="58">
        <f t="shared" si="118"/>
        <v>0</v>
      </c>
      <c r="BJ703" s="58">
        <f t="shared" si="119"/>
        <v>0</v>
      </c>
      <c r="BK703" s="58">
        <f t="shared" si="120"/>
        <v>8</v>
      </c>
    </row>
    <row r="704" spans="1:63" ht="27" customHeight="1">
      <c r="A704" s="238">
        <f t="shared" si="121"/>
        <v>702</v>
      </c>
      <c r="B704" s="239"/>
      <c r="C704" s="266">
        <v>3239</v>
      </c>
      <c r="D704" s="241" t="s">
        <v>4285</v>
      </c>
      <c r="E704" s="267" t="s">
        <v>4286</v>
      </c>
      <c r="F704" s="268" t="s">
        <v>4287</v>
      </c>
      <c r="G704" s="269" t="s">
        <v>4288</v>
      </c>
      <c r="H704" s="245" t="s">
        <v>4289</v>
      </c>
      <c r="I704" s="246" t="s">
        <v>4290</v>
      </c>
      <c r="J704" s="270" t="s">
        <v>178</v>
      </c>
      <c r="K704" s="271">
        <v>32661</v>
      </c>
      <c r="L704" s="249" t="s">
        <v>179</v>
      </c>
      <c r="M704" s="272">
        <v>43746</v>
      </c>
      <c r="N704" s="272"/>
      <c r="O704" s="240"/>
      <c r="P704" s="238" t="s">
        <v>1385</v>
      </c>
      <c r="Q704" s="238" t="s">
        <v>249</v>
      </c>
      <c r="R704" s="240" t="s">
        <v>182</v>
      </c>
      <c r="S704" s="240" t="s">
        <v>1118</v>
      </c>
      <c r="T704" s="251"/>
      <c r="U704" s="273"/>
      <c r="V704" s="274" t="s">
        <v>184</v>
      </c>
      <c r="W704" s="274" t="s">
        <v>184</v>
      </c>
      <c r="X704" s="275">
        <v>6</v>
      </c>
      <c r="Y704" s="267" t="s">
        <v>4291</v>
      </c>
      <c r="Z704" s="277"/>
      <c r="AA704" s="277" t="s">
        <v>186</v>
      </c>
      <c r="AB704" s="274"/>
      <c r="AC704" s="286"/>
      <c r="AD704" s="287"/>
      <c r="AE704" s="286"/>
      <c r="AF704" s="288"/>
      <c r="AG704" s="286"/>
      <c r="AH704" s="276"/>
      <c r="AI704" s="276"/>
      <c r="AJ704" s="274" t="s">
        <v>190</v>
      </c>
      <c r="AK704" s="274" t="s">
        <v>190</v>
      </c>
      <c r="AL704" s="274" t="s">
        <v>203</v>
      </c>
      <c r="AM704" s="260" t="s">
        <v>3967</v>
      </c>
      <c r="AN704" s="22">
        <v>182</v>
      </c>
      <c r="AO704" s="22">
        <v>0</v>
      </c>
      <c r="AP704" s="22">
        <v>20</v>
      </c>
      <c r="AQ704" s="22">
        <v>0</v>
      </c>
      <c r="AR704" s="22">
        <v>0</v>
      </c>
      <c r="AS704" s="22">
        <v>7</v>
      </c>
      <c r="AT704" s="22">
        <v>10</v>
      </c>
      <c r="AU704" s="316">
        <f t="shared" si="111"/>
        <v>219</v>
      </c>
      <c r="AV704" s="22">
        <v>190</v>
      </c>
      <c r="AW704" s="22">
        <v>0</v>
      </c>
      <c r="AX704" s="22">
        <v>20</v>
      </c>
      <c r="AY704" s="22">
        <v>0</v>
      </c>
      <c r="AZ704" s="22">
        <v>0</v>
      </c>
      <c r="BA704" s="22">
        <v>7</v>
      </c>
      <c r="BB704" s="22">
        <v>10</v>
      </c>
      <c r="BC704" s="316">
        <f t="shared" si="112"/>
        <v>227</v>
      </c>
      <c r="BD704" s="58">
        <f t="shared" si="113"/>
        <v>8</v>
      </c>
      <c r="BE704" s="58">
        <f t="shared" si="114"/>
        <v>0</v>
      </c>
      <c r="BF704" s="58">
        <f t="shared" si="115"/>
        <v>0</v>
      </c>
      <c r="BG704" s="58">
        <f t="shared" si="116"/>
        <v>0</v>
      </c>
      <c r="BH704" s="58">
        <f t="shared" si="117"/>
        <v>0</v>
      </c>
      <c r="BI704" s="58">
        <f t="shared" si="118"/>
        <v>0</v>
      </c>
      <c r="BJ704" s="58">
        <f t="shared" si="119"/>
        <v>0</v>
      </c>
      <c r="BK704" s="58">
        <f t="shared" si="120"/>
        <v>8</v>
      </c>
    </row>
    <row r="705" spans="1:63" ht="27" customHeight="1">
      <c r="A705" s="238">
        <f t="shared" si="121"/>
        <v>703</v>
      </c>
      <c r="B705" s="239"/>
      <c r="C705" s="266">
        <v>3272</v>
      </c>
      <c r="D705" s="241" t="s">
        <v>4292</v>
      </c>
      <c r="E705" s="267" t="s">
        <v>4293</v>
      </c>
      <c r="F705" s="268" t="s">
        <v>4287</v>
      </c>
      <c r="G705" s="269" t="s">
        <v>4294</v>
      </c>
      <c r="H705" s="245" t="s">
        <v>4289</v>
      </c>
      <c r="I705" s="246" t="s">
        <v>4295</v>
      </c>
      <c r="J705" s="270" t="s">
        <v>178</v>
      </c>
      <c r="K705" s="271">
        <v>33886</v>
      </c>
      <c r="L705" s="249" t="s">
        <v>179</v>
      </c>
      <c r="M705" s="272">
        <v>43746</v>
      </c>
      <c r="N705" s="272"/>
      <c r="O705" s="240" t="s">
        <v>4004</v>
      </c>
      <c r="P705" s="238" t="s">
        <v>3833</v>
      </c>
      <c r="Q705" s="238" t="s">
        <v>249</v>
      </c>
      <c r="R705" s="240" t="s">
        <v>182</v>
      </c>
      <c r="S705" s="240" t="s">
        <v>183</v>
      </c>
      <c r="T705" s="251"/>
      <c r="U705" s="273"/>
      <c r="V705" s="274" t="s">
        <v>184</v>
      </c>
      <c r="W705" s="274" t="s">
        <v>184</v>
      </c>
      <c r="X705" s="275">
        <v>6</v>
      </c>
      <c r="Y705" s="267" t="s">
        <v>4296</v>
      </c>
      <c r="Z705" s="274"/>
      <c r="AA705" s="277" t="s">
        <v>186</v>
      </c>
      <c r="AB705" s="274"/>
      <c r="AC705" s="286"/>
      <c r="AD705" s="287"/>
      <c r="AE705" s="287"/>
      <c r="AF705" s="287"/>
      <c r="AG705" s="286"/>
      <c r="AH705" s="276"/>
      <c r="AI705" s="276"/>
      <c r="AJ705" s="274" t="s">
        <v>203</v>
      </c>
      <c r="AK705" s="274" t="s">
        <v>190</v>
      </c>
      <c r="AL705" s="274" t="s">
        <v>190</v>
      </c>
      <c r="AM705" s="260" t="s">
        <v>3859</v>
      </c>
      <c r="AN705" s="22">
        <v>182</v>
      </c>
      <c r="AO705" s="22">
        <v>0</v>
      </c>
      <c r="AP705" s="22">
        <v>20</v>
      </c>
      <c r="AQ705" s="22">
        <v>0</v>
      </c>
      <c r="AR705" s="22">
        <v>0</v>
      </c>
      <c r="AS705" s="22">
        <v>7</v>
      </c>
      <c r="AT705" s="22">
        <v>10</v>
      </c>
      <c r="AU705" s="316">
        <f t="shared" si="111"/>
        <v>219</v>
      </c>
      <c r="AV705" s="22">
        <v>190</v>
      </c>
      <c r="AW705" s="22">
        <v>0</v>
      </c>
      <c r="AX705" s="22">
        <v>20</v>
      </c>
      <c r="AY705" s="22">
        <v>0</v>
      </c>
      <c r="AZ705" s="22">
        <v>0</v>
      </c>
      <c r="BA705" s="22">
        <v>7</v>
      </c>
      <c r="BB705" s="22">
        <v>10</v>
      </c>
      <c r="BC705" s="316">
        <f t="shared" si="112"/>
        <v>227</v>
      </c>
      <c r="BD705" s="58">
        <f t="shared" si="113"/>
        <v>8</v>
      </c>
      <c r="BE705" s="58">
        <f t="shared" si="114"/>
        <v>0</v>
      </c>
      <c r="BF705" s="58">
        <f t="shared" si="115"/>
        <v>0</v>
      </c>
      <c r="BG705" s="58">
        <f t="shared" si="116"/>
        <v>0</v>
      </c>
      <c r="BH705" s="58">
        <f t="shared" si="117"/>
        <v>0</v>
      </c>
      <c r="BI705" s="58">
        <f t="shared" si="118"/>
        <v>0</v>
      </c>
      <c r="BJ705" s="58">
        <f t="shared" si="119"/>
        <v>0</v>
      </c>
      <c r="BK705" s="58">
        <f t="shared" si="120"/>
        <v>8</v>
      </c>
    </row>
    <row r="706" spans="1:63" ht="27" customHeight="1">
      <c r="A706" s="238">
        <f t="shared" si="121"/>
        <v>704</v>
      </c>
      <c r="B706" s="239"/>
      <c r="C706" s="266">
        <v>3290</v>
      </c>
      <c r="D706" s="241" t="s">
        <v>4297</v>
      </c>
      <c r="E706" s="267" t="s">
        <v>4298</v>
      </c>
      <c r="F706" s="268" t="s">
        <v>1178</v>
      </c>
      <c r="G706" s="269" t="s">
        <v>4299</v>
      </c>
      <c r="H706" s="245" t="s">
        <v>4300</v>
      </c>
      <c r="I706" s="246" t="s">
        <v>4301</v>
      </c>
      <c r="J706" s="270" t="s">
        <v>209</v>
      </c>
      <c r="K706" s="271">
        <v>34214</v>
      </c>
      <c r="L706" s="249" t="s">
        <v>179</v>
      </c>
      <c r="M706" s="272">
        <v>43746</v>
      </c>
      <c r="N706" s="272"/>
      <c r="O706" s="240" t="s">
        <v>4024</v>
      </c>
      <c r="P706" s="238" t="s">
        <v>3833</v>
      </c>
      <c r="Q706" s="238" t="s">
        <v>249</v>
      </c>
      <c r="R706" s="240" t="s">
        <v>182</v>
      </c>
      <c r="S706" s="240" t="s">
        <v>219</v>
      </c>
      <c r="T706" s="251"/>
      <c r="U706" s="273"/>
      <c r="V706" s="274" t="s">
        <v>184</v>
      </c>
      <c r="W706" s="274" t="s">
        <v>184</v>
      </c>
      <c r="X706" s="275">
        <v>7</v>
      </c>
      <c r="Y706" s="267" t="s">
        <v>4302</v>
      </c>
      <c r="Z706" s="277"/>
      <c r="AA706" s="274"/>
      <c r="AB706" s="274"/>
      <c r="AC706" s="286"/>
      <c r="AD706" s="287"/>
      <c r="AE706" s="286"/>
      <c r="AF706" s="288"/>
      <c r="AG706" s="286"/>
      <c r="AH706" s="276"/>
      <c r="AI706" s="276"/>
      <c r="AJ706" s="274" t="s">
        <v>203</v>
      </c>
      <c r="AK706" s="274" t="s">
        <v>190</v>
      </c>
      <c r="AL706" s="274" t="s">
        <v>190</v>
      </c>
      <c r="AM706" s="260" t="s">
        <v>3859</v>
      </c>
      <c r="AN706" s="22">
        <v>182</v>
      </c>
      <c r="AO706" s="22">
        <v>0</v>
      </c>
      <c r="AP706" s="22">
        <v>20</v>
      </c>
      <c r="AQ706" s="22">
        <v>0</v>
      </c>
      <c r="AR706" s="22">
        <v>0</v>
      </c>
      <c r="AS706" s="22">
        <v>7</v>
      </c>
      <c r="AT706" s="22">
        <v>10</v>
      </c>
      <c r="AU706" s="316">
        <f t="shared" si="111"/>
        <v>219</v>
      </c>
      <c r="AV706" s="22">
        <v>190</v>
      </c>
      <c r="AW706" s="22">
        <v>0</v>
      </c>
      <c r="AX706" s="22">
        <v>20</v>
      </c>
      <c r="AY706" s="22">
        <v>0</v>
      </c>
      <c r="AZ706" s="22">
        <v>0</v>
      </c>
      <c r="BA706" s="22">
        <v>7</v>
      </c>
      <c r="BB706" s="22">
        <v>10</v>
      </c>
      <c r="BC706" s="316">
        <f t="shared" si="112"/>
        <v>227</v>
      </c>
      <c r="BD706" s="58">
        <f t="shared" si="113"/>
        <v>8</v>
      </c>
      <c r="BE706" s="58">
        <f t="shared" si="114"/>
        <v>0</v>
      </c>
      <c r="BF706" s="58">
        <f t="shared" si="115"/>
        <v>0</v>
      </c>
      <c r="BG706" s="58">
        <f t="shared" si="116"/>
        <v>0</v>
      </c>
      <c r="BH706" s="58">
        <f t="shared" si="117"/>
        <v>0</v>
      </c>
      <c r="BI706" s="58">
        <f t="shared" si="118"/>
        <v>0</v>
      </c>
      <c r="BJ706" s="58">
        <f t="shared" si="119"/>
        <v>0</v>
      </c>
      <c r="BK706" s="58">
        <f t="shared" si="120"/>
        <v>8</v>
      </c>
    </row>
    <row r="707" spans="1:63" ht="27" customHeight="1">
      <c r="A707" s="238">
        <f t="shared" si="121"/>
        <v>705</v>
      </c>
      <c r="B707" s="239"/>
      <c r="C707" s="266">
        <v>3278</v>
      </c>
      <c r="D707" s="241" t="s">
        <v>4303</v>
      </c>
      <c r="E707" s="267" t="s">
        <v>4304</v>
      </c>
      <c r="F707" s="268" t="s">
        <v>4305</v>
      </c>
      <c r="G707" s="269" t="s">
        <v>1452</v>
      </c>
      <c r="H707" s="245" t="s">
        <v>4306</v>
      </c>
      <c r="I707" s="246" t="s">
        <v>1454</v>
      </c>
      <c r="J707" s="270" t="s">
        <v>178</v>
      </c>
      <c r="K707" s="271">
        <v>36993</v>
      </c>
      <c r="L707" s="249" t="s">
        <v>179</v>
      </c>
      <c r="M707" s="272">
        <v>43746</v>
      </c>
      <c r="N707" s="272"/>
      <c r="O707" s="240" t="s">
        <v>4004</v>
      </c>
      <c r="P707" s="238" t="s">
        <v>3833</v>
      </c>
      <c r="Q707" s="238" t="s">
        <v>249</v>
      </c>
      <c r="R707" s="240" t="s">
        <v>182</v>
      </c>
      <c r="S707" s="240" t="s">
        <v>228</v>
      </c>
      <c r="T707" s="251"/>
      <c r="U707" s="273"/>
      <c r="V707" s="274" t="s">
        <v>184</v>
      </c>
      <c r="W707" s="274" t="s">
        <v>184</v>
      </c>
      <c r="X707" s="275">
        <v>5</v>
      </c>
      <c r="Y707" s="267" t="s">
        <v>4307</v>
      </c>
      <c r="Z707" s="277" t="s">
        <v>186</v>
      </c>
      <c r="AA707" s="277"/>
      <c r="AB707" s="274"/>
      <c r="AC707" s="286"/>
      <c r="AD707" s="287"/>
      <c r="AE707" s="286"/>
      <c r="AF707" s="288"/>
      <c r="AG707" s="286"/>
      <c r="AH707" s="276"/>
      <c r="AI707" s="276"/>
      <c r="AJ707" s="274" t="s">
        <v>203</v>
      </c>
      <c r="AK707" s="274" t="s">
        <v>190</v>
      </c>
      <c r="AL707" s="274" t="s">
        <v>190</v>
      </c>
      <c r="AM707" s="260" t="s">
        <v>3859</v>
      </c>
      <c r="AN707" s="22">
        <v>182</v>
      </c>
      <c r="AO707" s="22">
        <v>0</v>
      </c>
      <c r="AP707" s="22">
        <v>20</v>
      </c>
      <c r="AQ707" s="22">
        <v>0</v>
      </c>
      <c r="AR707" s="22">
        <v>0</v>
      </c>
      <c r="AS707" s="22">
        <v>7</v>
      </c>
      <c r="AT707" s="22">
        <v>10</v>
      </c>
      <c r="AU707" s="316">
        <f t="shared" si="111"/>
        <v>219</v>
      </c>
      <c r="AV707" s="22">
        <v>190</v>
      </c>
      <c r="AW707" s="22">
        <v>0</v>
      </c>
      <c r="AX707" s="22">
        <v>20</v>
      </c>
      <c r="AY707" s="22">
        <v>0</v>
      </c>
      <c r="AZ707" s="22">
        <v>0</v>
      </c>
      <c r="BA707" s="22">
        <v>7</v>
      </c>
      <c r="BB707" s="22">
        <v>10</v>
      </c>
      <c r="BC707" s="316">
        <f t="shared" si="112"/>
        <v>227</v>
      </c>
      <c r="BD707" s="58">
        <f t="shared" si="113"/>
        <v>8</v>
      </c>
      <c r="BE707" s="58">
        <f t="shared" si="114"/>
        <v>0</v>
      </c>
      <c r="BF707" s="58">
        <f t="shared" si="115"/>
        <v>0</v>
      </c>
      <c r="BG707" s="58">
        <f t="shared" si="116"/>
        <v>0</v>
      </c>
      <c r="BH707" s="58">
        <f t="shared" si="117"/>
        <v>0</v>
      </c>
      <c r="BI707" s="58">
        <f t="shared" si="118"/>
        <v>0</v>
      </c>
      <c r="BJ707" s="58">
        <f t="shared" si="119"/>
        <v>0</v>
      </c>
      <c r="BK707" s="58">
        <f t="shared" si="120"/>
        <v>8</v>
      </c>
    </row>
    <row r="708" spans="1:63" ht="27" customHeight="1">
      <c r="A708" s="238">
        <f t="shared" si="121"/>
        <v>706</v>
      </c>
      <c r="B708" s="239"/>
      <c r="C708" s="266">
        <v>3541</v>
      </c>
      <c r="D708" s="241" t="s">
        <v>4308</v>
      </c>
      <c r="E708" s="267" t="s">
        <v>4309</v>
      </c>
      <c r="F708" s="268" t="s">
        <v>4310</v>
      </c>
      <c r="G708" s="269" t="s">
        <v>4311</v>
      </c>
      <c r="H708" s="245" t="s">
        <v>4312</v>
      </c>
      <c r="I708" s="246" t="s">
        <v>4313</v>
      </c>
      <c r="J708" s="270" t="s">
        <v>209</v>
      </c>
      <c r="K708" s="271">
        <v>35653</v>
      </c>
      <c r="L708" s="249" t="s">
        <v>179</v>
      </c>
      <c r="M708" s="272">
        <v>43747</v>
      </c>
      <c r="N708" s="272"/>
      <c r="O708" s="240" t="s">
        <v>3999</v>
      </c>
      <c r="P708" s="238" t="s">
        <v>3775</v>
      </c>
      <c r="Q708" s="238" t="s">
        <v>249</v>
      </c>
      <c r="R708" s="240" t="s">
        <v>182</v>
      </c>
      <c r="S708" s="240" t="s">
        <v>1206</v>
      </c>
      <c r="T708" s="251"/>
      <c r="U708" s="273"/>
      <c r="V708" s="274" t="s">
        <v>184</v>
      </c>
      <c r="W708" s="274" t="s">
        <v>184</v>
      </c>
      <c r="X708" s="275">
        <v>5</v>
      </c>
      <c r="Y708" s="267" t="s">
        <v>4314</v>
      </c>
      <c r="Z708" s="277" t="s">
        <v>186</v>
      </c>
      <c r="AA708" s="274"/>
      <c r="AB708" s="274"/>
      <c r="AC708" s="286"/>
      <c r="AD708" s="287"/>
      <c r="AE708" s="286"/>
      <c r="AF708" s="288"/>
      <c r="AG708" s="286"/>
      <c r="AH708" s="276"/>
      <c r="AI708" s="276"/>
      <c r="AJ708" s="274" t="s">
        <v>190</v>
      </c>
      <c r="AK708" s="274" t="s">
        <v>190</v>
      </c>
      <c r="AL708" s="274" t="s">
        <v>190</v>
      </c>
      <c r="AM708" s="260" t="s">
        <v>3967</v>
      </c>
      <c r="AN708" s="22">
        <v>182</v>
      </c>
      <c r="AO708" s="22">
        <v>0</v>
      </c>
      <c r="AP708" s="22">
        <v>20</v>
      </c>
      <c r="AQ708" s="22">
        <v>0</v>
      </c>
      <c r="AR708" s="22">
        <v>0</v>
      </c>
      <c r="AS708" s="22">
        <v>7</v>
      </c>
      <c r="AT708" s="22">
        <v>10</v>
      </c>
      <c r="AU708" s="316">
        <f t="shared" ref="AU708:AU771" si="122">SUM(AN708:AT708)</f>
        <v>219</v>
      </c>
      <c r="AV708" s="22">
        <v>190</v>
      </c>
      <c r="AW708" s="22">
        <v>0</v>
      </c>
      <c r="AX708" s="22">
        <v>20</v>
      </c>
      <c r="AY708" s="22">
        <v>0</v>
      </c>
      <c r="AZ708" s="22">
        <v>0</v>
      </c>
      <c r="BA708" s="22">
        <v>7</v>
      </c>
      <c r="BB708" s="22">
        <v>10</v>
      </c>
      <c r="BC708" s="316">
        <f t="shared" ref="BC708:BC771" si="123">SUM(AV708:BB708)</f>
        <v>227</v>
      </c>
      <c r="BD708" s="58">
        <f t="shared" ref="BD708:BD771" si="124">AV708-AN708</f>
        <v>8</v>
      </c>
      <c r="BE708" s="58">
        <f t="shared" ref="BE708:BE771" si="125">AW708-AO708</f>
        <v>0</v>
      </c>
      <c r="BF708" s="58">
        <f t="shared" ref="BF708:BF771" si="126">AX708-AP708</f>
        <v>0</v>
      </c>
      <c r="BG708" s="58">
        <f t="shared" ref="BG708:BG771" si="127">AY708-AQ708</f>
        <v>0</v>
      </c>
      <c r="BH708" s="58">
        <f t="shared" ref="BH708:BH771" si="128">AZ708-AR708</f>
        <v>0</v>
      </c>
      <c r="BI708" s="58">
        <f t="shared" ref="BI708:BI771" si="129">BA708-AS708</f>
        <v>0</v>
      </c>
      <c r="BJ708" s="58">
        <f t="shared" ref="BJ708:BJ771" si="130">BB708-AT708</f>
        <v>0</v>
      </c>
      <c r="BK708" s="58">
        <f t="shared" ref="BK708:BK771" si="131">BC708-AU708</f>
        <v>8</v>
      </c>
    </row>
    <row r="709" spans="1:63" ht="27" customHeight="1">
      <c r="A709" s="238">
        <f t="shared" ref="A709:A772" si="132">1+A708</f>
        <v>707</v>
      </c>
      <c r="B709" s="239"/>
      <c r="C709" s="266">
        <v>3295</v>
      </c>
      <c r="D709" s="241" t="s">
        <v>4315</v>
      </c>
      <c r="E709" s="267" t="s">
        <v>4316</v>
      </c>
      <c r="F709" s="268" t="s">
        <v>3021</v>
      </c>
      <c r="G709" s="269" t="s">
        <v>4317</v>
      </c>
      <c r="H709" s="245" t="s">
        <v>3920</v>
      </c>
      <c r="I709" s="246" t="s">
        <v>4318</v>
      </c>
      <c r="J709" s="270" t="s">
        <v>209</v>
      </c>
      <c r="K709" s="271">
        <v>34429</v>
      </c>
      <c r="L709" s="249" t="s">
        <v>179</v>
      </c>
      <c r="M709" s="272">
        <v>43746</v>
      </c>
      <c r="N709" s="272"/>
      <c r="O709" s="240" t="s">
        <v>3999</v>
      </c>
      <c r="P709" s="238" t="s">
        <v>3649</v>
      </c>
      <c r="Q709" s="238" t="s">
        <v>249</v>
      </c>
      <c r="R709" s="240" t="s">
        <v>182</v>
      </c>
      <c r="S709" s="240" t="s">
        <v>228</v>
      </c>
      <c r="T709" s="251"/>
      <c r="U709" s="273"/>
      <c r="V709" s="274" t="s">
        <v>184</v>
      </c>
      <c r="W709" s="274" t="s">
        <v>184</v>
      </c>
      <c r="X709" s="275">
        <v>9</v>
      </c>
      <c r="Y709" s="267" t="s">
        <v>4319</v>
      </c>
      <c r="Z709" s="274"/>
      <c r="AA709" s="277"/>
      <c r="AB709" s="274"/>
      <c r="AC709" s="286"/>
      <c r="AD709" s="287"/>
      <c r="AE709" s="286"/>
      <c r="AF709" s="288"/>
      <c r="AG709" s="286"/>
      <c r="AH709" s="276"/>
      <c r="AI709" s="276"/>
      <c r="AJ709" s="274" t="s">
        <v>203</v>
      </c>
      <c r="AK709" s="274" t="s">
        <v>190</v>
      </c>
      <c r="AL709" s="274" t="s">
        <v>190</v>
      </c>
      <c r="AM709" s="260" t="s">
        <v>3859</v>
      </c>
      <c r="AN709" s="22">
        <v>182</v>
      </c>
      <c r="AO709" s="22">
        <v>0</v>
      </c>
      <c r="AP709" s="22">
        <v>0</v>
      </c>
      <c r="AQ709" s="22">
        <v>0</v>
      </c>
      <c r="AR709" s="22">
        <v>0</v>
      </c>
      <c r="AS709" s="22">
        <v>7</v>
      </c>
      <c r="AT709" s="22">
        <v>10</v>
      </c>
      <c r="AU709" s="316">
        <f t="shared" si="122"/>
        <v>199</v>
      </c>
      <c r="AV709" s="22">
        <v>190</v>
      </c>
      <c r="AW709" s="22">
        <v>0</v>
      </c>
      <c r="AX709" s="22">
        <v>0</v>
      </c>
      <c r="AY709" s="22">
        <v>0</v>
      </c>
      <c r="AZ709" s="22">
        <v>0</v>
      </c>
      <c r="BA709" s="22">
        <v>7</v>
      </c>
      <c r="BB709" s="22">
        <v>10</v>
      </c>
      <c r="BC709" s="316">
        <f t="shared" si="123"/>
        <v>207</v>
      </c>
      <c r="BD709" s="58">
        <f t="shared" si="124"/>
        <v>8</v>
      </c>
      <c r="BE709" s="58">
        <f t="shared" si="125"/>
        <v>0</v>
      </c>
      <c r="BF709" s="58">
        <f t="shared" si="126"/>
        <v>0</v>
      </c>
      <c r="BG709" s="58">
        <f t="shared" si="127"/>
        <v>0</v>
      </c>
      <c r="BH709" s="58">
        <f t="shared" si="128"/>
        <v>0</v>
      </c>
      <c r="BI709" s="58">
        <f t="shared" si="129"/>
        <v>0</v>
      </c>
      <c r="BJ709" s="58">
        <f t="shared" si="130"/>
        <v>0</v>
      </c>
      <c r="BK709" s="58">
        <f t="shared" si="131"/>
        <v>8</v>
      </c>
    </row>
    <row r="710" spans="1:63" ht="27" customHeight="1">
      <c r="A710" s="238">
        <f t="shared" si="132"/>
        <v>708</v>
      </c>
      <c r="B710" s="239"/>
      <c r="C710" s="266">
        <v>3633</v>
      </c>
      <c r="D710" s="241" t="s">
        <v>4320</v>
      </c>
      <c r="E710" s="267" t="s">
        <v>4321</v>
      </c>
      <c r="F710" s="268" t="s">
        <v>1396</v>
      </c>
      <c r="G710" s="269" t="s">
        <v>4322</v>
      </c>
      <c r="H710" s="245" t="s">
        <v>1543</v>
      </c>
      <c r="I710" s="246" t="s">
        <v>590</v>
      </c>
      <c r="J710" s="270" t="s">
        <v>178</v>
      </c>
      <c r="K710" s="271">
        <v>34160</v>
      </c>
      <c r="L710" s="249" t="s">
        <v>179</v>
      </c>
      <c r="M710" s="272">
        <v>43753</v>
      </c>
      <c r="N710" s="272"/>
      <c r="O710" s="240" t="s">
        <v>4054</v>
      </c>
      <c r="P710" s="238" t="s">
        <v>102</v>
      </c>
      <c r="Q710" s="238" t="s">
        <v>249</v>
      </c>
      <c r="R710" s="240" t="s">
        <v>182</v>
      </c>
      <c r="S710" s="240" t="s">
        <v>3514</v>
      </c>
      <c r="T710" s="251"/>
      <c r="U710" s="273"/>
      <c r="V710" s="274" t="s">
        <v>184</v>
      </c>
      <c r="W710" s="274" t="s">
        <v>184</v>
      </c>
      <c r="X710" s="275">
        <v>6</v>
      </c>
      <c r="Y710" s="267" t="s">
        <v>4323</v>
      </c>
      <c r="Z710" s="277" t="s">
        <v>186</v>
      </c>
      <c r="AA710" s="274"/>
      <c r="AB710" s="274"/>
      <c r="AC710" s="286"/>
      <c r="AD710" s="287"/>
      <c r="AE710" s="286"/>
      <c r="AF710" s="288"/>
      <c r="AG710" s="286"/>
      <c r="AH710" s="276"/>
      <c r="AI710" s="276"/>
      <c r="AJ710" s="274" t="s">
        <v>190</v>
      </c>
      <c r="AK710" s="274" t="s">
        <v>190</v>
      </c>
      <c r="AL710" s="274" t="s">
        <v>190</v>
      </c>
      <c r="AM710" s="260" t="s">
        <v>3859</v>
      </c>
      <c r="AN710" s="22">
        <v>182</v>
      </c>
      <c r="AO710" s="22">
        <v>0</v>
      </c>
      <c r="AP710" s="22">
        <v>36</v>
      </c>
      <c r="AQ710" s="22">
        <v>0</v>
      </c>
      <c r="AR710" s="22">
        <v>150</v>
      </c>
      <c r="AS710" s="22">
        <v>7</v>
      </c>
      <c r="AT710" s="22">
        <v>10</v>
      </c>
      <c r="AU710" s="316">
        <f t="shared" si="122"/>
        <v>385</v>
      </c>
      <c r="AV710" s="22">
        <v>190</v>
      </c>
      <c r="AW710" s="22">
        <v>0</v>
      </c>
      <c r="AX710" s="22">
        <v>36</v>
      </c>
      <c r="AY710" s="22">
        <v>0</v>
      </c>
      <c r="AZ710" s="22">
        <v>150</v>
      </c>
      <c r="BA710" s="22">
        <v>7</v>
      </c>
      <c r="BB710" s="22">
        <v>10</v>
      </c>
      <c r="BC710" s="316">
        <f t="shared" si="123"/>
        <v>393</v>
      </c>
      <c r="BD710" s="58">
        <f t="shared" si="124"/>
        <v>8</v>
      </c>
      <c r="BE710" s="58">
        <f t="shared" si="125"/>
        <v>0</v>
      </c>
      <c r="BF710" s="58">
        <f t="shared" si="126"/>
        <v>0</v>
      </c>
      <c r="BG710" s="58">
        <f t="shared" si="127"/>
        <v>0</v>
      </c>
      <c r="BH710" s="58">
        <f t="shared" si="128"/>
        <v>0</v>
      </c>
      <c r="BI710" s="58">
        <f t="shared" si="129"/>
        <v>0</v>
      </c>
      <c r="BJ710" s="58">
        <f t="shared" si="130"/>
        <v>0</v>
      </c>
      <c r="BK710" s="58">
        <f t="shared" si="131"/>
        <v>8</v>
      </c>
    </row>
    <row r="711" spans="1:63" ht="27" customHeight="1">
      <c r="A711" s="238">
        <f t="shared" si="132"/>
        <v>709</v>
      </c>
      <c r="B711" s="239"/>
      <c r="C711" s="266">
        <v>3228</v>
      </c>
      <c r="D711" s="284" t="s">
        <v>4324</v>
      </c>
      <c r="E711" s="267" t="s">
        <v>4325</v>
      </c>
      <c r="F711" s="268" t="s">
        <v>4326</v>
      </c>
      <c r="G711" s="269" t="s">
        <v>1254</v>
      </c>
      <c r="H711" s="245" t="s">
        <v>4327</v>
      </c>
      <c r="I711" s="246" t="s">
        <v>1256</v>
      </c>
      <c r="J711" s="270" t="s">
        <v>178</v>
      </c>
      <c r="K711" s="271">
        <v>30744</v>
      </c>
      <c r="L711" s="249" t="s">
        <v>179</v>
      </c>
      <c r="M711" s="272">
        <v>43742</v>
      </c>
      <c r="N711" s="272"/>
      <c r="O711" s="240" t="s">
        <v>3978</v>
      </c>
      <c r="P711" s="238" t="s">
        <v>3785</v>
      </c>
      <c r="Q711" s="238" t="s">
        <v>249</v>
      </c>
      <c r="R711" s="240" t="s">
        <v>182</v>
      </c>
      <c r="S711" s="240" t="s">
        <v>331</v>
      </c>
      <c r="T711" s="251"/>
      <c r="U711" s="273"/>
      <c r="V711" s="274" t="s">
        <v>184</v>
      </c>
      <c r="W711" s="274" t="s">
        <v>184</v>
      </c>
      <c r="X711" s="275">
        <v>0</v>
      </c>
      <c r="Y711" s="267" t="s">
        <v>4328</v>
      </c>
      <c r="Z711" s="274"/>
      <c r="AA711" s="277"/>
      <c r="AB711" s="277" t="s">
        <v>186</v>
      </c>
      <c r="AC711" s="286"/>
      <c r="AD711" s="287"/>
      <c r="AE711" s="286"/>
      <c r="AF711" s="288"/>
      <c r="AG711" s="286"/>
      <c r="AH711" s="276"/>
      <c r="AI711" s="276"/>
      <c r="AJ711" s="274" t="s">
        <v>203</v>
      </c>
      <c r="AK711" s="274" t="s">
        <v>190</v>
      </c>
      <c r="AL711" s="274" t="s">
        <v>190</v>
      </c>
      <c r="AM711" s="260" t="s">
        <v>3859</v>
      </c>
      <c r="AN711" s="22">
        <v>182</v>
      </c>
      <c r="AO711" s="22">
        <v>0</v>
      </c>
      <c r="AP711" s="22">
        <v>20</v>
      </c>
      <c r="AQ711" s="22">
        <v>20</v>
      </c>
      <c r="AR711" s="22">
        <v>0</v>
      </c>
      <c r="AS711" s="22">
        <v>7</v>
      </c>
      <c r="AT711" s="22">
        <v>10</v>
      </c>
      <c r="AU711" s="316">
        <f t="shared" si="122"/>
        <v>239</v>
      </c>
      <c r="AV711" s="22">
        <v>190</v>
      </c>
      <c r="AW711" s="22">
        <v>0</v>
      </c>
      <c r="AX711" s="22">
        <v>20</v>
      </c>
      <c r="AY711" s="22">
        <v>20</v>
      </c>
      <c r="AZ711" s="22">
        <v>0</v>
      </c>
      <c r="BA711" s="22">
        <v>7</v>
      </c>
      <c r="BB711" s="22">
        <v>10</v>
      </c>
      <c r="BC711" s="316">
        <f t="shared" si="123"/>
        <v>247</v>
      </c>
      <c r="BD711" s="58">
        <f t="shared" si="124"/>
        <v>8</v>
      </c>
      <c r="BE711" s="58">
        <f t="shared" si="125"/>
        <v>0</v>
      </c>
      <c r="BF711" s="58">
        <f t="shared" si="126"/>
        <v>0</v>
      </c>
      <c r="BG711" s="58">
        <f t="shared" si="127"/>
        <v>0</v>
      </c>
      <c r="BH711" s="58">
        <f t="shared" si="128"/>
        <v>0</v>
      </c>
      <c r="BI711" s="58">
        <f t="shared" si="129"/>
        <v>0</v>
      </c>
      <c r="BJ711" s="58">
        <f t="shared" si="130"/>
        <v>0</v>
      </c>
      <c r="BK711" s="58">
        <f t="shared" si="131"/>
        <v>8</v>
      </c>
    </row>
    <row r="712" spans="1:63" ht="27" customHeight="1">
      <c r="A712" s="238">
        <f t="shared" si="132"/>
        <v>710</v>
      </c>
      <c r="B712" s="239"/>
      <c r="C712" s="266">
        <v>3227</v>
      </c>
      <c r="D712" s="241" t="s">
        <v>4329</v>
      </c>
      <c r="E712" s="267" t="s">
        <v>4330</v>
      </c>
      <c r="F712" s="268" t="s">
        <v>4331</v>
      </c>
      <c r="G712" s="269" t="s">
        <v>4332</v>
      </c>
      <c r="H712" s="245" t="s">
        <v>743</v>
      </c>
      <c r="I712" s="246" t="s">
        <v>4333</v>
      </c>
      <c r="J712" s="270" t="s">
        <v>209</v>
      </c>
      <c r="K712" s="271">
        <v>34552</v>
      </c>
      <c r="L712" s="249" t="s">
        <v>179</v>
      </c>
      <c r="M712" s="272">
        <v>43742</v>
      </c>
      <c r="N712" s="272"/>
      <c r="O712" s="240" t="s">
        <v>4090</v>
      </c>
      <c r="P712" s="238" t="s">
        <v>3775</v>
      </c>
      <c r="Q712" s="238" t="s">
        <v>249</v>
      </c>
      <c r="R712" s="240" t="s">
        <v>182</v>
      </c>
      <c r="S712" s="240" t="s">
        <v>4334</v>
      </c>
      <c r="T712" s="251"/>
      <c r="U712" s="273"/>
      <c r="V712" s="274" t="s">
        <v>184</v>
      </c>
      <c r="W712" s="274" t="s">
        <v>184</v>
      </c>
      <c r="X712" s="275">
        <v>9</v>
      </c>
      <c r="Y712" s="267" t="s">
        <v>4335</v>
      </c>
      <c r="Z712" s="277" t="s">
        <v>186</v>
      </c>
      <c r="AA712" s="277"/>
      <c r="AB712" s="274"/>
      <c r="AC712" s="286"/>
      <c r="AD712" s="287"/>
      <c r="AE712" s="287"/>
      <c r="AF712" s="288"/>
      <c r="AG712" s="286"/>
      <c r="AH712" s="276"/>
      <c r="AI712" s="276"/>
      <c r="AJ712" s="274" t="s">
        <v>203</v>
      </c>
      <c r="AK712" s="274" t="s">
        <v>190</v>
      </c>
      <c r="AL712" s="274" t="s">
        <v>190</v>
      </c>
      <c r="AM712" s="260" t="s">
        <v>4336</v>
      </c>
      <c r="AN712" s="22">
        <v>182</v>
      </c>
      <c r="AO712" s="22">
        <v>0</v>
      </c>
      <c r="AP712" s="22">
        <v>20</v>
      </c>
      <c r="AQ712" s="22">
        <v>20</v>
      </c>
      <c r="AR712" s="22">
        <v>0</v>
      </c>
      <c r="AS712" s="22">
        <v>7</v>
      </c>
      <c r="AT712" s="22">
        <v>10</v>
      </c>
      <c r="AU712" s="316">
        <f t="shared" si="122"/>
        <v>239</v>
      </c>
      <c r="AV712" s="22">
        <v>190</v>
      </c>
      <c r="AW712" s="22">
        <v>0</v>
      </c>
      <c r="AX712" s="22">
        <v>20</v>
      </c>
      <c r="AY712" s="22">
        <v>20</v>
      </c>
      <c r="AZ712" s="22">
        <v>0</v>
      </c>
      <c r="BA712" s="22">
        <v>7</v>
      </c>
      <c r="BB712" s="22">
        <v>10</v>
      </c>
      <c r="BC712" s="316">
        <f t="shared" si="123"/>
        <v>247</v>
      </c>
      <c r="BD712" s="58">
        <f t="shared" si="124"/>
        <v>8</v>
      </c>
      <c r="BE712" s="58">
        <f t="shared" si="125"/>
        <v>0</v>
      </c>
      <c r="BF712" s="58">
        <f t="shared" si="126"/>
        <v>0</v>
      </c>
      <c r="BG712" s="58">
        <f t="shared" si="127"/>
        <v>0</v>
      </c>
      <c r="BH712" s="58">
        <f t="shared" si="128"/>
        <v>0</v>
      </c>
      <c r="BI712" s="58">
        <f t="shared" si="129"/>
        <v>0</v>
      </c>
      <c r="BJ712" s="58">
        <f t="shared" si="130"/>
        <v>0</v>
      </c>
      <c r="BK712" s="58">
        <f t="shared" si="131"/>
        <v>8</v>
      </c>
    </row>
    <row r="713" spans="1:63" ht="27" customHeight="1">
      <c r="A713" s="238">
        <f t="shared" si="132"/>
        <v>711</v>
      </c>
      <c r="B713" s="239"/>
      <c r="C713" s="266">
        <v>3156</v>
      </c>
      <c r="D713" s="241" t="s">
        <v>4337</v>
      </c>
      <c r="E713" s="267" t="s">
        <v>4338</v>
      </c>
      <c r="F713" s="268" t="s">
        <v>4339</v>
      </c>
      <c r="G713" s="269" t="s">
        <v>4340</v>
      </c>
      <c r="H713" s="245" t="s">
        <v>4341</v>
      </c>
      <c r="I713" s="246" t="s">
        <v>4342</v>
      </c>
      <c r="J713" s="270" t="s">
        <v>209</v>
      </c>
      <c r="K713" s="271">
        <v>31998</v>
      </c>
      <c r="L713" s="249" t="s">
        <v>179</v>
      </c>
      <c r="M713" s="272">
        <v>43740</v>
      </c>
      <c r="N713" s="272"/>
      <c r="O713" s="240" t="s">
        <v>4004</v>
      </c>
      <c r="P713" s="238" t="s">
        <v>3833</v>
      </c>
      <c r="Q713" s="238" t="s">
        <v>249</v>
      </c>
      <c r="R713" s="240" t="s">
        <v>182</v>
      </c>
      <c r="S713" s="240" t="s">
        <v>256</v>
      </c>
      <c r="T713" s="251"/>
      <c r="U713" s="273"/>
      <c r="V713" s="274" t="s">
        <v>184</v>
      </c>
      <c r="W713" s="274" t="s">
        <v>184</v>
      </c>
      <c r="X713" s="275">
        <v>7</v>
      </c>
      <c r="Y713" s="267" t="s">
        <v>4343</v>
      </c>
      <c r="Z713" s="277" t="s">
        <v>186</v>
      </c>
      <c r="AA713" s="274"/>
      <c r="AB713" s="274"/>
      <c r="AC713" s="286"/>
      <c r="AD713" s="287"/>
      <c r="AE713" s="286"/>
      <c r="AF713" s="288"/>
      <c r="AG713" s="286"/>
      <c r="AH713" s="276"/>
      <c r="AI713" s="276"/>
      <c r="AJ713" s="274" t="s">
        <v>203</v>
      </c>
      <c r="AK713" s="274" t="s">
        <v>190</v>
      </c>
      <c r="AL713" s="274" t="s">
        <v>190</v>
      </c>
      <c r="AM713" s="260" t="s">
        <v>3859</v>
      </c>
      <c r="AN713" s="22">
        <v>182</v>
      </c>
      <c r="AO713" s="22">
        <v>0</v>
      </c>
      <c r="AP713" s="22">
        <v>20</v>
      </c>
      <c r="AQ713" s="22">
        <v>0</v>
      </c>
      <c r="AR713" s="22">
        <v>0</v>
      </c>
      <c r="AS713" s="22">
        <v>7</v>
      </c>
      <c r="AT713" s="22">
        <v>10</v>
      </c>
      <c r="AU713" s="316">
        <f t="shared" si="122"/>
        <v>219</v>
      </c>
      <c r="AV713" s="22">
        <v>190</v>
      </c>
      <c r="AW713" s="22">
        <v>0</v>
      </c>
      <c r="AX713" s="22">
        <v>20</v>
      </c>
      <c r="AY713" s="22">
        <v>0</v>
      </c>
      <c r="AZ713" s="22">
        <v>0</v>
      </c>
      <c r="BA713" s="22">
        <v>7</v>
      </c>
      <c r="BB713" s="22">
        <v>10</v>
      </c>
      <c r="BC713" s="316">
        <f t="shared" si="123"/>
        <v>227</v>
      </c>
      <c r="BD713" s="58">
        <f t="shared" si="124"/>
        <v>8</v>
      </c>
      <c r="BE713" s="58">
        <f t="shared" si="125"/>
        <v>0</v>
      </c>
      <c r="BF713" s="58">
        <f t="shared" si="126"/>
        <v>0</v>
      </c>
      <c r="BG713" s="58">
        <f t="shared" si="127"/>
        <v>0</v>
      </c>
      <c r="BH713" s="58">
        <f t="shared" si="128"/>
        <v>0</v>
      </c>
      <c r="BI713" s="58">
        <f t="shared" si="129"/>
        <v>0</v>
      </c>
      <c r="BJ713" s="58">
        <f t="shared" si="130"/>
        <v>0</v>
      </c>
      <c r="BK713" s="58">
        <f t="shared" si="131"/>
        <v>8</v>
      </c>
    </row>
    <row r="714" spans="1:63" ht="27" customHeight="1">
      <c r="A714" s="238">
        <f t="shared" si="132"/>
        <v>712</v>
      </c>
      <c r="B714" s="239"/>
      <c r="C714" s="266">
        <v>3233</v>
      </c>
      <c r="D714" s="241" t="s">
        <v>4344</v>
      </c>
      <c r="E714" s="267" t="s">
        <v>4345</v>
      </c>
      <c r="F714" s="268" t="s">
        <v>500</v>
      </c>
      <c r="G714" s="269" t="s">
        <v>874</v>
      </c>
      <c r="H714" s="245" t="s">
        <v>677</v>
      </c>
      <c r="I714" s="246" t="s">
        <v>725</v>
      </c>
      <c r="J714" s="270" t="s">
        <v>178</v>
      </c>
      <c r="K714" s="271">
        <v>30075</v>
      </c>
      <c r="L714" s="249" t="s">
        <v>179</v>
      </c>
      <c r="M714" s="272">
        <v>43745</v>
      </c>
      <c r="N714" s="272"/>
      <c r="O714" s="240" t="s">
        <v>3978</v>
      </c>
      <c r="P714" s="238" t="s">
        <v>3754</v>
      </c>
      <c r="Q714" s="238" t="s">
        <v>249</v>
      </c>
      <c r="R714" s="240" t="s">
        <v>182</v>
      </c>
      <c r="S714" s="240" t="s">
        <v>228</v>
      </c>
      <c r="T714" s="251"/>
      <c r="U714" s="273"/>
      <c r="V714" s="274" t="s">
        <v>184</v>
      </c>
      <c r="W714" s="274" t="s">
        <v>184</v>
      </c>
      <c r="X714" s="275">
        <v>7</v>
      </c>
      <c r="Y714" s="267" t="s">
        <v>4346</v>
      </c>
      <c r="Z714" s="274"/>
      <c r="AA714" s="277" t="s">
        <v>186</v>
      </c>
      <c r="AB714" s="274"/>
      <c r="AC714" s="286"/>
      <c r="AD714" s="287"/>
      <c r="AE714" s="286"/>
      <c r="AF714" s="288"/>
      <c r="AG714" s="286"/>
      <c r="AH714" s="276"/>
      <c r="AI714" s="276"/>
      <c r="AJ714" s="274" t="s">
        <v>190</v>
      </c>
      <c r="AK714" s="274" t="s">
        <v>190</v>
      </c>
      <c r="AL714" s="274" t="s">
        <v>190</v>
      </c>
      <c r="AM714" s="260" t="s">
        <v>241</v>
      </c>
      <c r="AN714" s="22">
        <v>182</v>
      </c>
      <c r="AO714" s="22">
        <v>0</v>
      </c>
      <c r="AP714" s="22">
        <v>20</v>
      </c>
      <c r="AQ714" s="22">
        <v>60</v>
      </c>
      <c r="AR714" s="22">
        <v>150</v>
      </c>
      <c r="AS714" s="22">
        <v>7</v>
      </c>
      <c r="AT714" s="22">
        <v>10</v>
      </c>
      <c r="AU714" s="316">
        <f t="shared" si="122"/>
        <v>429</v>
      </c>
      <c r="AV714" s="22">
        <v>190</v>
      </c>
      <c r="AW714" s="22">
        <v>0</v>
      </c>
      <c r="AX714" s="22">
        <v>20</v>
      </c>
      <c r="AY714" s="22">
        <v>60</v>
      </c>
      <c r="AZ714" s="22">
        <v>150</v>
      </c>
      <c r="BA714" s="22">
        <v>7</v>
      </c>
      <c r="BB714" s="22">
        <v>10</v>
      </c>
      <c r="BC714" s="316">
        <f t="shared" si="123"/>
        <v>437</v>
      </c>
      <c r="BD714" s="58">
        <f t="shared" si="124"/>
        <v>8</v>
      </c>
      <c r="BE714" s="58">
        <f t="shared" si="125"/>
        <v>0</v>
      </c>
      <c r="BF714" s="58">
        <f t="shared" si="126"/>
        <v>0</v>
      </c>
      <c r="BG714" s="58">
        <f t="shared" si="127"/>
        <v>0</v>
      </c>
      <c r="BH714" s="58">
        <f t="shared" si="128"/>
        <v>0</v>
      </c>
      <c r="BI714" s="58">
        <f t="shared" si="129"/>
        <v>0</v>
      </c>
      <c r="BJ714" s="58">
        <f t="shared" si="130"/>
        <v>0</v>
      </c>
      <c r="BK714" s="58">
        <f t="shared" si="131"/>
        <v>8</v>
      </c>
    </row>
    <row r="715" spans="1:63" ht="27" customHeight="1">
      <c r="A715" s="238">
        <f t="shared" si="132"/>
        <v>713</v>
      </c>
      <c r="B715" s="239"/>
      <c r="C715" s="266">
        <v>3243</v>
      </c>
      <c r="D715" s="284">
        <v>0</v>
      </c>
      <c r="E715" s="267" t="s">
        <v>4347</v>
      </c>
      <c r="F715" s="268" t="s">
        <v>1066</v>
      </c>
      <c r="G715" s="269" t="s">
        <v>2793</v>
      </c>
      <c r="H715" s="245" t="s">
        <v>1068</v>
      </c>
      <c r="I715" s="246" t="s">
        <v>4348</v>
      </c>
      <c r="J715" s="270" t="s">
        <v>209</v>
      </c>
      <c r="K715" s="271">
        <v>35367</v>
      </c>
      <c r="L715" s="249" t="s">
        <v>179</v>
      </c>
      <c r="M715" s="272">
        <v>43742</v>
      </c>
      <c r="N715" s="272"/>
      <c r="O715" s="240" t="s">
        <v>4024</v>
      </c>
      <c r="P715" s="238" t="s">
        <v>3770</v>
      </c>
      <c r="Q715" s="238" t="s">
        <v>249</v>
      </c>
      <c r="R715" s="240" t="s">
        <v>182</v>
      </c>
      <c r="S715" s="240" t="s">
        <v>310</v>
      </c>
      <c r="T715" s="251"/>
      <c r="U715" s="273"/>
      <c r="V715" s="274" t="s">
        <v>184</v>
      </c>
      <c r="W715" s="274" t="s">
        <v>184</v>
      </c>
      <c r="X715" s="275">
        <v>8</v>
      </c>
      <c r="Y715" s="267" t="s">
        <v>4349</v>
      </c>
      <c r="Z715" s="274"/>
      <c r="AA715" s="277" t="s">
        <v>186</v>
      </c>
      <c r="AB715" s="274"/>
      <c r="AC715" s="286"/>
      <c r="AD715" s="287"/>
      <c r="AE715" s="286"/>
      <c r="AF715" s="288"/>
      <c r="AG715" s="286"/>
      <c r="AH715" s="276"/>
      <c r="AI715" s="276"/>
      <c r="AJ715" s="274" t="s">
        <v>190</v>
      </c>
      <c r="AK715" s="274" t="s">
        <v>190</v>
      </c>
      <c r="AL715" s="274" t="s">
        <v>190</v>
      </c>
      <c r="AM715" s="260" t="s">
        <v>3967</v>
      </c>
      <c r="AN715" s="22">
        <v>182</v>
      </c>
      <c r="AO715" s="22">
        <v>0</v>
      </c>
      <c r="AP715" s="22">
        <v>0</v>
      </c>
      <c r="AQ715" s="22">
        <v>0</v>
      </c>
      <c r="AR715" s="22">
        <v>0</v>
      </c>
      <c r="AS715" s="22">
        <v>7</v>
      </c>
      <c r="AT715" s="22">
        <v>10</v>
      </c>
      <c r="AU715" s="316">
        <f t="shared" si="122"/>
        <v>199</v>
      </c>
      <c r="AV715" s="22">
        <v>190</v>
      </c>
      <c r="AW715" s="22">
        <v>0</v>
      </c>
      <c r="AX715" s="22">
        <v>0</v>
      </c>
      <c r="AY715" s="22">
        <v>0</v>
      </c>
      <c r="AZ715" s="22">
        <v>0</v>
      </c>
      <c r="BA715" s="22">
        <v>7</v>
      </c>
      <c r="BB715" s="22">
        <v>10</v>
      </c>
      <c r="BC715" s="316">
        <f t="shared" si="123"/>
        <v>207</v>
      </c>
      <c r="BD715" s="58">
        <f t="shared" si="124"/>
        <v>8</v>
      </c>
      <c r="BE715" s="58">
        <f t="shared" si="125"/>
        <v>0</v>
      </c>
      <c r="BF715" s="58">
        <f t="shared" si="126"/>
        <v>0</v>
      </c>
      <c r="BG715" s="58">
        <f t="shared" si="127"/>
        <v>0</v>
      </c>
      <c r="BH715" s="58">
        <f t="shared" si="128"/>
        <v>0</v>
      </c>
      <c r="BI715" s="58">
        <f t="shared" si="129"/>
        <v>0</v>
      </c>
      <c r="BJ715" s="58">
        <f t="shared" si="130"/>
        <v>0</v>
      </c>
      <c r="BK715" s="58">
        <f t="shared" si="131"/>
        <v>8</v>
      </c>
    </row>
    <row r="716" spans="1:63" ht="27" customHeight="1">
      <c r="A716" s="238">
        <f t="shared" si="132"/>
        <v>714</v>
      </c>
      <c r="B716" s="239"/>
      <c r="C716" s="266">
        <v>3205</v>
      </c>
      <c r="D716" s="241" t="s">
        <v>4350</v>
      </c>
      <c r="E716" s="267" t="s">
        <v>4351</v>
      </c>
      <c r="F716" s="268" t="s">
        <v>1870</v>
      </c>
      <c r="G716" s="269" t="s">
        <v>1890</v>
      </c>
      <c r="H716" s="245" t="s">
        <v>1872</v>
      </c>
      <c r="I716" s="246" t="s">
        <v>1892</v>
      </c>
      <c r="J716" s="270" t="s">
        <v>209</v>
      </c>
      <c r="K716" s="271">
        <v>33340</v>
      </c>
      <c r="L716" s="249" t="s">
        <v>179</v>
      </c>
      <c r="M716" s="272">
        <v>43740</v>
      </c>
      <c r="N716" s="272"/>
      <c r="O716" s="240" t="s">
        <v>4037</v>
      </c>
      <c r="P716" s="238" t="s">
        <v>3770</v>
      </c>
      <c r="Q716" s="238" t="s">
        <v>249</v>
      </c>
      <c r="R716" s="240" t="s">
        <v>182</v>
      </c>
      <c r="S716" s="240" t="s">
        <v>228</v>
      </c>
      <c r="T716" s="251"/>
      <c r="U716" s="273"/>
      <c r="V716" s="274" t="s">
        <v>184</v>
      </c>
      <c r="W716" s="274" t="s">
        <v>184</v>
      </c>
      <c r="X716" s="275">
        <v>8</v>
      </c>
      <c r="Y716" s="267" t="s">
        <v>4352</v>
      </c>
      <c r="Z716" s="277"/>
      <c r="AA716" s="277" t="s">
        <v>186</v>
      </c>
      <c r="AB716" s="274"/>
      <c r="AC716" s="286"/>
      <c r="AD716" s="287"/>
      <c r="AE716" s="286"/>
      <c r="AF716" s="288"/>
      <c r="AG716" s="286"/>
      <c r="AH716" s="276"/>
      <c r="AI716" s="276"/>
      <c r="AJ716" s="274" t="s">
        <v>190</v>
      </c>
      <c r="AK716" s="274" t="s">
        <v>190</v>
      </c>
      <c r="AL716" s="274" t="s">
        <v>190</v>
      </c>
      <c r="AM716" s="260" t="s">
        <v>3859</v>
      </c>
      <c r="AN716" s="22">
        <v>182</v>
      </c>
      <c r="AO716" s="22">
        <v>0</v>
      </c>
      <c r="AP716" s="22">
        <v>20</v>
      </c>
      <c r="AQ716" s="22">
        <v>0</v>
      </c>
      <c r="AR716" s="22">
        <v>0</v>
      </c>
      <c r="AS716" s="22">
        <v>7</v>
      </c>
      <c r="AT716" s="22">
        <v>10</v>
      </c>
      <c r="AU716" s="316">
        <f t="shared" si="122"/>
        <v>219</v>
      </c>
      <c r="AV716" s="22">
        <v>190</v>
      </c>
      <c r="AW716" s="22">
        <v>0</v>
      </c>
      <c r="AX716" s="22">
        <v>20</v>
      </c>
      <c r="AY716" s="22">
        <v>0</v>
      </c>
      <c r="AZ716" s="22">
        <v>0</v>
      </c>
      <c r="BA716" s="22">
        <v>7</v>
      </c>
      <c r="BB716" s="22">
        <v>10</v>
      </c>
      <c r="BC716" s="316">
        <f t="shared" si="123"/>
        <v>227</v>
      </c>
      <c r="BD716" s="58">
        <f t="shared" si="124"/>
        <v>8</v>
      </c>
      <c r="BE716" s="58">
        <f t="shared" si="125"/>
        <v>0</v>
      </c>
      <c r="BF716" s="58">
        <f t="shared" si="126"/>
        <v>0</v>
      </c>
      <c r="BG716" s="58">
        <f t="shared" si="127"/>
        <v>0</v>
      </c>
      <c r="BH716" s="58">
        <f t="shared" si="128"/>
        <v>0</v>
      </c>
      <c r="BI716" s="58">
        <f t="shared" si="129"/>
        <v>0</v>
      </c>
      <c r="BJ716" s="58">
        <f t="shared" si="130"/>
        <v>0</v>
      </c>
      <c r="BK716" s="58">
        <f t="shared" si="131"/>
        <v>8</v>
      </c>
    </row>
    <row r="717" spans="1:63" ht="27" customHeight="1">
      <c r="A717" s="238">
        <f t="shared" si="132"/>
        <v>715</v>
      </c>
      <c r="B717" s="239"/>
      <c r="C717" s="266">
        <v>3245</v>
      </c>
      <c r="D717" s="241" t="s">
        <v>4353</v>
      </c>
      <c r="E717" s="267" t="s">
        <v>4354</v>
      </c>
      <c r="F717" s="268" t="s">
        <v>1917</v>
      </c>
      <c r="G717" s="269" t="s">
        <v>4355</v>
      </c>
      <c r="H717" s="245" t="s">
        <v>4356</v>
      </c>
      <c r="I717" s="246" t="s">
        <v>4357</v>
      </c>
      <c r="J717" s="270" t="s">
        <v>209</v>
      </c>
      <c r="K717" s="271">
        <v>35861</v>
      </c>
      <c r="L717" s="249" t="s">
        <v>179</v>
      </c>
      <c r="M717" s="272">
        <v>43741</v>
      </c>
      <c r="N717" s="272"/>
      <c r="O717" s="240" t="s">
        <v>3965</v>
      </c>
      <c r="P717" s="238" t="s">
        <v>3785</v>
      </c>
      <c r="Q717" s="238" t="s">
        <v>249</v>
      </c>
      <c r="R717" s="240" t="s">
        <v>182</v>
      </c>
      <c r="S717" s="240" t="s">
        <v>256</v>
      </c>
      <c r="T717" s="251"/>
      <c r="U717" s="273"/>
      <c r="V717" s="274" t="s">
        <v>184</v>
      </c>
      <c r="W717" s="274" t="s">
        <v>184</v>
      </c>
      <c r="X717" s="275">
        <v>8</v>
      </c>
      <c r="Y717" s="267" t="s">
        <v>4358</v>
      </c>
      <c r="Z717" s="277" t="s">
        <v>186</v>
      </c>
      <c r="AA717" s="277"/>
      <c r="AB717" s="274"/>
      <c r="AC717" s="286"/>
      <c r="AD717" s="287"/>
      <c r="AE717" s="287"/>
      <c r="AF717" s="288"/>
      <c r="AG717" s="286"/>
      <c r="AH717" s="276"/>
      <c r="AI717" s="276"/>
      <c r="AJ717" s="274" t="s">
        <v>203</v>
      </c>
      <c r="AK717" s="274" t="s">
        <v>190</v>
      </c>
      <c r="AL717" s="274" t="s">
        <v>190</v>
      </c>
      <c r="AM717" s="260" t="s">
        <v>241</v>
      </c>
      <c r="AN717" s="22">
        <v>182</v>
      </c>
      <c r="AO717" s="22">
        <v>0</v>
      </c>
      <c r="AP717" s="22">
        <v>20</v>
      </c>
      <c r="AQ717" s="22">
        <v>0</v>
      </c>
      <c r="AR717" s="22">
        <v>0</v>
      </c>
      <c r="AS717" s="22">
        <v>7</v>
      </c>
      <c r="AT717" s="22">
        <v>10</v>
      </c>
      <c r="AU717" s="316">
        <f t="shared" si="122"/>
        <v>219</v>
      </c>
      <c r="AV717" s="22">
        <v>190</v>
      </c>
      <c r="AW717" s="22">
        <v>0</v>
      </c>
      <c r="AX717" s="22">
        <v>20</v>
      </c>
      <c r="AY717" s="22">
        <v>0</v>
      </c>
      <c r="AZ717" s="22">
        <v>0</v>
      </c>
      <c r="BA717" s="22">
        <v>7</v>
      </c>
      <c r="BB717" s="22">
        <v>10</v>
      </c>
      <c r="BC717" s="316">
        <f t="shared" si="123"/>
        <v>227</v>
      </c>
      <c r="BD717" s="58">
        <f t="shared" si="124"/>
        <v>8</v>
      </c>
      <c r="BE717" s="58">
        <f t="shared" si="125"/>
        <v>0</v>
      </c>
      <c r="BF717" s="58">
        <f t="shared" si="126"/>
        <v>0</v>
      </c>
      <c r="BG717" s="58">
        <f t="shared" si="127"/>
        <v>0</v>
      </c>
      <c r="BH717" s="58">
        <f t="shared" si="128"/>
        <v>0</v>
      </c>
      <c r="BI717" s="58">
        <f t="shared" si="129"/>
        <v>0</v>
      </c>
      <c r="BJ717" s="58">
        <f t="shared" si="130"/>
        <v>0</v>
      </c>
      <c r="BK717" s="58">
        <f t="shared" si="131"/>
        <v>8</v>
      </c>
    </row>
    <row r="718" spans="1:63" ht="27" customHeight="1">
      <c r="A718" s="238">
        <f t="shared" si="132"/>
        <v>716</v>
      </c>
      <c r="B718" s="239"/>
      <c r="C718" s="266">
        <v>3598</v>
      </c>
      <c r="D718" s="241" t="s">
        <v>4359</v>
      </c>
      <c r="E718" s="267" t="s">
        <v>4360</v>
      </c>
      <c r="F718" s="268" t="s">
        <v>2550</v>
      </c>
      <c r="G718" s="269" t="s">
        <v>2339</v>
      </c>
      <c r="H718" s="245" t="s">
        <v>1647</v>
      </c>
      <c r="I718" s="246" t="s">
        <v>4361</v>
      </c>
      <c r="J718" s="270" t="s">
        <v>178</v>
      </c>
      <c r="K718" s="271">
        <v>33058</v>
      </c>
      <c r="L718" s="249" t="s">
        <v>179</v>
      </c>
      <c r="M718" s="272">
        <v>43748</v>
      </c>
      <c r="N718" s="272"/>
      <c r="O718" s="240"/>
      <c r="P718" s="238" t="s">
        <v>3754</v>
      </c>
      <c r="Q718" s="238" t="s">
        <v>249</v>
      </c>
      <c r="R718" s="240" t="s">
        <v>182</v>
      </c>
      <c r="S718" s="240" t="s">
        <v>228</v>
      </c>
      <c r="T718" s="251"/>
      <c r="U718" s="273"/>
      <c r="V718" s="274" t="s">
        <v>184</v>
      </c>
      <c r="W718" s="274" t="s">
        <v>184</v>
      </c>
      <c r="X718" s="275">
        <v>6</v>
      </c>
      <c r="Y718" s="267" t="s">
        <v>4362</v>
      </c>
      <c r="Z718" s="274"/>
      <c r="AA718" s="277"/>
      <c r="AB718" s="274"/>
      <c r="AC718" s="286"/>
      <c r="AD718" s="287"/>
      <c r="AE718" s="286"/>
      <c r="AF718" s="288"/>
      <c r="AG718" s="286"/>
      <c r="AH718" s="276"/>
      <c r="AI718" s="276"/>
      <c r="AJ718" s="274" t="s">
        <v>190</v>
      </c>
      <c r="AK718" s="274" t="s">
        <v>190</v>
      </c>
      <c r="AL718" s="274" t="s">
        <v>190</v>
      </c>
      <c r="AM718" s="260" t="s">
        <v>3967</v>
      </c>
      <c r="AN718" s="22">
        <v>182</v>
      </c>
      <c r="AO718" s="22">
        <v>0</v>
      </c>
      <c r="AP718" s="22">
        <v>20</v>
      </c>
      <c r="AQ718" s="22">
        <v>0</v>
      </c>
      <c r="AR718" s="22">
        <v>0</v>
      </c>
      <c r="AS718" s="22">
        <v>7</v>
      </c>
      <c r="AT718" s="22">
        <v>10</v>
      </c>
      <c r="AU718" s="316">
        <f t="shared" si="122"/>
        <v>219</v>
      </c>
      <c r="AV718" s="22">
        <v>190</v>
      </c>
      <c r="AW718" s="22">
        <v>0</v>
      </c>
      <c r="AX718" s="22">
        <v>20</v>
      </c>
      <c r="AY718" s="22">
        <v>0</v>
      </c>
      <c r="AZ718" s="22">
        <v>0</v>
      </c>
      <c r="BA718" s="22">
        <v>7</v>
      </c>
      <c r="BB718" s="22">
        <v>10</v>
      </c>
      <c r="BC718" s="316">
        <f t="shared" si="123"/>
        <v>227</v>
      </c>
      <c r="BD718" s="58">
        <f t="shared" si="124"/>
        <v>8</v>
      </c>
      <c r="BE718" s="58">
        <f t="shared" si="125"/>
        <v>0</v>
      </c>
      <c r="BF718" s="58">
        <f t="shared" si="126"/>
        <v>0</v>
      </c>
      <c r="BG718" s="58">
        <f t="shared" si="127"/>
        <v>0</v>
      </c>
      <c r="BH718" s="58">
        <f t="shared" si="128"/>
        <v>0</v>
      </c>
      <c r="BI718" s="58">
        <f t="shared" si="129"/>
        <v>0</v>
      </c>
      <c r="BJ718" s="58">
        <f t="shared" si="130"/>
        <v>0</v>
      </c>
      <c r="BK718" s="58">
        <f t="shared" si="131"/>
        <v>8</v>
      </c>
    </row>
    <row r="719" spans="1:63" ht="27" customHeight="1">
      <c r="A719" s="238">
        <f t="shared" si="132"/>
        <v>717</v>
      </c>
      <c r="B719" s="239"/>
      <c r="C719" s="266">
        <v>3258</v>
      </c>
      <c r="D719" s="241" t="s">
        <v>4363</v>
      </c>
      <c r="E719" s="267" t="s">
        <v>4364</v>
      </c>
      <c r="F719" s="268" t="s">
        <v>4365</v>
      </c>
      <c r="G719" s="269" t="s">
        <v>3249</v>
      </c>
      <c r="H719" s="245" t="s">
        <v>4366</v>
      </c>
      <c r="I719" s="246" t="s">
        <v>4367</v>
      </c>
      <c r="J719" s="270" t="s">
        <v>178</v>
      </c>
      <c r="K719" s="271">
        <v>29452</v>
      </c>
      <c r="L719" s="249" t="s">
        <v>179</v>
      </c>
      <c r="M719" s="272">
        <v>43746</v>
      </c>
      <c r="N719" s="272"/>
      <c r="O719" s="240" t="s">
        <v>3999</v>
      </c>
      <c r="P719" s="238" t="s">
        <v>3649</v>
      </c>
      <c r="Q719" s="238" t="s">
        <v>249</v>
      </c>
      <c r="R719" s="240" t="s">
        <v>182</v>
      </c>
      <c r="S719" s="240" t="s">
        <v>219</v>
      </c>
      <c r="T719" s="251"/>
      <c r="U719" s="273"/>
      <c r="V719" s="274" t="s">
        <v>184</v>
      </c>
      <c r="W719" s="274" t="s">
        <v>184</v>
      </c>
      <c r="X719" s="275">
        <v>2</v>
      </c>
      <c r="Y719" s="267" t="s">
        <v>4368</v>
      </c>
      <c r="Z719" s="274"/>
      <c r="AA719" s="277" t="s">
        <v>186</v>
      </c>
      <c r="AB719" s="274"/>
      <c r="AC719" s="286"/>
      <c r="AD719" s="287"/>
      <c r="AE719" s="286"/>
      <c r="AF719" s="288"/>
      <c r="AG719" s="286"/>
      <c r="AH719" s="276"/>
      <c r="AI719" s="276"/>
      <c r="AJ719" s="274" t="s">
        <v>190</v>
      </c>
      <c r="AK719" s="274" t="s">
        <v>190</v>
      </c>
      <c r="AL719" s="274" t="s">
        <v>190</v>
      </c>
      <c r="AM719" s="260" t="s">
        <v>3967</v>
      </c>
      <c r="AN719" s="22">
        <v>182</v>
      </c>
      <c r="AO719" s="22">
        <v>0</v>
      </c>
      <c r="AP719" s="22">
        <v>20</v>
      </c>
      <c r="AQ719" s="22">
        <v>0</v>
      </c>
      <c r="AR719" s="22">
        <v>0</v>
      </c>
      <c r="AS719" s="22">
        <v>7</v>
      </c>
      <c r="AT719" s="22">
        <v>10</v>
      </c>
      <c r="AU719" s="316">
        <f t="shared" si="122"/>
        <v>219</v>
      </c>
      <c r="AV719" s="22">
        <v>190</v>
      </c>
      <c r="AW719" s="22">
        <v>0</v>
      </c>
      <c r="AX719" s="22">
        <v>20</v>
      </c>
      <c r="AY719" s="22">
        <v>0</v>
      </c>
      <c r="AZ719" s="22">
        <v>0</v>
      </c>
      <c r="BA719" s="22">
        <v>7</v>
      </c>
      <c r="BB719" s="22">
        <v>10</v>
      </c>
      <c r="BC719" s="316">
        <f t="shared" si="123"/>
        <v>227</v>
      </c>
      <c r="BD719" s="58">
        <f t="shared" si="124"/>
        <v>8</v>
      </c>
      <c r="BE719" s="58">
        <f t="shared" si="125"/>
        <v>0</v>
      </c>
      <c r="BF719" s="58">
        <f t="shared" si="126"/>
        <v>0</v>
      </c>
      <c r="BG719" s="58">
        <f t="shared" si="127"/>
        <v>0</v>
      </c>
      <c r="BH719" s="58">
        <f t="shared" si="128"/>
        <v>0</v>
      </c>
      <c r="BI719" s="58">
        <f t="shared" si="129"/>
        <v>0</v>
      </c>
      <c r="BJ719" s="58">
        <f t="shared" si="130"/>
        <v>0</v>
      </c>
      <c r="BK719" s="58">
        <f t="shared" si="131"/>
        <v>8</v>
      </c>
    </row>
    <row r="720" spans="1:63" ht="27" customHeight="1">
      <c r="A720" s="238">
        <f t="shared" si="132"/>
        <v>718</v>
      </c>
      <c r="B720" s="239"/>
      <c r="C720" s="266">
        <v>3515</v>
      </c>
      <c r="D720" s="241" t="s">
        <v>4369</v>
      </c>
      <c r="E720" s="267" t="s">
        <v>4370</v>
      </c>
      <c r="F720" s="268" t="s">
        <v>1796</v>
      </c>
      <c r="G720" s="269" t="s">
        <v>1390</v>
      </c>
      <c r="H720" s="245" t="s">
        <v>1798</v>
      </c>
      <c r="I720" s="246" t="s">
        <v>1392</v>
      </c>
      <c r="J720" s="270" t="s">
        <v>178</v>
      </c>
      <c r="K720" s="271">
        <v>32523</v>
      </c>
      <c r="L720" s="249" t="s">
        <v>179</v>
      </c>
      <c r="M720" s="272">
        <v>43746</v>
      </c>
      <c r="N720" s="272"/>
      <c r="O720" s="240" t="s">
        <v>3978</v>
      </c>
      <c r="P720" s="238" t="s">
        <v>3754</v>
      </c>
      <c r="Q720" s="238" t="s">
        <v>249</v>
      </c>
      <c r="R720" s="240" t="s">
        <v>182</v>
      </c>
      <c r="S720" s="240" t="s">
        <v>727</v>
      </c>
      <c r="T720" s="251"/>
      <c r="U720" s="273"/>
      <c r="V720" s="274" t="s">
        <v>184</v>
      </c>
      <c r="W720" s="274" t="s">
        <v>184</v>
      </c>
      <c r="X720" s="275">
        <v>5</v>
      </c>
      <c r="Y720" s="267" t="s">
        <v>4371</v>
      </c>
      <c r="Z720" s="274"/>
      <c r="AA720" s="277"/>
      <c r="AB720" s="274"/>
      <c r="AC720" s="286"/>
      <c r="AD720" s="287"/>
      <c r="AE720" s="286"/>
      <c r="AF720" s="288"/>
      <c r="AG720" s="286"/>
      <c r="AH720" s="276"/>
      <c r="AI720" s="276"/>
      <c r="AJ720" s="274" t="s">
        <v>203</v>
      </c>
      <c r="AK720" s="274" t="s">
        <v>190</v>
      </c>
      <c r="AL720" s="274" t="s">
        <v>190</v>
      </c>
      <c r="AM720" s="260" t="s">
        <v>3859</v>
      </c>
      <c r="AN720" s="22">
        <v>182</v>
      </c>
      <c r="AO720" s="22">
        <v>0</v>
      </c>
      <c r="AP720" s="22">
        <v>20</v>
      </c>
      <c r="AQ720" s="22">
        <v>0</v>
      </c>
      <c r="AR720" s="22">
        <v>0</v>
      </c>
      <c r="AS720" s="22">
        <v>7</v>
      </c>
      <c r="AT720" s="22">
        <v>10</v>
      </c>
      <c r="AU720" s="316">
        <f t="shared" si="122"/>
        <v>219</v>
      </c>
      <c r="AV720" s="22">
        <v>190</v>
      </c>
      <c r="AW720" s="22">
        <v>0</v>
      </c>
      <c r="AX720" s="22">
        <v>20</v>
      </c>
      <c r="AY720" s="22">
        <v>0</v>
      </c>
      <c r="AZ720" s="22">
        <v>0</v>
      </c>
      <c r="BA720" s="22">
        <v>7</v>
      </c>
      <c r="BB720" s="22">
        <v>10</v>
      </c>
      <c r="BC720" s="316">
        <f t="shared" si="123"/>
        <v>227</v>
      </c>
      <c r="BD720" s="58">
        <f t="shared" si="124"/>
        <v>8</v>
      </c>
      <c r="BE720" s="58">
        <f t="shared" si="125"/>
        <v>0</v>
      </c>
      <c r="BF720" s="58">
        <f t="shared" si="126"/>
        <v>0</v>
      </c>
      <c r="BG720" s="58">
        <f t="shared" si="127"/>
        <v>0</v>
      </c>
      <c r="BH720" s="58">
        <f t="shared" si="128"/>
        <v>0</v>
      </c>
      <c r="BI720" s="58">
        <f t="shared" si="129"/>
        <v>0</v>
      </c>
      <c r="BJ720" s="58">
        <f t="shared" si="130"/>
        <v>0</v>
      </c>
      <c r="BK720" s="58">
        <f t="shared" si="131"/>
        <v>8</v>
      </c>
    </row>
    <row r="721" spans="1:63" ht="27" customHeight="1">
      <c r="A721" s="238">
        <f t="shared" si="132"/>
        <v>719</v>
      </c>
      <c r="B721" s="239"/>
      <c r="C721" s="266">
        <v>3225</v>
      </c>
      <c r="D721" s="241" t="s">
        <v>4372</v>
      </c>
      <c r="E721" s="267" t="s">
        <v>4373</v>
      </c>
      <c r="F721" s="268" t="s">
        <v>4374</v>
      </c>
      <c r="G721" s="269" t="s">
        <v>1438</v>
      </c>
      <c r="H721" s="245" t="s">
        <v>4375</v>
      </c>
      <c r="I721" s="246" t="s">
        <v>1440</v>
      </c>
      <c r="J721" s="270" t="s">
        <v>178</v>
      </c>
      <c r="K721" s="271">
        <v>32970</v>
      </c>
      <c r="L721" s="249" t="s">
        <v>179</v>
      </c>
      <c r="M721" s="272">
        <v>43742</v>
      </c>
      <c r="N721" s="272"/>
      <c r="O721" s="240" t="s">
        <v>3965</v>
      </c>
      <c r="P721" s="238" t="s">
        <v>3785</v>
      </c>
      <c r="Q721" s="238" t="s">
        <v>249</v>
      </c>
      <c r="R721" s="240" t="s">
        <v>182</v>
      </c>
      <c r="S721" s="240" t="s">
        <v>1206</v>
      </c>
      <c r="T721" s="251"/>
      <c r="U721" s="273"/>
      <c r="V721" s="274" t="s">
        <v>184</v>
      </c>
      <c r="W721" s="274" t="s">
        <v>184</v>
      </c>
      <c r="X721" s="275">
        <v>8</v>
      </c>
      <c r="Y721" s="267" t="s">
        <v>4376</v>
      </c>
      <c r="Z721" s="274"/>
      <c r="AA721" s="277"/>
      <c r="AB721" s="274"/>
      <c r="AC721" s="286"/>
      <c r="AD721" s="287"/>
      <c r="AE721" s="286"/>
      <c r="AF721" s="288"/>
      <c r="AG721" s="286"/>
      <c r="AH721" s="276"/>
      <c r="AI721" s="276"/>
      <c r="AJ721" s="274" t="s">
        <v>203</v>
      </c>
      <c r="AK721" s="274" t="s">
        <v>190</v>
      </c>
      <c r="AL721" s="274" t="s">
        <v>190</v>
      </c>
      <c r="AM721" s="260" t="s">
        <v>3916</v>
      </c>
      <c r="AN721" s="22">
        <v>182</v>
      </c>
      <c r="AO721" s="22">
        <v>0</v>
      </c>
      <c r="AP721" s="22">
        <v>20</v>
      </c>
      <c r="AQ721" s="22">
        <v>0</v>
      </c>
      <c r="AR721" s="22">
        <v>0</v>
      </c>
      <c r="AS721" s="22">
        <v>7</v>
      </c>
      <c r="AT721" s="22">
        <v>10</v>
      </c>
      <c r="AU721" s="316">
        <f t="shared" si="122"/>
        <v>219</v>
      </c>
      <c r="AV721" s="22">
        <v>190</v>
      </c>
      <c r="AW721" s="22">
        <v>0</v>
      </c>
      <c r="AX721" s="22">
        <v>20</v>
      </c>
      <c r="AY721" s="22">
        <v>0</v>
      </c>
      <c r="AZ721" s="22">
        <v>0</v>
      </c>
      <c r="BA721" s="22">
        <v>7</v>
      </c>
      <c r="BB721" s="22">
        <v>10</v>
      </c>
      <c r="BC721" s="316">
        <f t="shared" si="123"/>
        <v>227</v>
      </c>
      <c r="BD721" s="58">
        <f t="shared" si="124"/>
        <v>8</v>
      </c>
      <c r="BE721" s="58">
        <f t="shared" si="125"/>
        <v>0</v>
      </c>
      <c r="BF721" s="58">
        <f t="shared" si="126"/>
        <v>0</v>
      </c>
      <c r="BG721" s="58">
        <f t="shared" si="127"/>
        <v>0</v>
      </c>
      <c r="BH721" s="58">
        <f t="shared" si="128"/>
        <v>0</v>
      </c>
      <c r="BI721" s="58">
        <f t="shared" si="129"/>
        <v>0</v>
      </c>
      <c r="BJ721" s="58">
        <f t="shared" si="130"/>
        <v>0</v>
      </c>
      <c r="BK721" s="58">
        <f t="shared" si="131"/>
        <v>8</v>
      </c>
    </row>
    <row r="722" spans="1:63" ht="27" customHeight="1">
      <c r="A722" s="238">
        <f t="shared" si="132"/>
        <v>720</v>
      </c>
      <c r="B722" s="239"/>
      <c r="C722" s="266">
        <v>3595</v>
      </c>
      <c r="D722" s="241" t="s">
        <v>4377</v>
      </c>
      <c r="E722" s="267" t="s">
        <v>4378</v>
      </c>
      <c r="F722" s="268" t="s">
        <v>2550</v>
      </c>
      <c r="G722" s="269" t="s">
        <v>874</v>
      </c>
      <c r="H722" s="245" t="s">
        <v>1647</v>
      </c>
      <c r="I722" s="246" t="s">
        <v>4379</v>
      </c>
      <c r="J722" s="270" t="s">
        <v>178</v>
      </c>
      <c r="K722" s="271">
        <v>33824</v>
      </c>
      <c r="L722" s="249" t="s">
        <v>179</v>
      </c>
      <c r="M722" s="272">
        <v>43748</v>
      </c>
      <c r="N722" s="272"/>
      <c r="O722" s="240"/>
      <c r="P722" s="238" t="s">
        <v>3950</v>
      </c>
      <c r="Q722" s="238" t="s">
        <v>249</v>
      </c>
      <c r="R722" s="240" t="s">
        <v>182</v>
      </c>
      <c r="S722" s="240" t="s">
        <v>228</v>
      </c>
      <c r="T722" s="251"/>
      <c r="U722" s="273"/>
      <c r="V722" s="274" t="s">
        <v>184</v>
      </c>
      <c r="W722" s="274" t="s">
        <v>184</v>
      </c>
      <c r="X722" s="275">
        <v>5</v>
      </c>
      <c r="Y722" s="267" t="s">
        <v>296</v>
      </c>
      <c r="Z722" s="274"/>
      <c r="AA722" s="277"/>
      <c r="AB722" s="274"/>
      <c r="AC722" s="286"/>
      <c r="AD722" s="287"/>
      <c r="AE722" s="286"/>
      <c r="AF722" s="288"/>
      <c r="AG722" s="286"/>
      <c r="AH722" s="276"/>
      <c r="AI722" s="276"/>
      <c r="AJ722" s="274" t="s">
        <v>190</v>
      </c>
      <c r="AK722" s="274" t="s">
        <v>190</v>
      </c>
      <c r="AL722" s="274" t="s">
        <v>190</v>
      </c>
      <c r="AM722" s="260" t="s">
        <v>3967</v>
      </c>
      <c r="AN722" s="22">
        <v>182</v>
      </c>
      <c r="AO722" s="22">
        <v>0</v>
      </c>
      <c r="AP722" s="22">
        <v>20</v>
      </c>
      <c r="AQ722" s="22">
        <v>0</v>
      </c>
      <c r="AR722" s="22">
        <v>0</v>
      </c>
      <c r="AS722" s="22">
        <v>7</v>
      </c>
      <c r="AT722" s="22">
        <v>10</v>
      </c>
      <c r="AU722" s="316">
        <f t="shared" si="122"/>
        <v>219</v>
      </c>
      <c r="AV722" s="22">
        <v>190</v>
      </c>
      <c r="AW722" s="22">
        <v>0</v>
      </c>
      <c r="AX722" s="22">
        <v>20</v>
      </c>
      <c r="AY722" s="22">
        <v>0</v>
      </c>
      <c r="AZ722" s="22">
        <v>0</v>
      </c>
      <c r="BA722" s="22">
        <v>7</v>
      </c>
      <c r="BB722" s="22">
        <v>10</v>
      </c>
      <c r="BC722" s="316">
        <f t="shared" si="123"/>
        <v>227</v>
      </c>
      <c r="BD722" s="58">
        <f t="shared" si="124"/>
        <v>8</v>
      </c>
      <c r="BE722" s="58">
        <f t="shared" si="125"/>
        <v>0</v>
      </c>
      <c r="BF722" s="58">
        <f t="shared" si="126"/>
        <v>0</v>
      </c>
      <c r="BG722" s="58">
        <f t="shared" si="127"/>
        <v>0</v>
      </c>
      <c r="BH722" s="58">
        <f t="shared" si="128"/>
        <v>0</v>
      </c>
      <c r="BI722" s="58">
        <f t="shared" si="129"/>
        <v>0</v>
      </c>
      <c r="BJ722" s="58">
        <f t="shared" si="130"/>
        <v>0</v>
      </c>
      <c r="BK722" s="58">
        <f t="shared" si="131"/>
        <v>8</v>
      </c>
    </row>
    <row r="723" spans="1:63" ht="27" customHeight="1">
      <c r="A723" s="238">
        <f t="shared" si="132"/>
        <v>721</v>
      </c>
      <c r="B723" s="239"/>
      <c r="C723" s="266">
        <v>3299</v>
      </c>
      <c r="D723" s="241" t="s">
        <v>4380</v>
      </c>
      <c r="E723" s="267" t="s">
        <v>4381</v>
      </c>
      <c r="F723" s="268" t="s">
        <v>4382</v>
      </c>
      <c r="G723" s="269" t="s">
        <v>4383</v>
      </c>
      <c r="H723" s="245" t="s">
        <v>4384</v>
      </c>
      <c r="I723" s="246" t="s">
        <v>4385</v>
      </c>
      <c r="J723" s="270" t="s">
        <v>178</v>
      </c>
      <c r="K723" s="271">
        <v>33978</v>
      </c>
      <c r="L723" s="249" t="s">
        <v>179</v>
      </c>
      <c r="M723" s="272">
        <v>43746</v>
      </c>
      <c r="N723" s="272"/>
      <c r="O723" s="240" t="s">
        <v>3999</v>
      </c>
      <c r="P723" s="238" t="s">
        <v>3649</v>
      </c>
      <c r="Q723" s="238" t="s">
        <v>249</v>
      </c>
      <c r="R723" s="240" t="s">
        <v>182</v>
      </c>
      <c r="S723" s="240" t="s">
        <v>503</v>
      </c>
      <c r="T723" s="251"/>
      <c r="U723" s="273"/>
      <c r="V723" s="274" t="s">
        <v>184</v>
      </c>
      <c r="W723" s="274" t="s">
        <v>184</v>
      </c>
      <c r="X723" s="275">
        <v>11</v>
      </c>
      <c r="Y723" s="267" t="s">
        <v>4386</v>
      </c>
      <c r="Z723" s="274"/>
      <c r="AA723" s="277"/>
      <c r="AB723" s="274"/>
      <c r="AC723" s="286"/>
      <c r="AD723" s="287"/>
      <c r="AE723" s="286"/>
      <c r="AF723" s="288"/>
      <c r="AG723" s="286"/>
      <c r="AH723" s="276"/>
      <c r="AI723" s="276"/>
      <c r="AJ723" s="274" t="s">
        <v>203</v>
      </c>
      <c r="AK723" s="274" t="s">
        <v>190</v>
      </c>
      <c r="AL723" s="274" t="s">
        <v>190</v>
      </c>
      <c r="AM723" s="260" t="s">
        <v>3859</v>
      </c>
      <c r="AN723" s="22">
        <v>182</v>
      </c>
      <c r="AO723" s="22">
        <v>0</v>
      </c>
      <c r="AP723" s="22">
        <v>20</v>
      </c>
      <c r="AQ723" s="22">
        <v>0</v>
      </c>
      <c r="AR723" s="22">
        <v>0</v>
      </c>
      <c r="AS723" s="22">
        <v>7</v>
      </c>
      <c r="AT723" s="22">
        <v>10</v>
      </c>
      <c r="AU723" s="316">
        <f t="shared" si="122"/>
        <v>219</v>
      </c>
      <c r="AV723" s="22">
        <v>190</v>
      </c>
      <c r="AW723" s="22">
        <v>0</v>
      </c>
      <c r="AX723" s="22">
        <v>20</v>
      </c>
      <c r="AY723" s="22">
        <v>0</v>
      </c>
      <c r="AZ723" s="22">
        <v>0</v>
      </c>
      <c r="BA723" s="22">
        <v>7</v>
      </c>
      <c r="BB723" s="22">
        <v>10</v>
      </c>
      <c r="BC723" s="316">
        <f t="shared" si="123"/>
        <v>227</v>
      </c>
      <c r="BD723" s="58">
        <f t="shared" si="124"/>
        <v>8</v>
      </c>
      <c r="BE723" s="58">
        <f t="shared" si="125"/>
        <v>0</v>
      </c>
      <c r="BF723" s="58">
        <f t="shared" si="126"/>
        <v>0</v>
      </c>
      <c r="BG723" s="58">
        <f t="shared" si="127"/>
        <v>0</v>
      </c>
      <c r="BH723" s="58">
        <f t="shared" si="128"/>
        <v>0</v>
      </c>
      <c r="BI723" s="58">
        <f t="shared" si="129"/>
        <v>0</v>
      </c>
      <c r="BJ723" s="58">
        <f t="shared" si="130"/>
        <v>0</v>
      </c>
      <c r="BK723" s="58">
        <f t="shared" si="131"/>
        <v>8</v>
      </c>
    </row>
    <row r="724" spans="1:63" ht="27" customHeight="1">
      <c r="A724" s="238">
        <f t="shared" si="132"/>
        <v>722</v>
      </c>
      <c r="B724" s="239"/>
      <c r="C724" s="266">
        <v>3215</v>
      </c>
      <c r="D724" s="241" t="s">
        <v>4387</v>
      </c>
      <c r="E724" s="267" t="s">
        <v>4388</v>
      </c>
      <c r="F724" s="268" t="s">
        <v>382</v>
      </c>
      <c r="G724" s="269" t="s">
        <v>4389</v>
      </c>
      <c r="H724" s="245" t="s">
        <v>4390</v>
      </c>
      <c r="I724" s="246" t="s">
        <v>4391</v>
      </c>
      <c r="J724" s="270" t="s">
        <v>209</v>
      </c>
      <c r="K724" s="271">
        <v>33106</v>
      </c>
      <c r="L724" s="249" t="s">
        <v>179</v>
      </c>
      <c r="M724" s="272">
        <v>43742</v>
      </c>
      <c r="N724" s="272"/>
      <c r="O724" s="240" t="s">
        <v>3978</v>
      </c>
      <c r="P724" s="240"/>
      <c r="Q724" s="238" t="s">
        <v>249</v>
      </c>
      <c r="R724" s="240" t="s">
        <v>182</v>
      </c>
      <c r="S724" s="240" t="s">
        <v>228</v>
      </c>
      <c r="T724" s="251"/>
      <c r="U724" s="273"/>
      <c r="V724" s="274" t="s">
        <v>184</v>
      </c>
      <c r="W724" s="274" t="s">
        <v>184</v>
      </c>
      <c r="X724" s="275">
        <v>7</v>
      </c>
      <c r="Y724" s="267" t="s">
        <v>4392</v>
      </c>
      <c r="Z724" s="277"/>
      <c r="AA724" s="277" t="s">
        <v>186</v>
      </c>
      <c r="AB724" s="274"/>
      <c r="AC724" s="286"/>
      <c r="AD724" s="287"/>
      <c r="AE724" s="286"/>
      <c r="AF724" s="288"/>
      <c r="AG724" s="286"/>
      <c r="AH724" s="276"/>
      <c r="AI724" s="276"/>
      <c r="AJ724" s="274" t="s">
        <v>203</v>
      </c>
      <c r="AK724" s="274" t="s">
        <v>190</v>
      </c>
      <c r="AL724" s="274" t="s">
        <v>190</v>
      </c>
      <c r="AM724" s="260" t="s">
        <v>3859</v>
      </c>
      <c r="AN724" s="22">
        <v>182</v>
      </c>
      <c r="AO724" s="22">
        <v>0</v>
      </c>
      <c r="AP724" s="22">
        <v>0</v>
      </c>
      <c r="AQ724" s="22">
        <v>0</v>
      </c>
      <c r="AR724" s="22">
        <v>0</v>
      </c>
      <c r="AS724" s="22">
        <v>7</v>
      </c>
      <c r="AT724" s="22">
        <v>10</v>
      </c>
      <c r="AU724" s="316">
        <f t="shared" si="122"/>
        <v>199</v>
      </c>
      <c r="AV724" s="22">
        <v>190</v>
      </c>
      <c r="AW724" s="22">
        <v>0</v>
      </c>
      <c r="AX724" s="22">
        <v>0</v>
      </c>
      <c r="AY724" s="22">
        <v>0</v>
      </c>
      <c r="AZ724" s="22">
        <v>0</v>
      </c>
      <c r="BA724" s="22">
        <v>7</v>
      </c>
      <c r="BB724" s="22">
        <v>10</v>
      </c>
      <c r="BC724" s="316">
        <f t="shared" si="123"/>
        <v>207</v>
      </c>
      <c r="BD724" s="58">
        <f t="shared" si="124"/>
        <v>8</v>
      </c>
      <c r="BE724" s="58">
        <f t="shared" si="125"/>
        <v>0</v>
      </c>
      <c r="BF724" s="58">
        <f t="shared" si="126"/>
        <v>0</v>
      </c>
      <c r="BG724" s="58">
        <f t="shared" si="127"/>
        <v>0</v>
      </c>
      <c r="BH724" s="58">
        <f t="shared" si="128"/>
        <v>0</v>
      </c>
      <c r="BI724" s="58">
        <f t="shared" si="129"/>
        <v>0</v>
      </c>
      <c r="BJ724" s="58">
        <f t="shared" si="130"/>
        <v>0</v>
      </c>
      <c r="BK724" s="58">
        <f t="shared" si="131"/>
        <v>8</v>
      </c>
    </row>
    <row r="725" spans="1:63" ht="27" customHeight="1">
      <c r="A725" s="238">
        <f t="shared" si="132"/>
        <v>723</v>
      </c>
      <c r="B725" s="239"/>
      <c r="C725" s="266">
        <v>3542</v>
      </c>
      <c r="D725" s="241" t="s">
        <v>4393</v>
      </c>
      <c r="E725" s="267" t="s">
        <v>4394</v>
      </c>
      <c r="F725" s="268" t="s">
        <v>1603</v>
      </c>
      <c r="G725" s="269" t="s">
        <v>4068</v>
      </c>
      <c r="H725" s="245" t="s">
        <v>1605</v>
      </c>
      <c r="I725" s="246" t="s">
        <v>4070</v>
      </c>
      <c r="J725" s="270" t="s">
        <v>209</v>
      </c>
      <c r="K725" s="271">
        <v>34175</v>
      </c>
      <c r="L725" s="249" t="s">
        <v>179</v>
      </c>
      <c r="M725" s="272">
        <v>43747</v>
      </c>
      <c r="N725" s="272"/>
      <c r="O725" s="240" t="s">
        <v>3978</v>
      </c>
      <c r="P725" s="238" t="s">
        <v>3959</v>
      </c>
      <c r="Q725" s="238" t="s">
        <v>249</v>
      </c>
      <c r="R725" s="240" t="s">
        <v>182</v>
      </c>
      <c r="S725" s="240" t="s">
        <v>228</v>
      </c>
      <c r="T725" s="251"/>
      <c r="U725" s="273"/>
      <c r="V725" s="274" t="s">
        <v>184</v>
      </c>
      <c r="W725" s="274" t="s">
        <v>184</v>
      </c>
      <c r="X725" s="275">
        <v>12</v>
      </c>
      <c r="Y725" s="267" t="s">
        <v>4395</v>
      </c>
      <c r="Z725" s="277"/>
      <c r="AA725" s="277" t="s">
        <v>186</v>
      </c>
      <c r="AB725" s="274"/>
      <c r="AC725" s="286"/>
      <c r="AD725" s="287"/>
      <c r="AE725" s="286"/>
      <c r="AF725" s="288"/>
      <c r="AG725" s="286"/>
      <c r="AH725" s="276"/>
      <c r="AI725" s="276"/>
      <c r="AJ725" s="274" t="s">
        <v>203</v>
      </c>
      <c r="AK725" s="274" t="s">
        <v>190</v>
      </c>
      <c r="AL725" s="274" t="s">
        <v>190</v>
      </c>
      <c r="AM725" s="260" t="s">
        <v>3859</v>
      </c>
      <c r="AN725" s="22">
        <v>182</v>
      </c>
      <c r="AO725" s="22">
        <v>0</v>
      </c>
      <c r="AP725" s="22">
        <v>20</v>
      </c>
      <c r="AQ725" s="22">
        <v>0</v>
      </c>
      <c r="AR725" s="22">
        <v>0</v>
      </c>
      <c r="AS725" s="22">
        <v>7</v>
      </c>
      <c r="AT725" s="22">
        <v>10</v>
      </c>
      <c r="AU725" s="316">
        <f t="shared" si="122"/>
        <v>219</v>
      </c>
      <c r="AV725" s="22">
        <v>190</v>
      </c>
      <c r="AW725" s="22">
        <v>0</v>
      </c>
      <c r="AX725" s="22">
        <v>20</v>
      </c>
      <c r="AY725" s="22">
        <v>0</v>
      </c>
      <c r="AZ725" s="22">
        <v>0</v>
      </c>
      <c r="BA725" s="22">
        <v>7</v>
      </c>
      <c r="BB725" s="22">
        <v>10</v>
      </c>
      <c r="BC725" s="316">
        <f t="shared" si="123"/>
        <v>227</v>
      </c>
      <c r="BD725" s="58">
        <f t="shared" si="124"/>
        <v>8</v>
      </c>
      <c r="BE725" s="58">
        <f t="shared" si="125"/>
        <v>0</v>
      </c>
      <c r="BF725" s="58">
        <f t="shared" si="126"/>
        <v>0</v>
      </c>
      <c r="BG725" s="58">
        <f t="shared" si="127"/>
        <v>0</v>
      </c>
      <c r="BH725" s="58">
        <f t="shared" si="128"/>
        <v>0</v>
      </c>
      <c r="BI725" s="58">
        <f t="shared" si="129"/>
        <v>0</v>
      </c>
      <c r="BJ725" s="58">
        <f t="shared" si="130"/>
        <v>0</v>
      </c>
      <c r="BK725" s="58">
        <f t="shared" si="131"/>
        <v>8</v>
      </c>
    </row>
    <row r="726" spans="1:63" ht="27" customHeight="1">
      <c r="A726" s="238">
        <f t="shared" si="132"/>
        <v>724</v>
      </c>
      <c r="B726" s="239"/>
      <c r="C726" s="266">
        <v>3563</v>
      </c>
      <c r="D726" s="284">
        <v>0</v>
      </c>
      <c r="E726" s="292" t="s">
        <v>296</v>
      </c>
      <c r="F726" s="268" t="s">
        <v>4396</v>
      </c>
      <c r="G726" s="269" t="s">
        <v>1037</v>
      </c>
      <c r="H726" s="293">
        <v>0</v>
      </c>
      <c r="I726" s="294">
        <v>0</v>
      </c>
      <c r="J726" s="270" t="s">
        <v>178</v>
      </c>
      <c r="K726" s="271">
        <v>29867</v>
      </c>
      <c r="L726" s="249" t="s">
        <v>179</v>
      </c>
      <c r="M726" s="272">
        <v>43748</v>
      </c>
      <c r="N726" s="272"/>
      <c r="O726" s="240" t="s">
        <v>3999</v>
      </c>
      <c r="P726" s="238" t="s">
        <v>3649</v>
      </c>
      <c r="Q726" s="238" t="s">
        <v>249</v>
      </c>
      <c r="R726" s="240" t="s">
        <v>182</v>
      </c>
      <c r="S726" s="240" t="s">
        <v>228</v>
      </c>
      <c r="T726" s="251"/>
      <c r="U726" s="273"/>
      <c r="V726" s="274" t="s">
        <v>184</v>
      </c>
      <c r="W726" s="274" t="s">
        <v>184</v>
      </c>
      <c r="X726" s="275">
        <v>3</v>
      </c>
      <c r="Y726" s="267" t="s">
        <v>4397</v>
      </c>
      <c r="Z726" s="274"/>
      <c r="AA726" s="277" t="s">
        <v>186</v>
      </c>
      <c r="AB726" s="274"/>
      <c r="AC726" s="295"/>
      <c r="AD726" s="287"/>
      <c r="AE726" s="286"/>
      <c r="AF726" s="288"/>
      <c r="AG726" s="286"/>
      <c r="AH726" s="276"/>
      <c r="AI726" s="276"/>
      <c r="AJ726" s="274" t="s">
        <v>203</v>
      </c>
      <c r="AK726" s="274" t="s">
        <v>190</v>
      </c>
      <c r="AL726" s="274" t="s">
        <v>190</v>
      </c>
      <c r="AM726" s="260" t="s">
        <v>3859</v>
      </c>
      <c r="AN726" s="22">
        <v>182</v>
      </c>
      <c r="AO726" s="22">
        <v>0</v>
      </c>
      <c r="AP726" s="22">
        <v>20</v>
      </c>
      <c r="AQ726" s="22">
        <v>0</v>
      </c>
      <c r="AR726" s="22">
        <v>0</v>
      </c>
      <c r="AS726" s="22">
        <v>7</v>
      </c>
      <c r="AT726" s="22">
        <v>10</v>
      </c>
      <c r="AU726" s="316">
        <f t="shared" si="122"/>
        <v>219</v>
      </c>
      <c r="AV726" s="22">
        <v>190</v>
      </c>
      <c r="AW726" s="22">
        <v>0</v>
      </c>
      <c r="AX726" s="22">
        <v>20</v>
      </c>
      <c r="AY726" s="22">
        <v>0</v>
      </c>
      <c r="AZ726" s="22">
        <v>0</v>
      </c>
      <c r="BA726" s="22">
        <v>7</v>
      </c>
      <c r="BB726" s="22">
        <v>10</v>
      </c>
      <c r="BC726" s="316">
        <f t="shared" si="123"/>
        <v>227</v>
      </c>
      <c r="BD726" s="58">
        <f t="shared" si="124"/>
        <v>8</v>
      </c>
      <c r="BE726" s="58">
        <f t="shared" si="125"/>
        <v>0</v>
      </c>
      <c r="BF726" s="58">
        <f t="shared" si="126"/>
        <v>0</v>
      </c>
      <c r="BG726" s="58">
        <f t="shared" si="127"/>
        <v>0</v>
      </c>
      <c r="BH726" s="58">
        <f t="shared" si="128"/>
        <v>0</v>
      </c>
      <c r="BI726" s="58">
        <f t="shared" si="129"/>
        <v>0</v>
      </c>
      <c r="BJ726" s="58">
        <f t="shared" si="130"/>
        <v>0</v>
      </c>
      <c r="BK726" s="58">
        <f t="shared" si="131"/>
        <v>8</v>
      </c>
    </row>
    <row r="727" spans="1:63" ht="27" customHeight="1">
      <c r="A727" s="238">
        <f t="shared" si="132"/>
        <v>725</v>
      </c>
      <c r="B727" s="239"/>
      <c r="C727" s="266">
        <v>3649</v>
      </c>
      <c r="D727" s="284">
        <v>0</v>
      </c>
      <c r="E727" s="267" t="s">
        <v>4398</v>
      </c>
      <c r="F727" s="268" t="s">
        <v>1789</v>
      </c>
      <c r="G727" s="269" t="s">
        <v>2575</v>
      </c>
      <c r="H727" s="293">
        <v>0</v>
      </c>
      <c r="I727" s="294">
        <v>0</v>
      </c>
      <c r="J727" s="270" t="s">
        <v>178</v>
      </c>
      <c r="K727" s="271">
        <v>36746</v>
      </c>
      <c r="L727" s="249" t="s">
        <v>179</v>
      </c>
      <c r="M727" s="272">
        <v>43754</v>
      </c>
      <c r="N727" s="272"/>
      <c r="O727" s="240"/>
      <c r="P727" s="238" t="s">
        <v>3785</v>
      </c>
      <c r="Q727" s="238" t="s">
        <v>249</v>
      </c>
      <c r="R727" s="240" t="s">
        <v>182</v>
      </c>
      <c r="S727" s="240" t="s">
        <v>228</v>
      </c>
      <c r="T727" s="251"/>
      <c r="U727" s="273"/>
      <c r="V727" s="274" t="s">
        <v>184</v>
      </c>
      <c r="W727" s="274" t="s">
        <v>184</v>
      </c>
      <c r="X727" s="275">
        <v>9</v>
      </c>
      <c r="Y727" s="267" t="s">
        <v>3915</v>
      </c>
      <c r="Z727" s="274"/>
      <c r="AA727" s="277"/>
      <c r="AB727" s="274"/>
      <c r="AC727" s="296"/>
      <c r="AD727" s="287"/>
      <c r="AE727" s="296"/>
      <c r="AF727" s="288"/>
      <c r="AG727" s="286"/>
      <c r="AH727" s="276"/>
      <c r="AI727" s="276"/>
      <c r="AJ727" s="274" t="s">
        <v>203</v>
      </c>
      <c r="AK727" s="274" t="s">
        <v>190</v>
      </c>
      <c r="AL727" s="274" t="s">
        <v>203</v>
      </c>
      <c r="AM727" s="260" t="s">
        <v>3916</v>
      </c>
      <c r="AN727" s="22">
        <v>177</v>
      </c>
      <c r="AO727" s="22">
        <v>0</v>
      </c>
      <c r="AP727" s="22">
        <v>20</v>
      </c>
      <c r="AQ727" s="22">
        <v>0</v>
      </c>
      <c r="AR727" s="22">
        <v>0</v>
      </c>
      <c r="AS727" s="22">
        <v>7</v>
      </c>
      <c r="AT727" s="22">
        <v>10</v>
      </c>
      <c r="AU727" s="316">
        <f t="shared" si="122"/>
        <v>214</v>
      </c>
      <c r="AV727" s="22">
        <v>185</v>
      </c>
      <c r="AW727" s="22">
        <v>0</v>
      </c>
      <c r="AX727" s="22">
        <v>20</v>
      </c>
      <c r="AY727" s="22">
        <v>0</v>
      </c>
      <c r="AZ727" s="22">
        <v>0</v>
      </c>
      <c r="BA727" s="22">
        <v>7</v>
      </c>
      <c r="BB727" s="22">
        <v>10</v>
      </c>
      <c r="BC727" s="316">
        <f t="shared" si="123"/>
        <v>222</v>
      </c>
      <c r="BD727" s="58">
        <f t="shared" si="124"/>
        <v>8</v>
      </c>
      <c r="BE727" s="58">
        <f t="shared" si="125"/>
        <v>0</v>
      </c>
      <c r="BF727" s="58">
        <f t="shared" si="126"/>
        <v>0</v>
      </c>
      <c r="BG727" s="58">
        <f t="shared" si="127"/>
        <v>0</v>
      </c>
      <c r="BH727" s="58">
        <f t="shared" si="128"/>
        <v>0</v>
      </c>
      <c r="BI727" s="58">
        <f t="shared" si="129"/>
        <v>0</v>
      </c>
      <c r="BJ727" s="58">
        <f t="shared" si="130"/>
        <v>0</v>
      </c>
      <c r="BK727" s="58">
        <f t="shared" si="131"/>
        <v>8</v>
      </c>
    </row>
    <row r="728" spans="1:63" ht="27" customHeight="1">
      <c r="A728" s="238">
        <f t="shared" si="132"/>
        <v>726</v>
      </c>
      <c r="B728" s="239"/>
      <c r="C728" s="266">
        <v>3690</v>
      </c>
      <c r="D728" s="241" t="s">
        <v>4399</v>
      </c>
      <c r="E728" s="267" t="s">
        <v>4400</v>
      </c>
      <c r="F728" s="268" t="s">
        <v>4401</v>
      </c>
      <c r="G728" s="269" t="s">
        <v>1254</v>
      </c>
      <c r="H728" s="245" t="s">
        <v>4402</v>
      </c>
      <c r="I728" s="246" t="s">
        <v>1256</v>
      </c>
      <c r="J728" s="270" t="s">
        <v>178</v>
      </c>
      <c r="K728" s="271">
        <v>29598</v>
      </c>
      <c r="L728" s="249" t="s">
        <v>179</v>
      </c>
      <c r="M728" s="272">
        <v>43754</v>
      </c>
      <c r="N728" s="272"/>
      <c r="O728" s="240"/>
      <c r="P728" s="238" t="s">
        <v>3754</v>
      </c>
      <c r="Q728" s="238" t="s">
        <v>249</v>
      </c>
      <c r="R728" s="240" t="s">
        <v>182</v>
      </c>
      <c r="S728" s="240" t="s">
        <v>211</v>
      </c>
      <c r="T728" s="251"/>
      <c r="U728" s="273"/>
      <c r="V728" s="274" t="s">
        <v>184</v>
      </c>
      <c r="W728" s="274" t="s">
        <v>184</v>
      </c>
      <c r="X728" s="275">
        <v>5</v>
      </c>
      <c r="Y728" s="267" t="s">
        <v>4403</v>
      </c>
      <c r="Z728" s="274"/>
      <c r="AA728" s="277"/>
      <c r="AB728" s="274"/>
      <c r="AC728" s="296"/>
      <c r="AD728" s="287"/>
      <c r="AE728" s="286"/>
      <c r="AF728" s="288"/>
      <c r="AG728" s="286"/>
      <c r="AH728" s="276"/>
      <c r="AI728" s="276"/>
      <c r="AJ728" s="274" t="s">
        <v>203</v>
      </c>
      <c r="AK728" s="274" t="s">
        <v>190</v>
      </c>
      <c r="AL728" s="274" t="s">
        <v>190</v>
      </c>
      <c r="AM728" s="260" t="s">
        <v>241</v>
      </c>
      <c r="AN728" s="22">
        <v>182</v>
      </c>
      <c r="AO728" s="22">
        <v>0</v>
      </c>
      <c r="AP728" s="22">
        <v>20</v>
      </c>
      <c r="AQ728" s="22">
        <v>0</v>
      </c>
      <c r="AR728" s="22">
        <v>0</v>
      </c>
      <c r="AS728" s="22">
        <v>7</v>
      </c>
      <c r="AT728" s="22">
        <v>10</v>
      </c>
      <c r="AU728" s="316">
        <f t="shared" si="122"/>
        <v>219</v>
      </c>
      <c r="AV728" s="22">
        <v>190</v>
      </c>
      <c r="AW728" s="22">
        <v>0</v>
      </c>
      <c r="AX728" s="22">
        <v>20</v>
      </c>
      <c r="AY728" s="22">
        <v>0</v>
      </c>
      <c r="AZ728" s="22">
        <v>0</v>
      </c>
      <c r="BA728" s="22">
        <v>7</v>
      </c>
      <c r="BB728" s="22">
        <v>10</v>
      </c>
      <c r="BC728" s="316">
        <f t="shared" si="123"/>
        <v>227</v>
      </c>
      <c r="BD728" s="58">
        <f t="shared" si="124"/>
        <v>8</v>
      </c>
      <c r="BE728" s="58">
        <f t="shared" si="125"/>
        <v>0</v>
      </c>
      <c r="BF728" s="58">
        <f t="shared" si="126"/>
        <v>0</v>
      </c>
      <c r="BG728" s="58">
        <f t="shared" si="127"/>
        <v>0</v>
      </c>
      <c r="BH728" s="58">
        <f t="shared" si="128"/>
        <v>0</v>
      </c>
      <c r="BI728" s="58">
        <f t="shared" si="129"/>
        <v>0</v>
      </c>
      <c r="BJ728" s="58">
        <f t="shared" si="130"/>
        <v>0</v>
      </c>
      <c r="BK728" s="58">
        <f t="shared" si="131"/>
        <v>8</v>
      </c>
    </row>
    <row r="729" spans="1:63" ht="27" customHeight="1">
      <c r="A729" s="238">
        <f t="shared" si="132"/>
        <v>727</v>
      </c>
      <c r="B729" s="239"/>
      <c r="C729" s="266">
        <v>3539</v>
      </c>
      <c r="D729" s="266" t="s">
        <v>4404</v>
      </c>
      <c r="E729" s="267" t="s">
        <v>4405</v>
      </c>
      <c r="F729" s="268" t="s">
        <v>4406</v>
      </c>
      <c r="G729" s="269" t="s">
        <v>4326</v>
      </c>
      <c r="H729" s="245" t="s">
        <v>4407</v>
      </c>
      <c r="I729" s="246" t="s">
        <v>4327</v>
      </c>
      <c r="J729" s="270" t="s">
        <v>178</v>
      </c>
      <c r="K729" s="271">
        <v>33383</v>
      </c>
      <c r="L729" s="249" t="s">
        <v>179</v>
      </c>
      <c r="M729" s="272">
        <v>43747</v>
      </c>
      <c r="N729" s="272"/>
      <c r="O729" s="240" t="s">
        <v>3978</v>
      </c>
      <c r="P729" s="238" t="s">
        <v>3754</v>
      </c>
      <c r="Q729" s="238" t="s">
        <v>249</v>
      </c>
      <c r="R729" s="240" t="s">
        <v>182</v>
      </c>
      <c r="S729" s="240" t="s">
        <v>228</v>
      </c>
      <c r="T729" s="251"/>
      <c r="U729" s="273"/>
      <c r="V729" s="274" t="s">
        <v>184</v>
      </c>
      <c r="W729" s="274" t="s">
        <v>184</v>
      </c>
      <c r="X729" s="275">
        <v>5</v>
      </c>
      <c r="Y729" s="267" t="s">
        <v>4408</v>
      </c>
      <c r="Z729" s="274"/>
      <c r="AA729" s="277"/>
      <c r="AB729" s="274"/>
      <c r="AC729" s="296"/>
      <c r="AD729" s="287"/>
      <c r="AE729" s="286"/>
      <c r="AF729" s="288"/>
      <c r="AG729" s="286"/>
      <c r="AH729" s="276"/>
      <c r="AI729" s="276"/>
      <c r="AJ729" s="274" t="s">
        <v>203</v>
      </c>
      <c r="AK729" s="274" t="s">
        <v>190</v>
      </c>
      <c r="AL729" s="274" t="s">
        <v>190</v>
      </c>
      <c r="AM729" s="260" t="s">
        <v>3859</v>
      </c>
      <c r="AN729" s="22">
        <v>182</v>
      </c>
      <c r="AO729" s="22">
        <v>0</v>
      </c>
      <c r="AP729" s="22">
        <v>20</v>
      </c>
      <c r="AQ729" s="22">
        <v>0</v>
      </c>
      <c r="AR729" s="22">
        <v>0</v>
      </c>
      <c r="AS729" s="22">
        <v>7</v>
      </c>
      <c r="AT729" s="22">
        <v>10</v>
      </c>
      <c r="AU729" s="316">
        <f t="shared" si="122"/>
        <v>219</v>
      </c>
      <c r="AV729" s="22">
        <v>190</v>
      </c>
      <c r="AW729" s="22">
        <v>0</v>
      </c>
      <c r="AX729" s="22">
        <v>20</v>
      </c>
      <c r="AY729" s="22">
        <v>0</v>
      </c>
      <c r="AZ729" s="22">
        <v>0</v>
      </c>
      <c r="BA729" s="22">
        <v>7</v>
      </c>
      <c r="BB729" s="22">
        <v>10</v>
      </c>
      <c r="BC729" s="316">
        <f t="shared" si="123"/>
        <v>227</v>
      </c>
      <c r="BD729" s="58">
        <f t="shared" si="124"/>
        <v>8</v>
      </c>
      <c r="BE729" s="58">
        <f t="shared" si="125"/>
        <v>0</v>
      </c>
      <c r="BF729" s="58">
        <f t="shared" si="126"/>
        <v>0</v>
      </c>
      <c r="BG729" s="58">
        <f t="shared" si="127"/>
        <v>0</v>
      </c>
      <c r="BH729" s="58">
        <f t="shared" si="128"/>
        <v>0</v>
      </c>
      <c r="BI729" s="58">
        <f t="shared" si="129"/>
        <v>0</v>
      </c>
      <c r="BJ729" s="58">
        <f t="shared" si="130"/>
        <v>0</v>
      </c>
      <c r="BK729" s="58">
        <f t="shared" si="131"/>
        <v>8</v>
      </c>
    </row>
    <row r="730" spans="1:63" ht="27" customHeight="1">
      <c r="A730" s="238">
        <f t="shared" si="132"/>
        <v>728</v>
      </c>
      <c r="B730" s="239"/>
      <c r="C730" s="266">
        <v>3521</v>
      </c>
      <c r="D730" s="241" t="s">
        <v>4409</v>
      </c>
      <c r="E730" s="267" t="s">
        <v>4410</v>
      </c>
      <c r="F730" s="268" t="s">
        <v>963</v>
      </c>
      <c r="G730" s="269" t="s">
        <v>4411</v>
      </c>
      <c r="H730" s="245" t="s">
        <v>964</v>
      </c>
      <c r="I730" s="246" t="s">
        <v>4412</v>
      </c>
      <c r="J730" s="270" t="s">
        <v>209</v>
      </c>
      <c r="K730" s="271">
        <v>36194</v>
      </c>
      <c r="L730" s="249" t="s">
        <v>179</v>
      </c>
      <c r="M730" s="272">
        <v>43747</v>
      </c>
      <c r="N730" s="272"/>
      <c r="O730" s="240" t="s">
        <v>3978</v>
      </c>
      <c r="P730" s="238" t="s">
        <v>2821</v>
      </c>
      <c r="Q730" s="238" t="s">
        <v>249</v>
      </c>
      <c r="R730" s="240" t="s">
        <v>182</v>
      </c>
      <c r="S730" s="240" t="s">
        <v>256</v>
      </c>
      <c r="T730" s="251"/>
      <c r="U730" s="273"/>
      <c r="V730" s="274" t="s">
        <v>184</v>
      </c>
      <c r="W730" s="274" t="s">
        <v>184</v>
      </c>
      <c r="X730" s="275">
        <v>9</v>
      </c>
      <c r="Y730" s="267" t="s">
        <v>4413</v>
      </c>
      <c r="Z730" s="277" t="s">
        <v>186</v>
      </c>
      <c r="AA730" s="277"/>
      <c r="AB730" s="274"/>
      <c r="AC730" s="296"/>
      <c r="AD730" s="287"/>
      <c r="AE730" s="286"/>
      <c r="AF730" s="288"/>
      <c r="AG730" s="286"/>
      <c r="AH730" s="276"/>
      <c r="AI730" s="276"/>
      <c r="AJ730" s="274" t="s">
        <v>203</v>
      </c>
      <c r="AK730" s="274" t="s">
        <v>190</v>
      </c>
      <c r="AL730" s="274" t="s">
        <v>190</v>
      </c>
      <c r="AM730" s="260" t="s">
        <v>4414</v>
      </c>
      <c r="AN730" s="22">
        <v>182</v>
      </c>
      <c r="AO730" s="22">
        <v>0</v>
      </c>
      <c r="AP730" s="22">
        <v>0</v>
      </c>
      <c r="AQ730" s="22">
        <v>0</v>
      </c>
      <c r="AR730" s="22">
        <v>0</v>
      </c>
      <c r="AS730" s="22">
        <v>7</v>
      </c>
      <c r="AT730" s="22">
        <v>10</v>
      </c>
      <c r="AU730" s="316">
        <f t="shared" si="122"/>
        <v>199</v>
      </c>
      <c r="AV730" s="22">
        <v>190</v>
      </c>
      <c r="AW730" s="22">
        <v>0</v>
      </c>
      <c r="AX730" s="22">
        <v>0</v>
      </c>
      <c r="AY730" s="22">
        <v>0</v>
      </c>
      <c r="AZ730" s="22">
        <v>0</v>
      </c>
      <c r="BA730" s="22">
        <v>7</v>
      </c>
      <c r="BB730" s="22">
        <v>10</v>
      </c>
      <c r="BC730" s="316">
        <f t="shared" si="123"/>
        <v>207</v>
      </c>
      <c r="BD730" s="58">
        <f t="shared" si="124"/>
        <v>8</v>
      </c>
      <c r="BE730" s="58">
        <f t="shared" si="125"/>
        <v>0</v>
      </c>
      <c r="BF730" s="58">
        <f t="shared" si="126"/>
        <v>0</v>
      </c>
      <c r="BG730" s="58">
        <f t="shared" si="127"/>
        <v>0</v>
      </c>
      <c r="BH730" s="58">
        <f t="shared" si="128"/>
        <v>0</v>
      </c>
      <c r="BI730" s="58">
        <f t="shared" si="129"/>
        <v>0</v>
      </c>
      <c r="BJ730" s="58">
        <f t="shared" si="130"/>
        <v>0</v>
      </c>
      <c r="BK730" s="58">
        <f t="shared" si="131"/>
        <v>8</v>
      </c>
    </row>
    <row r="731" spans="1:63" ht="27" customHeight="1">
      <c r="A731" s="238">
        <f t="shared" si="132"/>
        <v>729</v>
      </c>
      <c r="B731" s="239"/>
      <c r="C731" s="266">
        <v>3675</v>
      </c>
      <c r="D731" s="241" t="s">
        <v>4415</v>
      </c>
      <c r="E731" s="267" t="s">
        <v>4416</v>
      </c>
      <c r="F731" s="268" t="s">
        <v>4417</v>
      </c>
      <c r="G731" s="269" t="s">
        <v>4418</v>
      </c>
      <c r="H731" s="245" t="s">
        <v>4419</v>
      </c>
      <c r="I731" s="246" t="s">
        <v>4420</v>
      </c>
      <c r="J731" s="270" t="s">
        <v>178</v>
      </c>
      <c r="K731" s="271">
        <v>36684</v>
      </c>
      <c r="L731" s="249" t="s">
        <v>179</v>
      </c>
      <c r="M731" s="272">
        <v>43755</v>
      </c>
      <c r="N731" s="272"/>
      <c r="O731" s="240"/>
      <c r="P731" s="240"/>
      <c r="Q731" s="238" t="s">
        <v>249</v>
      </c>
      <c r="R731" s="240" t="s">
        <v>182</v>
      </c>
      <c r="S731" s="240" t="s">
        <v>228</v>
      </c>
      <c r="T731" s="251"/>
      <c r="U731" s="273"/>
      <c r="V731" s="274" t="s">
        <v>184</v>
      </c>
      <c r="W731" s="274" t="s">
        <v>184</v>
      </c>
      <c r="X731" s="275">
        <v>8</v>
      </c>
      <c r="Y731" s="267" t="s">
        <v>4421</v>
      </c>
      <c r="Z731" s="274"/>
      <c r="AA731" s="277"/>
      <c r="AB731" s="274"/>
      <c r="AC731" s="296"/>
      <c r="AD731" s="287"/>
      <c r="AE731" s="287"/>
      <c r="AF731" s="288"/>
      <c r="AG731" s="286"/>
      <c r="AH731" s="276"/>
      <c r="AI731" s="276"/>
      <c r="AJ731" s="274" t="s">
        <v>203</v>
      </c>
      <c r="AK731" s="274" t="s">
        <v>190</v>
      </c>
      <c r="AL731" s="274" t="s">
        <v>190</v>
      </c>
      <c r="AM731" s="260" t="s">
        <v>4422</v>
      </c>
      <c r="AN731" s="22">
        <v>182</v>
      </c>
      <c r="AO731" s="22">
        <v>0</v>
      </c>
      <c r="AP731" s="22">
        <v>20</v>
      </c>
      <c r="AQ731" s="22">
        <v>0</v>
      </c>
      <c r="AR731" s="22">
        <v>0</v>
      </c>
      <c r="AS731" s="22">
        <v>7</v>
      </c>
      <c r="AT731" s="22">
        <v>10</v>
      </c>
      <c r="AU731" s="316">
        <f t="shared" si="122"/>
        <v>219</v>
      </c>
      <c r="AV731" s="22">
        <v>190</v>
      </c>
      <c r="AW731" s="22">
        <v>0</v>
      </c>
      <c r="AX731" s="22">
        <v>20</v>
      </c>
      <c r="AY731" s="22">
        <v>0</v>
      </c>
      <c r="AZ731" s="22">
        <v>0</v>
      </c>
      <c r="BA731" s="22">
        <v>7</v>
      </c>
      <c r="BB731" s="22">
        <v>10</v>
      </c>
      <c r="BC731" s="316">
        <f t="shared" si="123"/>
        <v>227</v>
      </c>
      <c r="BD731" s="58">
        <f t="shared" si="124"/>
        <v>8</v>
      </c>
      <c r="BE731" s="58">
        <f t="shared" si="125"/>
        <v>0</v>
      </c>
      <c r="BF731" s="58">
        <f t="shared" si="126"/>
        <v>0</v>
      </c>
      <c r="BG731" s="58">
        <f t="shared" si="127"/>
        <v>0</v>
      </c>
      <c r="BH731" s="58">
        <f t="shared" si="128"/>
        <v>0</v>
      </c>
      <c r="BI731" s="58">
        <f t="shared" si="129"/>
        <v>0</v>
      </c>
      <c r="BJ731" s="58">
        <f t="shared" si="130"/>
        <v>0</v>
      </c>
      <c r="BK731" s="58">
        <f t="shared" si="131"/>
        <v>8</v>
      </c>
    </row>
    <row r="732" spans="1:63" ht="27" customHeight="1">
      <c r="A732" s="238">
        <f t="shared" si="132"/>
        <v>730</v>
      </c>
      <c r="B732" s="239"/>
      <c r="C732" s="266">
        <v>3641</v>
      </c>
      <c r="D732" s="280" t="s">
        <v>4423</v>
      </c>
      <c r="E732" s="267" t="s">
        <v>4424</v>
      </c>
      <c r="F732" s="268" t="s">
        <v>573</v>
      </c>
      <c r="G732" s="269" t="s">
        <v>4425</v>
      </c>
      <c r="H732" s="245" t="s">
        <v>542</v>
      </c>
      <c r="I732" s="246" t="s">
        <v>4426</v>
      </c>
      <c r="J732" s="270" t="s">
        <v>178</v>
      </c>
      <c r="K732" s="271">
        <v>28887</v>
      </c>
      <c r="L732" s="249" t="s">
        <v>179</v>
      </c>
      <c r="M732" s="272">
        <v>43755</v>
      </c>
      <c r="N732" s="272"/>
      <c r="O732" s="240"/>
      <c r="P732" s="238" t="s">
        <v>318</v>
      </c>
      <c r="Q732" s="238" t="s">
        <v>249</v>
      </c>
      <c r="R732" s="240" t="s">
        <v>182</v>
      </c>
      <c r="S732" s="240" t="s">
        <v>183</v>
      </c>
      <c r="T732" s="251"/>
      <c r="U732" s="273"/>
      <c r="V732" s="274" t="s">
        <v>184</v>
      </c>
      <c r="W732" s="274" t="s">
        <v>184</v>
      </c>
      <c r="X732" s="275">
        <v>6</v>
      </c>
      <c r="Y732" s="267" t="s">
        <v>4427</v>
      </c>
      <c r="Z732" s="277"/>
      <c r="AA732" s="277" t="s">
        <v>186</v>
      </c>
      <c r="AB732" s="274"/>
      <c r="AC732" s="296"/>
      <c r="AD732" s="287"/>
      <c r="AE732" s="287"/>
      <c r="AF732" s="288"/>
      <c r="AG732" s="286"/>
      <c r="AH732" s="276"/>
      <c r="AI732" s="276"/>
      <c r="AJ732" s="274" t="s">
        <v>203</v>
      </c>
      <c r="AK732" s="274" t="s">
        <v>190</v>
      </c>
      <c r="AL732" s="274" t="s">
        <v>190</v>
      </c>
      <c r="AM732" s="260" t="s">
        <v>4428</v>
      </c>
      <c r="AN732" s="22">
        <v>182</v>
      </c>
      <c r="AO732" s="22">
        <v>0</v>
      </c>
      <c r="AP732" s="22">
        <v>20</v>
      </c>
      <c r="AQ732" s="22">
        <v>0</v>
      </c>
      <c r="AR732" s="22">
        <v>0</v>
      </c>
      <c r="AS732" s="22">
        <v>7</v>
      </c>
      <c r="AT732" s="22">
        <v>10</v>
      </c>
      <c r="AU732" s="316">
        <f t="shared" si="122"/>
        <v>219</v>
      </c>
      <c r="AV732" s="22">
        <v>190</v>
      </c>
      <c r="AW732" s="22">
        <v>0</v>
      </c>
      <c r="AX732" s="22">
        <v>20</v>
      </c>
      <c r="AY732" s="22">
        <v>0</v>
      </c>
      <c r="AZ732" s="22">
        <v>0</v>
      </c>
      <c r="BA732" s="22">
        <v>7</v>
      </c>
      <c r="BB732" s="22">
        <v>10</v>
      </c>
      <c r="BC732" s="316">
        <f t="shared" si="123"/>
        <v>227</v>
      </c>
      <c r="BD732" s="58">
        <f t="shared" si="124"/>
        <v>8</v>
      </c>
      <c r="BE732" s="58">
        <f t="shared" si="125"/>
        <v>0</v>
      </c>
      <c r="BF732" s="58">
        <f t="shared" si="126"/>
        <v>0</v>
      </c>
      <c r="BG732" s="58">
        <f t="shared" si="127"/>
        <v>0</v>
      </c>
      <c r="BH732" s="58">
        <f t="shared" si="128"/>
        <v>0</v>
      </c>
      <c r="BI732" s="58">
        <f t="shared" si="129"/>
        <v>0</v>
      </c>
      <c r="BJ732" s="58">
        <f t="shared" si="130"/>
        <v>0</v>
      </c>
      <c r="BK732" s="58">
        <f t="shared" si="131"/>
        <v>8</v>
      </c>
    </row>
    <row r="733" spans="1:63" ht="27" customHeight="1">
      <c r="A733" s="238">
        <f t="shared" si="132"/>
        <v>731</v>
      </c>
      <c r="B733" s="239"/>
      <c r="C733" s="266">
        <v>3640</v>
      </c>
      <c r="D733" s="241" t="s">
        <v>4429</v>
      </c>
      <c r="E733" s="267" t="s">
        <v>4430</v>
      </c>
      <c r="F733" s="268" t="s">
        <v>2565</v>
      </c>
      <c r="G733" s="269" t="s">
        <v>1262</v>
      </c>
      <c r="H733" s="245" t="s">
        <v>4431</v>
      </c>
      <c r="I733" s="246" t="s">
        <v>1264</v>
      </c>
      <c r="J733" s="270" t="s">
        <v>209</v>
      </c>
      <c r="K733" s="271">
        <v>33700</v>
      </c>
      <c r="L733" s="249" t="s">
        <v>179</v>
      </c>
      <c r="M733" s="272">
        <v>43753</v>
      </c>
      <c r="N733" s="272"/>
      <c r="O733" s="240"/>
      <c r="P733" s="238" t="s">
        <v>3785</v>
      </c>
      <c r="Q733" s="238" t="s">
        <v>249</v>
      </c>
      <c r="R733" s="240" t="s">
        <v>182</v>
      </c>
      <c r="S733" s="240" t="s">
        <v>228</v>
      </c>
      <c r="T733" s="251"/>
      <c r="U733" s="273"/>
      <c r="V733" s="274" t="s">
        <v>184</v>
      </c>
      <c r="W733" s="274" t="s">
        <v>184</v>
      </c>
      <c r="X733" s="275">
        <v>7</v>
      </c>
      <c r="Y733" s="267" t="s">
        <v>3915</v>
      </c>
      <c r="Z733" s="277"/>
      <c r="AA733" s="277"/>
      <c r="AB733" s="274"/>
      <c r="AC733" s="296"/>
      <c r="AD733" s="287"/>
      <c r="AE733" s="287"/>
      <c r="AF733" s="288"/>
      <c r="AG733" s="286"/>
      <c r="AH733" s="276"/>
      <c r="AI733" s="276"/>
      <c r="AJ733" s="274" t="s">
        <v>203</v>
      </c>
      <c r="AK733" s="274" t="s">
        <v>190</v>
      </c>
      <c r="AL733" s="274" t="s">
        <v>190</v>
      </c>
      <c r="AM733" s="260" t="s">
        <v>4422</v>
      </c>
      <c r="AN733" s="22">
        <v>182</v>
      </c>
      <c r="AO733" s="22">
        <v>0</v>
      </c>
      <c r="AP733" s="22">
        <v>20</v>
      </c>
      <c r="AQ733" s="22">
        <v>0</v>
      </c>
      <c r="AR733" s="22">
        <v>0</v>
      </c>
      <c r="AS733" s="22">
        <v>7</v>
      </c>
      <c r="AT733" s="22">
        <v>10</v>
      </c>
      <c r="AU733" s="316">
        <f t="shared" si="122"/>
        <v>219</v>
      </c>
      <c r="AV733" s="22">
        <v>190</v>
      </c>
      <c r="AW733" s="22">
        <v>0</v>
      </c>
      <c r="AX733" s="22">
        <v>20</v>
      </c>
      <c r="AY733" s="22">
        <v>0</v>
      </c>
      <c r="AZ733" s="22">
        <v>0</v>
      </c>
      <c r="BA733" s="22">
        <v>7</v>
      </c>
      <c r="BB733" s="22">
        <v>10</v>
      </c>
      <c r="BC733" s="316">
        <f t="shared" si="123"/>
        <v>227</v>
      </c>
      <c r="BD733" s="58">
        <f t="shared" si="124"/>
        <v>8</v>
      </c>
      <c r="BE733" s="58">
        <f t="shared" si="125"/>
        <v>0</v>
      </c>
      <c r="BF733" s="58">
        <f t="shared" si="126"/>
        <v>0</v>
      </c>
      <c r="BG733" s="58">
        <f t="shared" si="127"/>
        <v>0</v>
      </c>
      <c r="BH733" s="58">
        <f t="shared" si="128"/>
        <v>0</v>
      </c>
      <c r="BI733" s="58">
        <f t="shared" si="129"/>
        <v>0</v>
      </c>
      <c r="BJ733" s="58">
        <f t="shared" si="130"/>
        <v>0</v>
      </c>
      <c r="BK733" s="58">
        <f t="shared" si="131"/>
        <v>8</v>
      </c>
    </row>
    <row r="734" spans="1:63" ht="27" customHeight="1">
      <c r="A734" s="238">
        <f t="shared" si="132"/>
        <v>732</v>
      </c>
      <c r="B734" s="239"/>
      <c r="C734" s="266">
        <v>3174</v>
      </c>
      <c r="D734" s="241" t="s">
        <v>4432</v>
      </c>
      <c r="E734" s="267" t="s">
        <v>4433</v>
      </c>
      <c r="F734" s="268" t="s">
        <v>4434</v>
      </c>
      <c r="G734" s="269" t="s">
        <v>3117</v>
      </c>
      <c r="H734" s="245" t="s">
        <v>4435</v>
      </c>
      <c r="I734" s="246" t="s">
        <v>4436</v>
      </c>
      <c r="J734" s="270" t="s">
        <v>178</v>
      </c>
      <c r="K734" s="271">
        <v>34220</v>
      </c>
      <c r="L734" s="249" t="s">
        <v>179</v>
      </c>
      <c r="M734" s="272">
        <v>43742</v>
      </c>
      <c r="N734" s="272"/>
      <c r="O734" s="240" t="s">
        <v>4181</v>
      </c>
      <c r="P734" s="238" t="s">
        <v>282</v>
      </c>
      <c r="Q734" s="238" t="s">
        <v>249</v>
      </c>
      <c r="R734" s="240" t="s">
        <v>182</v>
      </c>
      <c r="S734" s="240" t="s">
        <v>228</v>
      </c>
      <c r="T734" s="251"/>
      <c r="U734" s="273"/>
      <c r="V734" s="274" t="s">
        <v>184</v>
      </c>
      <c r="W734" s="274" t="s">
        <v>184</v>
      </c>
      <c r="X734" s="275">
        <v>5</v>
      </c>
      <c r="Y734" s="267" t="s">
        <v>4437</v>
      </c>
      <c r="Z734" s="277"/>
      <c r="AA734" s="277" t="s">
        <v>186</v>
      </c>
      <c r="AB734" s="274"/>
      <c r="AC734" s="296"/>
      <c r="AD734" s="287"/>
      <c r="AE734" s="287"/>
      <c r="AF734" s="288"/>
      <c r="AG734" s="286"/>
      <c r="AH734" s="276"/>
      <c r="AI734" s="276"/>
      <c r="AJ734" s="274" t="s">
        <v>203</v>
      </c>
      <c r="AK734" s="274" t="s">
        <v>190</v>
      </c>
      <c r="AL734" s="274" t="s">
        <v>190</v>
      </c>
      <c r="AM734" s="260" t="s">
        <v>3859</v>
      </c>
      <c r="AN734" s="22">
        <v>182</v>
      </c>
      <c r="AO734" s="22">
        <v>0</v>
      </c>
      <c r="AP734" s="22">
        <v>20</v>
      </c>
      <c r="AQ734" s="22">
        <v>0</v>
      </c>
      <c r="AR734" s="22">
        <v>0</v>
      </c>
      <c r="AS734" s="22">
        <v>7</v>
      </c>
      <c r="AT734" s="22">
        <v>10</v>
      </c>
      <c r="AU734" s="316">
        <f t="shared" si="122"/>
        <v>219</v>
      </c>
      <c r="AV734" s="22">
        <v>190</v>
      </c>
      <c r="AW734" s="22">
        <v>0</v>
      </c>
      <c r="AX734" s="22">
        <v>20</v>
      </c>
      <c r="AY734" s="22">
        <v>0</v>
      </c>
      <c r="AZ734" s="22">
        <v>0</v>
      </c>
      <c r="BA734" s="22">
        <v>7</v>
      </c>
      <c r="BB734" s="22">
        <v>10</v>
      </c>
      <c r="BC734" s="316">
        <f t="shared" si="123"/>
        <v>227</v>
      </c>
      <c r="BD734" s="58">
        <f t="shared" si="124"/>
        <v>8</v>
      </c>
      <c r="BE734" s="58">
        <f t="shared" si="125"/>
        <v>0</v>
      </c>
      <c r="BF734" s="58">
        <f t="shared" si="126"/>
        <v>0</v>
      </c>
      <c r="BG734" s="58">
        <f t="shared" si="127"/>
        <v>0</v>
      </c>
      <c r="BH734" s="58">
        <f t="shared" si="128"/>
        <v>0</v>
      </c>
      <c r="BI734" s="58">
        <f t="shared" si="129"/>
        <v>0</v>
      </c>
      <c r="BJ734" s="58">
        <f t="shared" si="130"/>
        <v>0</v>
      </c>
      <c r="BK734" s="58">
        <f t="shared" si="131"/>
        <v>8</v>
      </c>
    </row>
    <row r="735" spans="1:63" ht="27" customHeight="1">
      <c r="A735" s="238">
        <f t="shared" si="132"/>
        <v>733</v>
      </c>
      <c r="B735" s="239"/>
      <c r="C735" s="266">
        <v>3175</v>
      </c>
      <c r="D735" s="241" t="s">
        <v>4438</v>
      </c>
      <c r="E735" s="267" t="s">
        <v>4439</v>
      </c>
      <c r="F735" s="268" t="s">
        <v>4440</v>
      </c>
      <c r="G735" s="269" t="s">
        <v>1577</v>
      </c>
      <c r="H735" s="245" t="s">
        <v>4441</v>
      </c>
      <c r="I735" s="246" t="s">
        <v>1579</v>
      </c>
      <c r="J735" s="270" t="s">
        <v>178</v>
      </c>
      <c r="K735" s="271">
        <v>33646</v>
      </c>
      <c r="L735" s="249" t="s">
        <v>179</v>
      </c>
      <c r="M735" s="272">
        <v>43742</v>
      </c>
      <c r="N735" s="272"/>
      <c r="O735" s="240" t="s">
        <v>4181</v>
      </c>
      <c r="P735" s="238" t="s">
        <v>282</v>
      </c>
      <c r="Q735" s="238" t="s">
        <v>249</v>
      </c>
      <c r="R735" s="240" t="s">
        <v>182</v>
      </c>
      <c r="S735" s="240" t="s">
        <v>4334</v>
      </c>
      <c r="T735" s="251"/>
      <c r="U735" s="273"/>
      <c r="V735" s="274" t="s">
        <v>184</v>
      </c>
      <c r="W735" s="274" t="s">
        <v>184</v>
      </c>
      <c r="X735" s="275">
        <v>7</v>
      </c>
      <c r="Y735" s="267" t="s">
        <v>4442</v>
      </c>
      <c r="Z735" s="277"/>
      <c r="AA735" s="277" t="s">
        <v>186</v>
      </c>
      <c r="AB735" s="274"/>
      <c r="AC735" s="296"/>
      <c r="AD735" s="287"/>
      <c r="AE735" s="287"/>
      <c r="AF735" s="288"/>
      <c r="AG735" s="286"/>
      <c r="AH735" s="276"/>
      <c r="AI735" s="276"/>
      <c r="AJ735" s="274" t="s">
        <v>203</v>
      </c>
      <c r="AK735" s="274" t="s">
        <v>190</v>
      </c>
      <c r="AL735" s="274" t="s">
        <v>190</v>
      </c>
      <c r="AM735" s="260" t="s">
        <v>4428</v>
      </c>
      <c r="AN735" s="22">
        <v>182</v>
      </c>
      <c r="AO735" s="22">
        <v>0</v>
      </c>
      <c r="AP735" s="22">
        <v>20</v>
      </c>
      <c r="AQ735" s="22">
        <v>0</v>
      </c>
      <c r="AR735" s="22">
        <v>0</v>
      </c>
      <c r="AS735" s="22">
        <v>7</v>
      </c>
      <c r="AT735" s="22">
        <v>10</v>
      </c>
      <c r="AU735" s="316">
        <f t="shared" si="122"/>
        <v>219</v>
      </c>
      <c r="AV735" s="22">
        <v>190</v>
      </c>
      <c r="AW735" s="22">
        <v>0</v>
      </c>
      <c r="AX735" s="22">
        <v>20</v>
      </c>
      <c r="AY735" s="22">
        <v>0</v>
      </c>
      <c r="AZ735" s="22">
        <v>0</v>
      </c>
      <c r="BA735" s="22">
        <v>7</v>
      </c>
      <c r="BB735" s="22">
        <v>10</v>
      </c>
      <c r="BC735" s="316">
        <f t="shared" si="123"/>
        <v>227</v>
      </c>
      <c r="BD735" s="58">
        <f t="shared" si="124"/>
        <v>8</v>
      </c>
      <c r="BE735" s="58">
        <f t="shared" si="125"/>
        <v>0</v>
      </c>
      <c r="BF735" s="58">
        <f t="shared" si="126"/>
        <v>0</v>
      </c>
      <c r="BG735" s="58">
        <f t="shared" si="127"/>
        <v>0</v>
      </c>
      <c r="BH735" s="58">
        <f t="shared" si="128"/>
        <v>0</v>
      </c>
      <c r="BI735" s="58">
        <f t="shared" si="129"/>
        <v>0</v>
      </c>
      <c r="BJ735" s="58">
        <f t="shared" si="130"/>
        <v>0</v>
      </c>
      <c r="BK735" s="58">
        <f t="shared" si="131"/>
        <v>8</v>
      </c>
    </row>
    <row r="736" spans="1:63" ht="27" customHeight="1">
      <c r="A736" s="238">
        <f t="shared" si="132"/>
        <v>734</v>
      </c>
      <c r="B736" s="239"/>
      <c r="C736" s="266">
        <v>3208</v>
      </c>
      <c r="D736" s="241" t="s">
        <v>4443</v>
      </c>
      <c r="E736" s="267" t="s">
        <v>4444</v>
      </c>
      <c r="F736" s="268" t="s">
        <v>443</v>
      </c>
      <c r="G736" s="269" t="s">
        <v>4445</v>
      </c>
      <c r="H736" s="245" t="s">
        <v>964</v>
      </c>
      <c r="I736" s="246" t="s">
        <v>4446</v>
      </c>
      <c r="J736" s="270" t="s">
        <v>178</v>
      </c>
      <c r="K736" s="271">
        <v>33604</v>
      </c>
      <c r="L736" s="249" t="s">
        <v>179</v>
      </c>
      <c r="M736" s="272">
        <v>43741</v>
      </c>
      <c r="N736" s="272"/>
      <c r="O736" s="240" t="s">
        <v>4181</v>
      </c>
      <c r="P736" s="238" t="s">
        <v>282</v>
      </c>
      <c r="Q736" s="238" t="s">
        <v>249</v>
      </c>
      <c r="R736" s="240" t="s">
        <v>182</v>
      </c>
      <c r="S736" s="240" t="s">
        <v>2505</v>
      </c>
      <c r="T736" s="251"/>
      <c r="U736" s="273"/>
      <c r="V736" s="274" t="s">
        <v>184</v>
      </c>
      <c r="W736" s="274" t="s">
        <v>184</v>
      </c>
      <c r="X736" s="275">
        <v>3</v>
      </c>
      <c r="Y736" s="267" t="s">
        <v>4447</v>
      </c>
      <c r="Z736" s="277"/>
      <c r="AA736" s="277" t="s">
        <v>186</v>
      </c>
      <c r="AB736" s="274"/>
      <c r="AC736" s="296"/>
      <c r="AD736" s="287"/>
      <c r="AE736" s="287"/>
      <c r="AF736" s="288"/>
      <c r="AG736" s="286"/>
      <c r="AH736" s="276"/>
      <c r="AI736" s="276"/>
      <c r="AJ736" s="274" t="s">
        <v>203</v>
      </c>
      <c r="AK736" s="274" t="s">
        <v>190</v>
      </c>
      <c r="AL736" s="274" t="s">
        <v>190</v>
      </c>
      <c r="AM736" s="260" t="s">
        <v>3859</v>
      </c>
      <c r="AN736" s="22">
        <v>182</v>
      </c>
      <c r="AO736" s="22">
        <v>0</v>
      </c>
      <c r="AP736" s="22">
        <v>20</v>
      </c>
      <c r="AQ736" s="22">
        <v>0</v>
      </c>
      <c r="AR736" s="22">
        <v>0</v>
      </c>
      <c r="AS736" s="22">
        <v>7</v>
      </c>
      <c r="AT736" s="22">
        <v>10</v>
      </c>
      <c r="AU736" s="316">
        <f t="shared" si="122"/>
        <v>219</v>
      </c>
      <c r="AV736" s="22">
        <v>190</v>
      </c>
      <c r="AW736" s="22">
        <v>0</v>
      </c>
      <c r="AX736" s="22">
        <v>20</v>
      </c>
      <c r="AY736" s="22">
        <v>0</v>
      </c>
      <c r="AZ736" s="22">
        <v>0</v>
      </c>
      <c r="BA736" s="22">
        <v>7</v>
      </c>
      <c r="BB736" s="22">
        <v>10</v>
      </c>
      <c r="BC736" s="316">
        <f t="shared" si="123"/>
        <v>227</v>
      </c>
      <c r="BD736" s="58">
        <f t="shared" si="124"/>
        <v>8</v>
      </c>
      <c r="BE736" s="58">
        <f t="shared" si="125"/>
        <v>0</v>
      </c>
      <c r="BF736" s="58">
        <f t="shared" si="126"/>
        <v>0</v>
      </c>
      <c r="BG736" s="58">
        <f t="shared" si="127"/>
        <v>0</v>
      </c>
      <c r="BH736" s="58">
        <f t="shared" si="128"/>
        <v>0</v>
      </c>
      <c r="BI736" s="58">
        <f t="shared" si="129"/>
        <v>0</v>
      </c>
      <c r="BJ736" s="58">
        <f t="shared" si="130"/>
        <v>0</v>
      </c>
      <c r="BK736" s="58">
        <f t="shared" si="131"/>
        <v>8</v>
      </c>
    </row>
    <row r="737" spans="1:63" ht="27" customHeight="1">
      <c r="A737" s="238">
        <f t="shared" si="132"/>
        <v>735</v>
      </c>
      <c r="B737" s="239"/>
      <c r="C737" s="266">
        <v>3160</v>
      </c>
      <c r="D737" s="241" t="s">
        <v>4448</v>
      </c>
      <c r="E737" s="267" t="s">
        <v>296</v>
      </c>
      <c r="F737" s="268" t="s">
        <v>4449</v>
      </c>
      <c r="G737" s="269" t="s">
        <v>1724</v>
      </c>
      <c r="H737" s="245" t="s">
        <v>4450</v>
      </c>
      <c r="I737" s="246" t="s">
        <v>1726</v>
      </c>
      <c r="J737" s="270" t="s">
        <v>178</v>
      </c>
      <c r="K737" s="271">
        <v>31788</v>
      </c>
      <c r="L737" s="249" t="s">
        <v>179</v>
      </c>
      <c r="M737" s="272">
        <v>43740</v>
      </c>
      <c r="N737" s="272"/>
      <c r="O737" s="240" t="s">
        <v>4181</v>
      </c>
      <c r="P737" s="238" t="s">
        <v>282</v>
      </c>
      <c r="Q737" s="238" t="s">
        <v>249</v>
      </c>
      <c r="R737" s="240" t="s">
        <v>182</v>
      </c>
      <c r="S737" s="240" t="s">
        <v>727</v>
      </c>
      <c r="T737" s="251"/>
      <c r="U737" s="273"/>
      <c r="V737" s="274" t="s">
        <v>184</v>
      </c>
      <c r="W737" s="274" t="s">
        <v>184</v>
      </c>
      <c r="X737" s="275">
        <v>6</v>
      </c>
      <c r="Y737" s="267" t="s">
        <v>4451</v>
      </c>
      <c r="Z737" s="277"/>
      <c r="AA737" s="277" t="s">
        <v>186</v>
      </c>
      <c r="AB737" s="274"/>
      <c r="AC737" s="296"/>
      <c r="AD737" s="287"/>
      <c r="AE737" s="287"/>
      <c r="AF737" s="288"/>
      <c r="AG737" s="286"/>
      <c r="AH737" s="276"/>
      <c r="AI737" s="276"/>
      <c r="AJ737" s="274" t="s">
        <v>203</v>
      </c>
      <c r="AK737" s="274" t="s">
        <v>190</v>
      </c>
      <c r="AL737" s="274" t="s">
        <v>190</v>
      </c>
      <c r="AM737" s="260" t="s">
        <v>3916</v>
      </c>
      <c r="AN737" s="22">
        <v>182</v>
      </c>
      <c r="AO737" s="22">
        <v>0</v>
      </c>
      <c r="AP737" s="22">
        <v>20</v>
      </c>
      <c r="AQ737" s="22">
        <v>0</v>
      </c>
      <c r="AR737" s="22">
        <v>0</v>
      </c>
      <c r="AS737" s="22">
        <v>7</v>
      </c>
      <c r="AT737" s="22">
        <v>10</v>
      </c>
      <c r="AU737" s="316">
        <f t="shared" si="122"/>
        <v>219</v>
      </c>
      <c r="AV737" s="22">
        <v>190</v>
      </c>
      <c r="AW737" s="22">
        <v>0</v>
      </c>
      <c r="AX737" s="22">
        <v>20</v>
      </c>
      <c r="AY737" s="22">
        <v>0</v>
      </c>
      <c r="AZ737" s="22">
        <v>0</v>
      </c>
      <c r="BA737" s="22">
        <v>7</v>
      </c>
      <c r="BB737" s="22">
        <v>10</v>
      </c>
      <c r="BC737" s="316">
        <f t="shared" si="123"/>
        <v>227</v>
      </c>
      <c r="BD737" s="58">
        <f t="shared" si="124"/>
        <v>8</v>
      </c>
      <c r="BE737" s="58">
        <f t="shared" si="125"/>
        <v>0</v>
      </c>
      <c r="BF737" s="58">
        <f t="shared" si="126"/>
        <v>0</v>
      </c>
      <c r="BG737" s="58">
        <f t="shared" si="127"/>
        <v>0</v>
      </c>
      <c r="BH737" s="58">
        <f t="shared" si="128"/>
        <v>0</v>
      </c>
      <c r="BI737" s="58">
        <f t="shared" si="129"/>
        <v>0</v>
      </c>
      <c r="BJ737" s="58">
        <f t="shared" si="130"/>
        <v>0</v>
      </c>
      <c r="BK737" s="58">
        <f t="shared" si="131"/>
        <v>8</v>
      </c>
    </row>
    <row r="738" spans="1:63" ht="27" customHeight="1">
      <c r="A738" s="238">
        <f t="shared" si="132"/>
        <v>736</v>
      </c>
      <c r="B738" s="239"/>
      <c r="C738" s="266">
        <v>3296</v>
      </c>
      <c r="D738" s="241" t="s">
        <v>4452</v>
      </c>
      <c r="E738" s="267" t="s">
        <v>4453</v>
      </c>
      <c r="F738" s="268" t="s">
        <v>4454</v>
      </c>
      <c r="G738" s="269" t="s">
        <v>4455</v>
      </c>
      <c r="H738" s="245" t="s">
        <v>4456</v>
      </c>
      <c r="I738" s="246" t="s">
        <v>4457</v>
      </c>
      <c r="J738" s="270" t="s">
        <v>178</v>
      </c>
      <c r="K738" s="271">
        <v>33072</v>
      </c>
      <c r="L738" s="249" t="s">
        <v>179</v>
      </c>
      <c r="M738" s="272">
        <v>43746</v>
      </c>
      <c r="N738" s="272"/>
      <c r="O738" s="240" t="s">
        <v>4081</v>
      </c>
      <c r="P738" s="238" t="s">
        <v>318</v>
      </c>
      <c r="Q738" s="238" t="s">
        <v>249</v>
      </c>
      <c r="R738" s="240" t="s">
        <v>182</v>
      </c>
      <c r="S738" s="240" t="s">
        <v>183</v>
      </c>
      <c r="T738" s="251"/>
      <c r="U738" s="273"/>
      <c r="V738" s="274" t="s">
        <v>184</v>
      </c>
      <c r="W738" s="274" t="s">
        <v>184</v>
      </c>
      <c r="X738" s="275">
        <v>7</v>
      </c>
      <c r="Y738" s="267" t="s">
        <v>4458</v>
      </c>
      <c r="Z738" s="277"/>
      <c r="AA738" s="277" t="s">
        <v>186</v>
      </c>
      <c r="AB738" s="277"/>
      <c r="AC738" s="296"/>
      <c r="AD738" s="287"/>
      <c r="AE738" s="287"/>
      <c r="AF738" s="288"/>
      <c r="AG738" s="286"/>
      <c r="AH738" s="276"/>
      <c r="AI738" s="276"/>
      <c r="AJ738" s="274" t="s">
        <v>203</v>
      </c>
      <c r="AK738" s="274" t="s">
        <v>190</v>
      </c>
      <c r="AL738" s="274" t="s">
        <v>190</v>
      </c>
      <c r="AM738" s="260" t="s">
        <v>241</v>
      </c>
      <c r="AN738" s="22">
        <v>182</v>
      </c>
      <c r="AO738" s="22">
        <v>0</v>
      </c>
      <c r="AP738" s="22">
        <v>20</v>
      </c>
      <c r="AQ738" s="22">
        <v>0</v>
      </c>
      <c r="AR738" s="22">
        <v>0</v>
      </c>
      <c r="AS738" s="22">
        <v>7</v>
      </c>
      <c r="AT738" s="22">
        <v>10</v>
      </c>
      <c r="AU738" s="316">
        <f t="shared" si="122"/>
        <v>219</v>
      </c>
      <c r="AV738" s="22">
        <v>190</v>
      </c>
      <c r="AW738" s="22">
        <v>0</v>
      </c>
      <c r="AX738" s="22">
        <v>20</v>
      </c>
      <c r="AY738" s="22">
        <v>0</v>
      </c>
      <c r="AZ738" s="22">
        <v>0</v>
      </c>
      <c r="BA738" s="22">
        <v>7</v>
      </c>
      <c r="BB738" s="22">
        <v>10</v>
      </c>
      <c r="BC738" s="316">
        <f t="shared" si="123"/>
        <v>227</v>
      </c>
      <c r="BD738" s="58">
        <f t="shared" si="124"/>
        <v>8</v>
      </c>
      <c r="BE738" s="58">
        <f t="shared" si="125"/>
        <v>0</v>
      </c>
      <c r="BF738" s="58">
        <f t="shared" si="126"/>
        <v>0</v>
      </c>
      <c r="BG738" s="58">
        <f t="shared" si="127"/>
        <v>0</v>
      </c>
      <c r="BH738" s="58">
        <f t="shared" si="128"/>
        <v>0</v>
      </c>
      <c r="BI738" s="58">
        <f t="shared" si="129"/>
        <v>0</v>
      </c>
      <c r="BJ738" s="58">
        <f t="shared" si="130"/>
        <v>0</v>
      </c>
      <c r="BK738" s="58">
        <f t="shared" si="131"/>
        <v>8</v>
      </c>
    </row>
    <row r="739" spans="1:63" ht="27" customHeight="1">
      <c r="A739" s="238">
        <f t="shared" si="132"/>
        <v>737</v>
      </c>
      <c r="B739" s="239"/>
      <c r="C739" s="266">
        <v>3510</v>
      </c>
      <c r="D739" s="241" t="s">
        <v>4459</v>
      </c>
      <c r="E739" s="267" t="s">
        <v>4460</v>
      </c>
      <c r="F739" s="268" t="s">
        <v>407</v>
      </c>
      <c r="G739" s="269" t="s">
        <v>1724</v>
      </c>
      <c r="H739" s="245" t="s">
        <v>609</v>
      </c>
      <c r="I739" s="246" t="s">
        <v>1726</v>
      </c>
      <c r="J739" s="270" t="s">
        <v>178</v>
      </c>
      <c r="K739" s="271">
        <v>35432</v>
      </c>
      <c r="L739" s="249" t="s">
        <v>179</v>
      </c>
      <c r="M739" s="272">
        <v>43746</v>
      </c>
      <c r="N739" s="272"/>
      <c r="O739" s="240" t="s">
        <v>3978</v>
      </c>
      <c r="P739" s="238" t="s">
        <v>3754</v>
      </c>
      <c r="Q739" s="238" t="s">
        <v>249</v>
      </c>
      <c r="R739" s="240" t="s">
        <v>182</v>
      </c>
      <c r="S739" s="240" t="s">
        <v>228</v>
      </c>
      <c r="T739" s="251"/>
      <c r="U739" s="273"/>
      <c r="V739" s="274" t="s">
        <v>184</v>
      </c>
      <c r="W739" s="274" t="s">
        <v>184</v>
      </c>
      <c r="X739" s="275">
        <v>3</v>
      </c>
      <c r="Y739" s="267" t="s">
        <v>4461</v>
      </c>
      <c r="Z739" s="277"/>
      <c r="AA739" s="277"/>
      <c r="AB739" s="274"/>
      <c r="AC739" s="296"/>
      <c r="AD739" s="287"/>
      <c r="AE739" s="287"/>
      <c r="AF739" s="288"/>
      <c r="AG739" s="286"/>
      <c r="AH739" s="276"/>
      <c r="AI739" s="276"/>
      <c r="AJ739" s="274" t="s">
        <v>203</v>
      </c>
      <c r="AK739" s="274" t="s">
        <v>190</v>
      </c>
      <c r="AL739" s="274" t="s">
        <v>190</v>
      </c>
      <c r="AM739" s="260" t="s">
        <v>3859</v>
      </c>
      <c r="AN739" s="22">
        <v>182</v>
      </c>
      <c r="AO739" s="22">
        <v>0</v>
      </c>
      <c r="AP739" s="22">
        <v>20</v>
      </c>
      <c r="AQ739" s="22">
        <v>0</v>
      </c>
      <c r="AR739" s="22">
        <v>0</v>
      </c>
      <c r="AS739" s="22">
        <v>7</v>
      </c>
      <c r="AT739" s="22">
        <v>10</v>
      </c>
      <c r="AU739" s="316">
        <f t="shared" si="122"/>
        <v>219</v>
      </c>
      <c r="AV739" s="22">
        <v>190</v>
      </c>
      <c r="AW739" s="22">
        <v>0</v>
      </c>
      <c r="AX739" s="22">
        <v>20</v>
      </c>
      <c r="AY739" s="22">
        <v>0</v>
      </c>
      <c r="AZ739" s="22">
        <v>0</v>
      </c>
      <c r="BA739" s="22">
        <v>7</v>
      </c>
      <c r="BB739" s="22">
        <v>10</v>
      </c>
      <c r="BC739" s="316">
        <f t="shared" si="123"/>
        <v>227</v>
      </c>
      <c r="BD739" s="58">
        <f t="shared" si="124"/>
        <v>8</v>
      </c>
      <c r="BE739" s="58">
        <f t="shared" si="125"/>
        <v>0</v>
      </c>
      <c r="BF739" s="58">
        <f t="shared" si="126"/>
        <v>0</v>
      </c>
      <c r="BG739" s="58">
        <f t="shared" si="127"/>
        <v>0</v>
      </c>
      <c r="BH739" s="58">
        <f t="shared" si="128"/>
        <v>0</v>
      </c>
      <c r="BI739" s="58">
        <f t="shared" si="129"/>
        <v>0</v>
      </c>
      <c r="BJ739" s="58">
        <f t="shared" si="130"/>
        <v>0</v>
      </c>
      <c r="BK739" s="58">
        <f t="shared" si="131"/>
        <v>8</v>
      </c>
    </row>
    <row r="740" spans="1:63" ht="27" customHeight="1">
      <c r="A740" s="238">
        <f t="shared" si="132"/>
        <v>738</v>
      </c>
      <c r="B740" s="239"/>
      <c r="C740" s="266">
        <v>3236</v>
      </c>
      <c r="D740" s="241" t="s">
        <v>4462</v>
      </c>
      <c r="E740" s="267" t="s">
        <v>4463</v>
      </c>
      <c r="F740" s="268" t="s">
        <v>4464</v>
      </c>
      <c r="G740" s="269" t="s">
        <v>4185</v>
      </c>
      <c r="H740" s="245" t="s">
        <v>4465</v>
      </c>
      <c r="I740" s="246" t="s">
        <v>4186</v>
      </c>
      <c r="J740" s="270" t="s">
        <v>178</v>
      </c>
      <c r="K740" s="271">
        <v>27397</v>
      </c>
      <c r="L740" s="249" t="s">
        <v>179</v>
      </c>
      <c r="M740" s="272">
        <v>43746</v>
      </c>
      <c r="N740" s="272"/>
      <c r="O740" s="240"/>
      <c r="P740" s="238" t="s">
        <v>3754</v>
      </c>
      <c r="Q740" s="238" t="s">
        <v>249</v>
      </c>
      <c r="R740" s="240" t="s">
        <v>182</v>
      </c>
      <c r="S740" s="240" t="s">
        <v>219</v>
      </c>
      <c r="T740" s="251"/>
      <c r="U740" s="273"/>
      <c r="V740" s="274" t="s">
        <v>184</v>
      </c>
      <c r="W740" s="274" t="s">
        <v>184</v>
      </c>
      <c r="X740" s="275">
        <v>7</v>
      </c>
      <c r="Y740" s="267" t="s">
        <v>4466</v>
      </c>
      <c r="Z740" s="277"/>
      <c r="AA740" s="277" t="s">
        <v>186</v>
      </c>
      <c r="AB740" s="274"/>
      <c r="AC740" s="296"/>
      <c r="AD740" s="287"/>
      <c r="AE740" s="287"/>
      <c r="AF740" s="288"/>
      <c r="AG740" s="286"/>
      <c r="AH740" s="276"/>
      <c r="AI740" s="276"/>
      <c r="AJ740" s="274" t="s">
        <v>190</v>
      </c>
      <c r="AK740" s="274" t="s">
        <v>190</v>
      </c>
      <c r="AL740" s="274" t="s">
        <v>190</v>
      </c>
      <c r="AM740" s="260" t="s">
        <v>241</v>
      </c>
      <c r="AN740" s="22">
        <v>182</v>
      </c>
      <c r="AO740" s="22">
        <v>0</v>
      </c>
      <c r="AP740" s="22">
        <v>20</v>
      </c>
      <c r="AQ740" s="22">
        <v>0</v>
      </c>
      <c r="AR740" s="22">
        <v>0</v>
      </c>
      <c r="AS740" s="22">
        <v>7</v>
      </c>
      <c r="AT740" s="22">
        <v>10</v>
      </c>
      <c r="AU740" s="316">
        <f t="shared" si="122"/>
        <v>219</v>
      </c>
      <c r="AV740" s="22">
        <v>190</v>
      </c>
      <c r="AW740" s="22">
        <v>0</v>
      </c>
      <c r="AX740" s="22">
        <v>20</v>
      </c>
      <c r="AY740" s="22">
        <v>0</v>
      </c>
      <c r="AZ740" s="22">
        <v>0</v>
      </c>
      <c r="BA740" s="22">
        <v>7</v>
      </c>
      <c r="BB740" s="22">
        <v>10</v>
      </c>
      <c r="BC740" s="316">
        <f t="shared" si="123"/>
        <v>227</v>
      </c>
      <c r="BD740" s="58">
        <f t="shared" si="124"/>
        <v>8</v>
      </c>
      <c r="BE740" s="58">
        <f t="shared" si="125"/>
        <v>0</v>
      </c>
      <c r="BF740" s="58">
        <f t="shared" si="126"/>
        <v>0</v>
      </c>
      <c r="BG740" s="58">
        <f t="shared" si="127"/>
        <v>0</v>
      </c>
      <c r="BH740" s="58">
        <f t="shared" si="128"/>
        <v>0</v>
      </c>
      <c r="BI740" s="58">
        <f t="shared" si="129"/>
        <v>0</v>
      </c>
      <c r="BJ740" s="58">
        <f t="shared" si="130"/>
        <v>0</v>
      </c>
      <c r="BK740" s="58">
        <f t="shared" si="131"/>
        <v>8</v>
      </c>
    </row>
    <row r="741" spans="1:63" ht="27" customHeight="1">
      <c r="A741" s="238">
        <f t="shared" si="132"/>
        <v>739</v>
      </c>
      <c r="B741" s="239"/>
      <c r="C741" s="266">
        <v>3556</v>
      </c>
      <c r="D741" s="241" t="s">
        <v>4467</v>
      </c>
      <c r="E741" s="267" t="s">
        <v>4468</v>
      </c>
      <c r="F741" s="268" t="s">
        <v>4469</v>
      </c>
      <c r="G741" s="269" t="s">
        <v>4470</v>
      </c>
      <c r="H741" s="245" t="s">
        <v>4471</v>
      </c>
      <c r="I741" s="246" t="s">
        <v>4472</v>
      </c>
      <c r="J741" s="270" t="s">
        <v>178</v>
      </c>
      <c r="K741" s="271">
        <v>32970</v>
      </c>
      <c r="L741" s="249" t="s">
        <v>179</v>
      </c>
      <c r="M741" s="272">
        <v>43748</v>
      </c>
      <c r="N741" s="272"/>
      <c r="O741" s="240" t="s">
        <v>3978</v>
      </c>
      <c r="P741" s="238" t="s">
        <v>3754</v>
      </c>
      <c r="Q741" s="238" t="s">
        <v>249</v>
      </c>
      <c r="R741" s="240" t="s">
        <v>182</v>
      </c>
      <c r="S741" s="240" t="s">
        <v>183</v>
      </c>
      <c r="T741" s="251"/>
      <c r="U741" s="273"/>
      <c r="V741" s="274" t="s">
        <v>184</v>
      </c>
      <c r="W741" s="274" t="s">
        <v>184</v>
      </c>
      <c r="X741" s="275">
        <v>2</v>
      </c>
      <c r="Y741" s="267" t="s">
        <v>4473</v>
      </c>
      <c r="Z741" s="277"/>
      <c r="AA741" s="277"/>
      <c r="AB741" s="274"/>
      <c r="AC741" s="296"/>
      <c r="AD741" s="287"/>
      <c r="AE741" s="287"/>
      <c r="AF741" s="288"/>
      <c r="AG741" s="286"/>
      <c r="AH741" s="276"/>
      <c r="AI741" s="276"/>
      <c r="AJ741" s="274" t="s">
        <v>203</v>
      </c>
      <c r="AK741" s="274" t="s">
        <v>190</v>
      </c>
      <c r="AL741" s="274" t="s">
        <v>190</v>
      </c>
      <c r="AM741" s="260" t="s">
        <v>4474</v>
      </c>
      <c r="AN741" s="22">
        <v>182</v>
      </c>
      <c r="AO741" s="22">
        <v>0</v>
      </c>
      <c r="AP741" s="22">
        <v>0</v>
      </c>
      <c r="AQ741" s="22">
        <v>0</v>
      </c>
      <c r="AR741" s="22">
        <v>0</v>
      </c>
      <c r="AS741" s="22">
        <v>7</v>
      </c>
      <c r="AT741" s="22">
        <v>10</v>
      </c>
      <c r="AU741" s="316">
        <f t="shared" si="122"/>
        <v>199</v>
      </c>
      <c r="AV741" s="22">
        <v>190</v>
      </c>
      <c r="AW741" s="22">
        <v>0</v>
      </c>
      <c r="AX741" s="22">
        <v>0</v>
      </c>
      <c r="AY741" s="22">
        <v>0</v>
      </c>
      <c r="AZ741" s="22">
        <v>0</v>
      </c>
      <c r="BA741" s="22">
        <v>7</v>
      </c>
      <c r="BB741" s="22">
        <v>10</v>
      </c>
      <c r="BC741" s="316">
        <f t="shared" si="123"/>
        <v>207</v>
      </c>
      <c r="BD741" s="58">
        <f t="shared" si="124"/>
        <v>8</v>
      </c>
      <c r="BE741" s="58">
        <f t="shared" si="125"/>
        <v>0</v>
      </c>
      <c r="BF741" s="58">
        <f t="shared" si="126"/>
        <v>0</v>
      </c>
      <c r="BG741" s="58">
        <f t="shared" si="127"/>
        <v>0</v>
      </c>
      <c r="BH741" s="58">
        <f t="shared" si="128"/>
        <v>0</v>
      </c>
      <c r="BI741" s="58">
        <f t="shared" si="129"/>
        <v>0</v>
      </c>
      <c r="BJ741" s="58">
        <f t="shared" si="130"/>
        <v>0</v>
      </c>
      <c r="BK741" s="58">
        <f t="shared" si="131"/>
        <v>8</v>
      </c>
    </row>
    <row r="742" spans="1:63" ht="27" customHeight="1">
      <c r="A742" s="238">
        <f t="shared" si="132"/>
        <v>740</v>
      </c>
      <c r="B742" s="239"/>
      <c r="C742" s="266">
        <v>3611</v>
      </c>
      <c r="D742" s="241" t="s">
        <v>4475</v>
      </c>
      <c r="E742" s="267" t="s">
        <v>4476</v>
      </c>
      <c r="F742" s="268" t="s">
        <v>4477</v>
      </c>
      <c r="G742" s="269" t="s">
        <v>1313</v>
      </c>
      <c r="H742" s="245" t="s">
        <v>4478</v>
      </c>
      <c r="I742" s="246" t="s">
        <v>1315</v>
      </c>
      <c r="J742" s="270" t="s">
        <v>178</v>
      </c>
      <c r="K742" s="271">
        <v>31978</v>
      </c>
      <c r="L742" s="249" t="s">
        <v>179</v>
      </c>
      <c r="M742" s="272">
        <v>43750</v>
      </c>
      <c r="N742" s="272"/>
      <c r="O742" s="240" t="s">
        <v>4081</v>
      </c>
      <c r="P742" s="238" t="s">
        <v>318</v>
      </c>
      <c r="Q742" s="238" t="s">
        <v>249</v>
      </c>
      <c r="R742" s="240" t="s">
        <v>182</v>
      </c>
      <c r="S742" s="240" t="s">
        <v>228</v>
      </c>
      <c r="T742" s="251"/>
      <c r="U742" s="273"/>
      <c r="V742" s="274" t="s">
        <v>184</v>
      </c>
      <c r="W742" s="274">
        <v>301</v>
      </c>
      <c r="X742" s="275">
        <v>5</v>
      </c>
      <c r="Y742" s="267" t="s">
        <v>4479</v>
      </c>
      <c r="Z742" s="277"/>
      <c r="AA742" s="277"/>
      <c r="AB742" s="274"/>
      <c r="AC742" s="296"/>
      <c r="AD742" s="287"/>
      <c r="AE742" s="287"/>
      <c r="AF742" s="288"/>
      <c r="AG742" s="286"/>
      <c r="AH742" s="276"/>
      <c r="AI742" s="276"/>
      <c r="AJ742" s="274" t="s">
        <v>190</v>
      </c>
      <c r="AK742" s="274" t="s">
        <v>190</v>
      </c>
      <c r="AL742" s="274" t="s">
        <v>190</v>
      </c>
      <c r="AM742" s="289" t="s">
        <v>3967</v>
      </c>
      <c r="AN742" s="22">
        <v>182</v>
      </c>
      <c r="AO742" s="22">
        <v>0</v>
      </c>
      <c r="AP742" s="22">
        <v>20</v>
      </c>
      <c r="AQ742" s="22">
        <v>0</v>
      </c>
      <c r="AR742" s="22">
        <v>0</v>
      </c>
      <c r="AS742" s="22">
        <v>7</v>
      </c>
      <c r="AT742" s="22">
        <v>10</v>
      </c>
      <c r="AU742" s="316">
        <f t="shared" si="122"/>
        <v>219</v>
      </c>
      <c r="AV742" s="22">
        <v>190</v>
      </c>
      <c r="AW742" s="22">
        <v>0</v>
      </c>
      <c r="AX742" s="22">
        <v>20</v>
      </c>
      <c r="AY742" s="22">
        <v>0</v>
      </c>
      <c r="AZ742" s="22">
        <v>0</v>
      </c>
      <c r="BA742" s="22">
        <v>7</v>
      </c>
      <c r="BB742" s="22">
        <v>10</v>
      </c>
      <c r="BC742" s="316">
        <f t="shared" si="123"/>
        <v>227</v>
      </c>
      <c r="BD742" s="58">
        <f t="shared" si="124"/>
        <v>8</v>
      </c>
      <c r="BE742" s="58">
        <f t="shared" si="125"/>
        <v>0</v>
      </c>
      <c r="BF742" s="58">
        <f t="shared" si="126"/>
        <v>0</v>
      </c>
      <c r="BG742" s="58">
        <f t="shared" si="127"/>
        <v>0</v>
      </c>
      <c r="BH742" s="58">
        <f t="shared" si="128"/>
        <v>0</v>
      </c>
      <c r="BI742" s="58">
        <f t="shared" si="129"/>
        <v>0</v>
      </c>
      <c r="BJ742" s="58">
        <f t="shared" si="130"/>
        <v>0</v>
      </c>
      <c r="BK742" s="58">
        <f t="shared" si="131"/>
        <v>8</v>
      </c>
    </row>
    <row r="743" spans="1:63" ht="27" customHeight="1">
      <c r="A743" s="238">
        <f t="shared" si="132"/>
        <v>741</v>
      </c>
      <c r="B743" s="239"/>
      <c r="C743" s="266">
        <v>3149</v>
      </c>
      <c r="D743" s="241" t="s">
        <v>4480</v>
      </c>
      <c r="E743" s="267" t="s">
        <v>4481</v>
      </c>
      <c r="F743" s="268" t="s">
        <v>4482</v>
      </c>
      <c r="G743" s="269" t="s">
        <v>4483</v>
      </c>
      <c r="H743" s="245" t="s">
        <v>4484</v>
      </c>
      <c r="I743" s="246" t="s">
        <v>4485</v>
      </c>
      <c r="J743" s="270" t="s">
        <v>209</v>
      </c>
      <c r="K743" s="271">
        <v>33456</v>
      </c>
      <c r="L743" s="249" t="s">
        <v>179</v>
      </c>
      <c r="M743" s="272">
        <v>43740</v>
      </c>
      <c r="N743" s="272"/>
      <c r="O743" s="240" t="s">
        <v>4081</v>
      </c>
      <c r="P743" s="238" t="s">
        <v>318</v>
      </c>
      <c r="Q743" s="238" t="s">
        <v>249</v>
      </c>
      <c r="R743" s="240" t="s">
        <v>182</v>
      </c>
      <c r="S743" s="240" t="s">
        <v>2505</v>
      </c>
      <c r="T743" s="251"/>
      <c r="U743" s="273"/>
      <c r="V743" s="274" t="s">
        <v>184</v>
      </c>
      <c r="W743" s="274" t="s">
        <v>184</v>
      </c>
      <c r="X743" s="275">
        <v>6</v>
      </c>
      <c r="Y743" s="267" t="s">
        <v>4486</v>
      </c>
      <c r="Z743" s="277"/>
      <c r="AA743" s="277" t="s">
        <v>186</v>
      </c>
      <c r="AB743" s="274"/>
      <c r="AC743" s="296"/>
      <c r="AD743" s="287"/>
      <c r="AE743" s="287"/>
      <c r="AF743" s="287"/>
      <c r="AG743" s="287"/>
      <c r="AH743" s="276"/>
      <c r="AI743" s="276"/>
      <c r="AJ743" s="274" t="s">
        <v>203</v>
      </c>
      <c r="AK743" s="274" t="s">
        <v>190</v>
      </c>
      <c r="AL743" s="274" t="s">
        <v>190</v>
      </c>
      <c r="AM743" s="260" t="s">
        <v>3859</v>
      </c>
      <c r="AN743" s="22">
        <v>182</v>
      </c>
      <c r="AO743" s="22">
        <v>0</v>
      </c>
      <c r="AP743" s="22">
        <v>20</v>
      </c>
      <c r="AQ743" s="22">
        <v>0</v>
      </c>
      <c r="AR743" s="22">
        <v>0</v>
      </c>
      <c r="AS743" s="22">
        <v>7</v>
      </c>
      <c r="AT743" s="22">
        <v>10</v>
      </c>
      <c r="AU743" s="316">
        <f t="shared" si="122"/>
        <v>219</v>
      </c>
      <c r="AV743" s="22">
        <v>190</v>
      </c>
      <c r="AW743" s="22">
        <v>0</v>
      </c>
      <c r="AX743" s="22">
        <v>20</v>
      </c>
      <c r="AY743" s="22">
        <v>0</v>
      </c>
      <c r="AZ743" s="22">
        <v>0</v>
      </c>
      <c r="BA743" s="22">
        <v>7</v>
      </c>
      <c r="BB743" s="22">
        <v>10</v>
      </c>
      <c r="BC743" s="316">
        <f t="shared" si="123"/>
        <v>227</v>
      </c>
      <c r="BD743" s="58">
        <f t="shared" si="124"/>
        <v>8</v>
      </c>
      <c r="BE743" s="58">
        <f t="shared" si="125"/>
        <v>0</v>
      </c>
      <c r="BF743" s="58">
        <f t="shared" si="126"/>
        <v>0</v>
      </c>
      <c r="BG743" s="58">
        <f t="shared" si="127"/>
        <v>0</v>
      </c>
      <c r="BH743" s="58">
        <f t="shared" si="128"/>
        <v>0</v>
      </c>
      <c r="BI743" s="58">
        <f t="shared" si="129"/>
        <v>0</v>
      </c>
      <c r="BJ743" s="58">
        <f t="shared" si="130"/>
        <v>0</v>
      </c>
      <c r="BK743" s="58">
        <f t="shared" si="131"/>
        <v>8</v>
      </c>
    </row>
    <row r="744" spans="1:63" ht="27" customHeight="1">
      <c r="A744" s="238">
        <f t="shared" si="132"/>
        <v>742</v>
      </c>
      <c r="B744" s="239"/>
      <c r="C744" s="266">
        <v>3223</v>
      </c>
      <c r="D744" s="284">
        <v>0</v>
      </c>
      <c r="E744" s="267" t="s">
        <v>4487</v>
      </c>
      <c r="F744" s="268" t="s">
        <v>4488</v>
      </c>
      <c r="G744" s="269" t="s">
        <v>1692</v>
      </c>
      <c r="H744" s="245" t="s">
        <v>4489</v>
      </c>
      <c r="I744" s="246" t="s">
        <v>99</v>
      </c>
      <c r="J744" s="270" t="s">
        <v>178</v>
      </c>
      <c r="K744" s="271">
        <v>31888</v>
      </c>
      <c r="L744" s="249" t="s">
        <v>179</v>
      </c>
      <c r="M744" s="272">
        <v>43742</v>
      </c>
      <c r="N744" s="272"/>
      <c r="O744" s="240" t="s">
        <v>4081</v>
      </c>
      <c r="P744" s="238" t="s">
        <v>318</v>
      </c>
      <c r="Q744" s="238" t="s">
        <v>249</v>
      </c>
      <c r="R744" s="240" t="s">
        <v>182</v>
      </c>
      <c r="S744" s="240" t="s">
        <v>1206</v>
      </c>
      <c r="T744" s="251"/>
      <c r="U744" s="273"/>
      <c r="V744" s="274" t="s">
        <v>184</v>
      </c>
      <c r="W744" s="274" t="s">
        <v>184</v>
      </c>
      <c r="X744" s="275">
        <v>4</v>
      </c>
      <c r="Y744" s="267" t="s">
        <v>4279</v>
      </c>
      <c r="Z744" s="277"/>
      <c r="AA744" s="277"/>
      <c r="AB744" s="274"/>
      <c r="AC744" s="296"/>
      <c r="AD744" s="287"/>
      <c r="AE744" s="287"/>
      <c r="AF744" s="288"/>
      <c r="AG744" s="286"/>
      <c r="AH744" s="276"/>
      <c r="AI744" s="276"/>
      <c r="AJ744" s="274" t="s">
        <v>203</v>
      </c>
      <c r="AK744" s="274" t="s">
        <v>190</v>
      </c>
      <c r="AL744" s="274" t="s">
        <v>190</v>
      </c>
      <c r="AM744" s="260" t="s">
        <v>3859</v>
      </c>
      <c r="AN744" s="22">
        <v>182</v>
      </c>
      <c r="AO744" s="22">
        <v>0</v>
      </c>
      <c r="AP744" s="22">
        <v>20</v>
      </c>
      <c r="AQ744" s="22">
        <v>0</v>
      </c>
      <c r="AR744" s="22">
        <v>0</v>
      </c>
      <c r="AS744" s="22">
        <v>7</v>
      </c>
      <c r="AT744" s="22">
        <v>10</v>
      </c>
      <c r="AU744" s="316">
        <f t="shared" si="122"/>
        <v>219</v>
      </c>
      <c r="AV744" s="22">
        <v>190</v>
      </c>
      <c r="AW744" s="22">
        <v>0</v>
      </c>
      <c r="AX744" s="22">
        <v>20</v>
      </c>
      <c r="AY744" s="22">
        <v>0</v>
      </c>
      <c r="AZ744" s="22">
        <v>0</v>
      </c>
      <c r="BA744" s="22">
        <v>7</v>
      </c>
      <c r="BB744" s="22">
        <v>10</v>
      </c>
      <c r="BC744" s="316">
        <f t="shared" si="123"/>
        <v>227</v>
      </c>
      <c r="BD744" s="58">
        <f t="shared" si="124"/>
        <v>8</v>
      </c>
      <c r="BE744" s="58">
        <f t="shared" si="125"/>
        <v>0</v>
      </c>
      <c r="BF744" s="58">
        <f t="shared" si="126"/>
        <v>0</v>
      </c>
      <c r="BG744" s="58">
        <f t="shared" si="127"/>
        <v>0</v>
      </c>
      <c r="BH744" s="58">
        <f t="shared" si="128"/>
        <v>0</v>
      </c>
      <c r="BI744" s="58">
        <f t="shared" si="129"/>
        <v>0</v>
      </c>
      <c r="BJ744" s="58">
        <f t="shared" si="130"/>
        <v>0</v>
      </c>
      <c r="BK744" s="58">
        <f t="shared" si="131"/>
        <v>8</v>
      </c>
    </row>
    <row r="745" spans="1:63" ht="27" customHeight="1">
      <c r="A745" s="238">
        <f t="shared" si="132"/>
        <v>743</v>
      </c>
      <c r="B745" s="239"/>
      <c r="C745" s="266">
        <v>3306</v>
      </c>
      <c r="D745" s="241" t="s">
        <v>4490</v>
      </c>
      <c r="E745" s="267" t="s">
        <v>4491</v>
      </c>
      <c r="F745" s="268" t="s">
        <v>4454</v>
      </c>
      <c r="G745" s="269" t="s">
        <v>580</v>
      </c>
      <c r="H745" s="245" t="s">
        <v>4492</v>
      </c>
      <c r="I745" s="246" t="s">
        <v>582</v>
      </c>
      <c r="J745" s="270" t="s">
        <v>178</v>
      </c>
      <c r="K745" s="271">
        <v>34982</v>
      </c>
      <c r="L745" s="249" t="s">
        <v>179</v>
      </c>
      <c r="M745" s="272">
        <v>43746</v>
      </c>
      <c r="N745" s="272"/>
      <c r="O745" s="240" t="s">
        <v>4081</v>
      </c>
      <c r="P745" s="238" t="s">
        <v>318</v>
      </c>
      <c r="Q745" s="238" t="s">
        <v>249</v>
      </c>
      <c r="R745" s="240" t="s">
        <v>182</v>
      </c>
      <c r="S745" s="240" t="s">
        <v>183</v>
      </c>
      <c r="T745" s="251"/>
      <c r="U745" s="273"/>
      <c r="V745" s="274" t="s">
        <v>184</v>
      </c>
      <c r="W745" s="274" t="s">
        <v>184</v>
      </c>
      <c r="X745" s="275">
        <v>7</v>
      </c>
      <c r="Y745" s="267" t="s">
        <v>4493</v>
      </c>
      <c r="Z745" s="277" t="s">
        <v>186</v>
      </c>
      <c r="AA745" s="277"/>
      <c r="AB745" s="274"/>
      <c r="AC745" s="296"/>
      <c r="AD745" s="287"/>
      <c r="AE745" s="287"/>
      <c r="AF745" s="288"/>
      <c r="AG745" s="286"/>
      <c r="AH745" s="276"/>
      <c r="AI745" s="276"/>
      <c r="AJ745" s="274" t="s">
        <v>203</v>
      </c>
      <c r="AK745" s="274" t="s">
        <v>190</v>
      </c>
      <c r="AL745" s="274" t="s">
        <v>190</v>
      </c>
      <c r="AM745" s="260" t="s">
        <v>241</v>
      </c>
      <c r="AN745" s="22">
        <v>182</v>
      </c>
      <c r="AO745" s="22">
        <v>0</v>
      </c>
      <c r="AP745" s="22">
        <v>20</v>
      </c>
      <c r="AQ745" s="22">
        <v>0</v>
      </c>
      <c r="AR745" s="22">
        <v>0</v>
      </c>
      <c r="AS745" s="22">
        <v>7</v>
      </c>
      <c r="AT745" s="22">
        <v>10</v>
      </c>
      <c r="AU745" s="316">
        <f t="shared" si="122"/>
        <v>219</v>
      </c>
      <c r="AV745" s="22">
        <v>190</v>
      </c>
      <c r="AW745" s="22">
        <v>0</v>
      </c>
      <c r="AX745" s="22">
        <v>20</v>
      </c>
      <c r="AY745" s="22">
        <v>0</v>
      </c>
      <c r="AZ745" s="22">
        <v>0</v>
      </c>
      <c r="BA745" s="22">
        <v>7</v>
      </c>
      <c r="BB745" s="22">
        <v>10</v>
      </c>
      <c r="BC745" s="316">
        <f t="shared" si="123"/>
        <v>227</v>
      </c>
      <c r="BD745" s="58">
        <f t="shared" si="124"/>
        <v>8</v>
      </c>
      <c r="BE745" s="58">
        <f t="shared" si="125"/>
        <v>0</v>
      </c>
      <c r="BF745" s="58">
        <f t="shared" si="126"/>
        <v>0</v>
      </c>
      <c r="BG745" s="58">
        <f t="shared" si="127"/>
        <v>0</v>
      </c>
      <c r="BH745" s="58">
        <f t="shared" si="128"/>
        <v>0</v>
      </c>
      <c r="BI745" s="58">
        <f t="shared" si="129"/>
        <v>0</v>
      </c>
      <c r="BJ745" s="58">
        <f t="shared" si="130"/>
        <v>0</v>
      </c>
      <c r="BK745" s="58">
        <f t="shared" si="131"/>
        <v>8</v>
      </c>
    </row>
    <row r="746" spans="1:63" ht="27" customHeight="1">
      <c r="A746" s="238">
        <f t="shared" si="132"/>
        <v>744</v>
      </c>
      <c r="B746" s="239"/>
      <c r="C746" s="266">
        <v>3168</v>
      </c>
      <c r="D746" s="241" t="s">
        <v>4494</v>
      </c>
      <c r="E746" s="267" t="s">
        <v>4495</v>
      </c>
      <c r="F746" s="268" t="s">
        <v>4496</v>
      </c>
      <c r="G746" s="269" t="s">
        <v>4497</v>
      </c>
      <c r="H746" s="245" t="s">
        <v>725</v>
      </c>
      <c r="I746" s="246" t="s">
        <v>4498</v>
      </c>
      <c r="J746" s="270" t="s">
        <v>178</v>
      </c>
      <c r="K746" s="271">
        <v>34976</v>
      </c>
      <c r="L746" s="249" t="s">
        <v>179</v>
      </c>
      <c r="M746" s="272">
        <v>43740</v>
      </c>
      <c r="N746" s="272"/>
      <c r="O746" s="240" t="s">
        <v>4081</v>
      </c>
      <c r="P746" s="238" t="s">
        <v>318</v>
      </c>
      <c r="Q746" s="238" t="s">
        <v>249</v>
      </c>
      <c r="R746" s="240" t="s">
        <v>182</v>
      </c>
      <c r="S746" s="240" t="s">
        <v>219</v>
      </c>
      <c r="T746" s="251"/>
      <c r="U746" s="273"/>
      <c r="V746" s="274" t="s">
        <v>184</v>
      </c>
      <c r="W746" s="274" t="s">
        <v>184</v>
      </c>
      <c r="X746" s="275">
        <v>5</v>
      </c>
      <c r="Y746" s="267" t="s">
        <v>4499</v>
      </c>
      <c r="Z746" s="277" t="s">
        <v>186</v>
      </c>
      <c r="AA746" s="277"/>
      <c r="AB746" s="274"/>
      <c r="AC746" s="296"/>
      <c r="AD746" s="287"/>
      <c r="AE746" s="287"/>
      <c r="AF746" s="288"/>
      <c r="AG746" s="286"/>
      <c r="AH746" s="276"/>
      <c r="AI746" s="276"/>
      <c r="AJ746" s="274" t="s">
        <v>203</v>
      </c>
      <c r="AK746" s="274" t="s">
        <v>190</v>
      </c>
      <c r="AL746" s="274" t="s">
        <v>190</v>
      </c>
      <c r="AM746" s="260" t="s">
        <v>3859</v>
      </c>
      <c r="AN746" s="22">
        <v>182</v>
      </c>
      <c r="AO746" s="22">
        <v>0</v>
      </c>
      <c r="AP746" s="22">
        <v>20</v>
      </c>
      <c r="AQ746" s="22">
        <v>0</v>
      </c>
      <c r="AR746" s="22">
        <v>0</v>
      </c>
      <c r="AS746" s="22">
        <v>7</v>
      </c>
      <c r="AT746" s="22">
        <v>10</v>
      </c>
      <c r="AU746" s="316">
        <f t="shared" si="122"/>
        <v>219</v>
      </c>
      <c r="AV746" s="22">
        <v>190</v>
      </c>
      <c r="AW746" s="22">
        <v>0</v>
      </c>
      <c r="AX746" s="22">
        <v>20</v>
      </c>
      <c r="AY746" s="22">
        <v>0</v>
      </c>
      <c r="AZ746" s="22">
        <v>0</v>
      </c>
      <c r="BA746" s="22">
        <v>7</v>
      </c>
      <c r="BB746" s="22">
        <v>10</v>
      </c>
      <c r="BC746" s="316">
        <f t="shared" si="123"/>
        <v>227</v>
      </c>
      <c r="BD746" s="58">
        <f t="shared" si="124"/>
        <v>8</v>
      </c>
      <c r="BE746" s="58">
        <f t="shared" si="125"/>
        <v>0</v>
      </c>
      <c r="BF746" s="58">
        <f t="shared" si="126"/>
        <v>0</v>
      </c>
      <c r="BG746" s="58">
        <f t="shared" si="127"/>
        <v>0</v>
      </c>
      <c r="BH746" s="58">
        <f t="shared" si="128"/>
        <v>0</v>
      </c>
      <c r="BI746" s="58">
        <f t="shared" si="129"/>
        <v>0</v>
      </c>
      <c r="BJ746" s="58">
        <f t="shared" si="130"/>
        <v>0</v>
      </c>
      <c r="BK746" s="58">
        <f t="shared" si="131"/>
        <v>8</v>
      </c>
    </row>
    <row r="747" spans="1:63" ht="27" customHeight="1">
      <c r="A747" s="238">
        <f t="shared" si="132"/>
        <v>745</v>
      </c>
      <c r="B747" s="239"/>
      <c r="C747" s="266">
        <v>3137</v>
      </c>
      <c r="D747" s="241" t="s">
        <v>4500</v>
      </c>
      <c r="E747" s="267" t="s">
        <v>4501</v>
      </c>
      <c r="F747" s="268" t="s">
        <v>1237</v>
      </c>
      <c r="G747" s="269" t="s">
        <v>4502</v>
      </c>
      <c r="H747" s="245" t="s">
        <v>1239</v>
      </c>
      <c r="I747" s="246" t="s">
        <v>4503</v>
      </c>
      <c r="J747" s="270" t="s">
        <v>178</v>
      </c>
      <c r="K747" s="271">
        <v>35831</v>
      </c>
      <c r="L747" s="249" t="s">
        <v>179</v>
      </c>
      <c r="M747" s="272">
        <v>43740</v>
      </c>
      <c r="N747" s="272"/>
      <c r="O747" s="240" t="s">
        <v>4081</v>
      </c>
      <c r="P747" s="238" t="s">
        <v>318</v>
      </c>
      <c r="Q747" s="238" t="s">
        <v>249</v>
      </c>
      <c r="R747" s="240" t="s">
        <v>182</v>
      </c>
      <c r="S747" s="240" t="s">
        <v>228</v>
      </c>
      <c r="T747" s="251"/>
      <c r="U747" s="273"/>
      <c r="V747" s="274" t="s">
        <v>184</v>
      </c>
      <c r="W747" s="274" t="s">
        <v>184</v>
      </c>
      <c r="X747" s="275">
        <v>6</v>
      </c>
      <c r="Y747" s="267" t="s">
        <v>4504</v>
      </c>
      <c r="Z747" s="277"/>
      <c r="AA747" s="277" t="s">
        <v>186</v>
      </c>
      <c r="AB747" s="274"/>
      <c r="AC747" s="296"/>
      <c r="AD747" s="287"/>
      <c r="AE747" s="287"/>
      <c r="AF747" s="288"/>
      <c r="AG747" s="286"/>
      <c r="AH747" s="276"/>
      <c r="AI747" s="276"/>
      <c r="AJ747" s="274" t="s">
        <v>203</v>
      </c>
      <c r="AK747" s="274" t="s">
        <v>190</v>
      </c>
      <c r="AL747" s="274" t="s">
        <v>190</v>
      </c>
      <c r="AM747" s="260" t="s">
        <v>3859</v>
      </c>
      <c r="AN747" s="22">
        <v>182</v>
      </c>
      <c r="AO747" s="22">
        <v>0</v>
      </c>
      <c r="AP747" s="22">
        <v>20</v>
      </c>
      <c r="AQ747" s="22">
        <v>0</v>
      </c>
      <c r="AR747" s="22">
        <v>0</v>
      </c>
      <c r="AS747" s="22">
        <v>7</v>
      </c>
      <c r="AT747" s="22">
        <v>10</v>
      </c>
      <c r="AU747" s="316">
        <f t="shared" si="122"/>
        <v>219</v>
      </c>
      <c r="AV747" s="22">
        <v>190</v>
      </c>
      <c r="AW747" s="22">
        <v>0</v>
      </c>
      <c r="AX747" s="22">
        <v>20</v>
      </c>
      <c r="AY747" s="22">
        <v>0</v>
      </c>
      <c r="AZ747" s="22">
        <v>0</v>
      </c>
      <c r="BA747" s="22">
        <v>7</v>
      </c>
      <c r="BB747" s="22">
        <v>10</v>
      </c>
      <c r="BC747" s="316">
        <f t="shared" si="123"/>
        <v>227</v>
      </c>
      <c r="BD747" s="58">
        <f t="shared" si="124"/>
        <v>8</v>
      </c>
      <c r="BE747" s="58">
        <f t="shared" si="125"/>
        <v>0</v>
      </c>
      <c r="BF747" s="58">
        <f t="shared" si="126"/>
        <v>0</v>
      </c>
      <c r="BG747" s="58">
        <f t="shared" si="127"/>
        <v>0</v>
      </c>
      <c r="BH747" s="58">
        <f t="shared" si="128"/>
        <v>0</v>
      </c>
      <c r="BI747" s="58">
        <f t="shared" si="129"/>
        <v>0</v>
      </c>
      <c r="BJ747" s="58">
        <f t="shared" si="130"/>
        <v>0</v>
      </c>
      <c r="BK747" s="58">
        <f t="shared" si="131"/>
        <v>8</v>
      </c>
    </row>
    <row r="748" spans="1:63" ht="27" customHeight="1">
      <c r="A748" s="238">
        <f t="shared" si="132"/>
        <v>746</v>
      </c>
      <c r="B748" s="239"/>
      <c r="C748" s="266">
        <v>3538</v>
      </c>
      <c r="D748" s="241" t="s">
        <v>4505</v>
      </c>
      <c r="E748" s="267" t="s">
        <v>4506</v>
      </c>
      <c r="F748" s="268" t="s">
        <v>595</v>
      </c>
      <c r="G748" s="269" t="s">
        <v>4507</v>
      </c>
      <c r="H748" s="245" t="s">
        <v>4508</v>
      </c>
      <c r="I748" s="246" t="s">
        <v>4509</v>
      </c>
      <c r="J748" s="270" t="s">
        <v>178</v>
      </c>
      <c r="K748" s="271">
        <v>30446</v>
      </c>
      <c r="L748" s="249" t="s">
        <v>179</v>
      </c>
      <c r="M748" s="272">
        <v>43745</v>
      </c>
      <c r="N748" s="272"/>
      <c r="O748" s="240" t="s">
        <v>4081</v>
      </c>
      <c r="P748" s="238" t="s">
        <v>318</v>
      </c>
      <c r="Q748" s="238" t="s">
        <v>249</v>
      </c>
      <c r="R748" s="240" t="s">
        <v>182</v>
      </c>
      <c r="S748" s="240" t="s">
        <v>211</v>
      </c>
      <c r="T748" s="251"/>
      <c r="U748" s="273"/>
      <c r="V748" s="274" t="s">
        <v>184</v>
      </c>
      <c r="W748" s="274" t="s">
        <v>184</v>
      </c>
      <c r="X748" s="275"/>
      <c r="Y748" s="267" t="s">
        <v>4510</v>
      </c>
      <c r="Z748" s="277"/>
      <c r="AA748" s="277"/>
      <c r="AB748" s="274"/>
      <c r="AC748" s="296"/>
      <c r="AD748" s="287"/>
      <c r="AE748" s="287"/>
      <c r="AF748" s="288"/>
      <c r="AG748" s="286"/>
      <c r="AH748" s="276"/>
      <c r="AI748" s="276"/>
      <c r="AJ748" s="274" t="s">
        <v>203</v>
      </c>
      <c r="AK748" s="274" t="s">
        <v>190</v>
      </c>
      <c r="AL748" s="274" t="s">
        <v>190</v>
      </c>
      <c r="AM748" s="260" t="s">
        <v>3916</v>
      </c>
      <c r="AN748" s="22">
        <v>182</v>
      </c>
      <c r="AO748" s="22">
        <v>0</v>
      </c>
      <c r="AP748" s="22">
        <v>20</v>
      </c>
      <c r="AQ748" s="22">
        <v>0</v>
      </c>
      <c r="AR748" s="22">
        <v>0</v>
      </c>
      <c r="AS748" s="22">
        <v>7</v>
      </c>
      <c r="AT748" s="22">
        <v>10</v>
      </c>
      <c r="AU748" s="316">
        <f t="shared" si="122"/>
        <v>219</v>
      </c>
      <c r="AV748" s="22">
        <v>190</v>
      </c>
      <c r="AW748" s="22">
        <v>0</v>
      </c>
      <c r="AX748" s="22">
        <v>20</v>
      </c>
      <c r="AY748" s="22">
        <v>0</v>
      </c>
      <c r="AZ748" s="22">
        <v>0</v>
      </c>
      <c r="BA748" s="22">
        <v>7</v>
      </c>
      <c r="BB748" s="22">
        <v>10</v>
      </c>
      <c r="BC748" s="316">
        <f t="shared" si="123"/>
        <v>227</v>
      </c>
      <c r="BD748" s="58">
        <f t="shared" si="124"/>
        <v>8</v>
      </c>
      <c r="BE748" s="58">
        <f t="shared" si="125"/>
        <v>0</v>
      </c>
      <c r="BF748" s="58">
        <f t="shared" si="126"/>
        <v>0</v>
      </c>
      <c r="BG748" s="58">
        <f t="shared" si="127"/>
        <v>0</v>
      </c>
      <c r="BH748" s="58">
        <f t="shared" si="128"/>
        <v>0</v>
      </c>
      <c r="BI748" s="58">
        <f t="shared" si="129"/>
        <v>0</v>
      </c>
      <c r="BJ748" s="58">
        <f t="shared" si="130"/>
        <v>0</v>
      </c>
      <c r="BK748" s="58">
        <f t="shared" si="131"/>
        <v>8</v>
      </c>
    </row>
    <row r="749" spans="1:63" ht="27" customHeight="1">
      <c r="A749" s="238">
        <f t="shared" si="132"/>
        <v>747</v>
      </c>
      <c r="B749" s="239"/>
      <c r="C749" s="266">
        <v>3634</v>
      </c>
      <c r="D749" s="241" t="s">
        <v>4511</v>
      </c>
      <c r="E749" s="267" t="s">
        <v>4512</v>
      </c>
      <c r="F749" s="268" t="s">
        <v>4513</v>
      </c>
      <c r="G749" s="269" t="s">
        <v>831</v>
      </c>
      <c r="H749" s="245" t="s">
        <v>4514</v>
      </c>
      <c r="I749" s="246" t="s">
        <v>2236</v>
      </c>
      <c r="J749" s="270" t="s">
        <v>178</v>
      </c>
      <c r="K749" s="271">
        <v>32509</v>
      </c>
      <c r="L749" s="249" t="s">
        <v>179</v>
      </c>
      <c r="M749" s="272">
        <v>43754</v>
      </c>
      <c r="N749" s="272"/>
      <c r="O749" s="240"/>
      <c r="P749" s="238" t="s">
        <v>3754</v>
      </c>
      <c r="Q749" s="238" t="s">
        <v>249</v>
      </c>
      <c r="R749" s="240" t="s">
        <v>182</v>
      </c>
      <c r="S749" s="240" t="s">
        <v>228</v>
      </c>
      <c r="T749" s="251"/>
      <c r="U749" s="273"/>
      <c r="V749" s="274" t="s">
        <v>200</v>
      </c>
      <c r="W749" s="274" t="s">
        <v>184</v>
      </c>
      <c r="X749" s="275">
        <v>3</v>
      </c>
      <c r="Y749" s="267" t="s">
        <v>4515</v>
      </c>
      <c r="Z749" s="277"/>
      <c r="AA749" s="277"/>
      <c r="AB749" s="274"/>
      <c r="AC749" s="296"/>
      <c r="AD749" s="287"/>
      <c r="AE749" s="287"/>
      <c r="AF749" s="288"/>
      <c r="AG749" s="286"/>
      <c r="AH749" s="276"/>
      <c r="AI749" s="276"/>
      <c r="AJ749" s="274" t="s">
        <v>190</v>
      </c>
      <c r="AK749" s="274" t="s">
        <v>190</v>
      </c>
      <c r="AL749" s="274" t="s">
        <v>203</v>
      </c>
      <c r="AM749" s="289" t="s">
        <v>3659</v>
      </c>
      <c r="AN749" s="22">
        <v>182</v>
      </c>
      <c r="AO749" s="22">
        <v>0</v>
      </c>
      <c r="AP749" s="22">
        <v>20</v>
      </c>
      <c r="AQ749" s="22">
        <v>0</v>
      </c>
      <c r="AR749" s="22">
        <v>0</v>
      </c>
      <c r="AS749" s="22">
        <v>7</v>
      </c>
      <c r="AT749" s="22">
        <v>10</v>
      </c>
      <c r="AU749" s="316">
        <f t="shared" si="122"/>
        <v>219</v>
      </c>
      <c r="AV749" s="22">
        <v>190</v>
      </c>
      <c r="AW749" s="22">
        <v>0</v>
      </c>
      <c r="AX749" s="22">
        <v>20</v>
      </c>
      <c r="AY749" s="22">
        <v>0</v>
      </c>
      <c r="AZ749" s="22">
        <v>0</v>
      </c>
      <c r="BA749" s="22">
        <v>7</v>
      </c>
      <c r="BB749" s="22">
        <v>10</v>
      </c>
      <c r="BC749" s="316">
        <f t="shared" si="123"/>
        <v>227</v>
      </c>
      <c r="BD749" s="58">
        <f t="shared" si="124"/>
        <v>8</v>
      </c>
      <c r="BE749" s="58">
        <f t="shared" si="125"/>
        <v>0</v>
      </c>
      <c r="BF749" s="58">
        <f t="shared" si="126"/>
        <v>0</v>
      </c>
      <c r="BG749" s="58">
        <f t="shared" si="127"/>
        <v>0</v>
      </c>
      <c r="BH749" s="58">
        <f t="shared" si="128"/>
        <v>0</v>
      </c>
      <c r="BI749" s="58">
        <f t="shared" si="129"/>
        <v>0</v>
      </c>
      <c r="BJ749" s="58">
        <f t="shared" si="130"/>
        <v>0</v>
      </c>
      <c r="BK749" s="58">
        <f t="shared" si="131"/>
        <v>8</v>
      </c>
    </row>
    <row r="750" spans="1:63" ht="27" customHeight="1">
      <c r="A750" s="238">
        <f t="shared" si="132"/>
        <v>748</v>
      </c>
      <c r="B750" s="239"/>
      <c r="C750" s="266">
        <v>3164</v>
      </c>
      <c r="D750" s="241" t="s">
        <v>4516</v>
      </c>
      <c r="E750" s="267" t="s">
        <v>4517</v>
      </c>
      <c r="F750" s="268" t="s">
        <v>2427</v>
      </c>
      <c r="G750" s="269" t="s">
        <v>2201</v>
      </c>
      <c r="H750" s="245" t="s">
        <v>4518</v>
      </c>
      <c r="I750" s="246" t="s">
        <v>4519</v>
      </c>
      <c r="J750" s="270" t="s">
        <v>178</v>
      </c>
      <c r="K750" s="271">
        <v>34807</v>
      </c>
      <c r="L750" s="249" t="s">
        <v>179</v>
      </c>
      <c r="M750" s="272">
        <v>43740</v>
      </c>
      <c r="N750" s="272"/>
      <c r="O750" s="240" t="s">
        <v>4090</v>
      </c>
      <c r="P750" s="238" t="s">
        <v>3775</v>
      </c>
      <c r="Q750" s="238" t="s">
        <v>249</v>
      </c>
      <c r="R750" s="240" t="s">
        <v>182</v>
      </c>
      <c r="S750" s="240" t="s">
        <v>219</v>
      </c>
      <c r="T750" s="251"/>
      <c r="U750" s="273"/>
      <c r="V750" s="274" t="s">
        <v>184</v>
      </c>
      <c r="W750" s="274" t="s">
        <v>184</v>
      </c>
      <c r="X750" s="275">
        <v>7</v>
      </c>
      <c r="Y750" s="267" t="s">
        <v>4520</v>
      </c>
      <c r="Z750" s="277"/>
      <c r="AA750" s="277"/>
      <c r="AB750" s="274"/>
      <c r="AC750" s="296"/>
      <c r="AD750" s="287"/>
      <c r="AE750" s="287"/>
      <c r="AF750" s="288"/>
      <c r="AG750" s="286"/>
      <c r="AH750" s="276"/>
      <c r="AI750" s="276"/>
      <c r="AJ750" s="274" t="s">
        <v>203</v>
      </c>
      <c r="AK750" s="274" t="s">
        <v>190</v>
      </c>
      <c r="AL750" s="274" t="s">
        <v>190</v>
      </c>
      <c r="AM750" s="260" t="s">
        <v>3859</v>
      </c>
      <c r="AN750" s="22">
        <v>182</v>
      </c>
      <c r="AO750" s="22">
        <v>0</v>
      </c>
      <c r="AP750" s="22">
        <v>20</v>
      </c>
      <c r="AQ750" s="22">
        <v>0</v>
      </c>
      <c r="AR750" s="22">
        <v>0</v>
      </c>
      <c r="AS750" s="22">
        <v>7</v>
      </c>
      <c r="AT750" s="22">
        <v>10</v>
      </c>
      <c r="AU750" s="316">
        <f t="shared" si="122"/>
        <v>219</v>
      </c>
      <c r="AV750" s="22">
        <v>190</v>
      </c>
      <c r="AW750" s="22">
        <v>0</v>
      </c>
      <c r="AX750" s="22">
        <v>20</v>
      </c>
      <c r="AY750" s="22">
        <v>0</v>
      </c>
      <c r="AZ750" s="22">
        <v>0</v>
      </c>
      <c r="BA750" s="22">
        <v>7</v>
      </c>
      <c r="BB750" s="22">
        <v>10</v>
      </c>
      <c r="BC750" s="316">
        <f t="shared" si="123"/>
        <v>227</v>
      </c>
      <c r="BD750" s="58">
        <f t="shared" si="124"/>
        <v>8</v>
      </c>
      <c r="BE750" s="58">
        <f t="shared" si="125"/>
        <v>0</v>
      </c>
      <c r="BF750" s="58">
        <f t="shared" si="126"/>
        <v>0</v>
      </c>
      <c r="BG750" s="58">
        <f t="shared" si="127"/>
        <v>0</v>
      </c>
      <c r="BH750" s="58">
        <f t="shared" si="128"/>
        <v>0</v>
      </c>
      <c r="BI750" s="58">
        <f t="shared" si="129"/>
        <v>0</v>
      </c>
      <c r="BJ750" s="58">
        <f t="shared" si="130"/>
        <v>0</v>
      </c>
      <c r="BK750" s="58">
        <f t="shared" si="131"/>
        <v>8</v>
      </c>
    </row>
    <row r="751" spans="1:63" ht="27" customHeight="1">
      <c r="A751" s="238">
        <f t="shared" si="132"/>
        <v>749</v>
      </c>
      <c r="B751" s="239"/>
      <c r="C751" s="266">
        <v>3533</v>
      </c>
      <c r="D751" s="241" t="s">
        <v>4521</v>
      </c>
      <c r="E751" s="267" t="s">
        <v>4522</v>
      </c>
      <c r="F751" s="268" t="s">
        <v>4523</v>
      </c>
      <c r="G751" s="269" t="s">
        <v>4524</v>
      </c>
      <c r="H751" s="245" t="s">
        <v>4525</v>
      </c>
      <c r="I751" s="246" t="s">
        <v>4526</v>
      </c>
      <c r="J751" s="270" t="s">
        <v>178</v>
      </c>
      <c r="K751" s="271">
        <v>30847</v>
      </c>
      <c r="L751" s="249" t="s">
        <v>179</v>
      </c>
      <c r="M751" s="272">
        <v>43757</v>
      </c>
      <c r="N751" s="272"/>
      <c r="O751" s="240" t="s">
        <v>4090</v>
      </c>
      <c r="P751" s="238" t="s">
        <v>3775</v>
      </c>
      <c r="Q751" s="238" t="s">
        <v>249</v>
      </c>
      <c r="R751" s="240" t="s">
        <v>182</v>
      </c>
      <c r="S751" s="240" t="s">
        <v>183</v>
      </c>
      <c r="T751" s="251"/>
      <c r="U751" s="273"/>
      <c r="V751" s="274" t="s">
        <v>184</v>
      </c>
      <c r="W751" s="274" t="s">
        <v>184</v>
      </c>
      <c r="X751" s="282">
        <v>5</v>
      </c>
      <c r="Y751" s="267" t="s">
        <v>4527</v>
      </c>
      <c r="Z751" s="277"/>
      <c r="AA751" s="277"/>
      <c r="AB751" s="277" t="s">
        <v>186</v>
      </c>
      <c r="AC751" s="296"/>
      <c r="AD751" s="287"/>
      <c r="AE751" s="287"/>
      <c r="AF751" s="288"/>
      <c r="AG751" s="286"/>
      <c r="AH751" s="276"/>
      <c r="AI751" s="276"/>
      <c r="AJ751" s="274" t="s">
        <v>203</v>
      </c>
      <c r="AK751" s="274" t="s">
        <v>190</v>
      </c>
      <c r="AL751" s="274" t="s">
        <v>190</v>
      </c>
      <c r="AM751" s="260" t="s">
        <v>3916</v>
      </c>
      <c r="AN751" s="22">
        <v>182</v>
      </c>
      <c r="AO751" s="22">
        <v>0</v>
      </c>
      <c r="AP751" s="22">
        <v>20</v>
      </c>
      <c r="AQ751" s="22">
        <v>0</v>
      </c>
      <c r="AR751" s="22">
        <v>0</v>
      </c>
      <c r="AS751" s="22">
        <v>7</v>
      </c>
      <c r="AT751" s="22">
        <v>10</v>
      </c>
      <c r="AU751" s="316">
        <f t="shared" si="122"/>
        <v>219</v>
      </c>
      <c r="AV751" s="22">
        <v>190</v>
      </c>
      <c r="AW751" s="22">
        <v>0</v>
      </c>
      <c r="AX751" s="22">
        <v>20</v>
      </c>
      <c r="AY751" s="22">
        <v>0</v>
      </c>
      <c r="AZ751" s="22">
        <v>0</v>
      </c>
      <c r="BA751" s="22">
        <v>7</v>
      </c>
      <c r="BB751" s="22">
        <v>10</v>
      </c>
      <c r="BC751" s="316">
        <f t="shared" si="123"/>
        <v>227</v>
      </c>
      <c r="BD751" s="58">
        <f t="shared" si="124"/>
        <v>8</v>
      </c>
      <c r="BE751" s="58">
        <f t="shared" si="125"/>
        <v>0</v>
      </c>
      <c r="BF751" s="58">
        <f t="shared" si="126"/>
        <v>0</v>
      </c>
      <c r="BG751" s="58">
        <f t="shared" si="127"/>
        <v>0</v>
      </c>
      <c r="BH751" s="58">
        <f t="shared" si="128"/>
        <v>0</v>
      </c>
      <c r="BI751" s="58">
        <f t="shared" si="129"/>
        <v>0</v>
      </c>
      <c r="BJ751" s="58">
        <f t="shared" si="130"/>
        <v>0</v>
      </c>
      <c r="BK751" s="58">
        <f t="shared" si="131"/>
        <v>8</v>
      </c>
    </row>
    <row r="752" spans="1:63" ht="27" customHeight="1">
      <c r="A752" s="238">
        <f t="shared" si="132"/>
        <v>750</v>
      </c>
      <c r="B752" s="239"/>
      <c r="C752" s="266">
        <v>3523</v>
      </c>
      <c r="D752" s="241" t="s">
        <v>4528</v>
      </c>
      <c r="E752" s="267" t="s">
        <v>4529</v>
      </c>
      <c r="F752" s="268" t="s">
        <v>344</v>
      </c>
      <c r="G752" s="269" t="s">
        <v>4530</v>
      </c>
      <c r="H752" s="245" t="s">
        <v>346</v>
      </c>
      <c r="I752" s="246" t="s">
        <v>4531</v>
      </c>
      <c r="J752" s="270" t="s">
        <v>178</v>
      </c>
      <c r="K752" s="271">
        <v>32882</v>
      </c>
      <c r="L752" s="249" t="s">
        <v>179</v>
      </c>
      <c r="M752" s="272">
        <v>43746</v>
      </c>
      <c r="N752" s="272"/>
      <c r="O752" s="240" t="s">
        <v>3965</v>
      </c>
      <c r="P752" s="238" t="s">
        <v>3785</v>
      </c>
      <c r="Q752" s="238" t="s">
        <v>249</v>
      </c>
      <c r="R752" s="240" t="s">
        <v>182</v>
      </c>
      <c r="S752" s="240" t="s">
        <v>228</v>
      </c>
      <c r="T752" s="251"/>
      <c r="U752" s="273"/>
      <c r="V752" s="274" t="s">
        <v>184</v>
      </c>
      <c r="W752" s="274" t="s">
        <v>184</v>
      </c>
      <c r="X752" s="275">
        <v>3</v>
      </c>
      <c r="Y752" s="267"/>
      <c r="Z752" s="277"/>
      <c r="AA752" s="277"/>
      <c r="AB752" s="274"/>
      <c r="AC752" s="296"/>
      <c r="AD752" s="287"/>
      <c r="AE752" s="287"/>
      <c r="AF752" s="288"/>
      <c r="AG752" s="286"/>
      <c r="AH752" s="276"/>
      <c r="AI752" s="276"/>
      <c r="AJ752" s="274" t="s">
        <v>203</v>
      </c>
      <c r="AK752" s="274" t="s">
        <v>190</v>
      </c>
      <c r="AL752" s="274" t="s">
        <v>190</v>
      </c>
      <c r="AM752" s="260" t="s">
        <v>3916</v>
      </c>
      <c r="AN752" s="22">
        <v>182</v>
      </c>
      <c r="AO752" s="22">
        <v>0</v>
      </c>
      <c r="AP752" s="22">
        <v>20</v>
      </c>
      <c r="AQ752" s="22">
        <v>0</v>
      </c>
      <c r="AR752" s="22">
        <v>0</v>
      </c>
      <c r="AS752" s="22">
        <v>7</v>
      </c>
      <c r="AT752" s="22">
        <v>10</v>
      </c>
      <c r="AU752" s="316">
        <f t="shared" si="122"/>
        <v>219</v>
      </c>
      <c r="AV752" s="22">
        <v>190</v>
      </c>
      <c r="AW752" s="22">
        <v>0</v>
      </c>
      <c r="AX752" s="22">
        <v>20</v>
      </c>
      <c r="AY752" s="22">
        <v>0</v>
      </c>
      <c r="AZ752" s="22">
        <v>0</v>
      </c>
      <c r="BA752" s="22">
        <v>7</v>
      </c>
      <c r="BB752" s="22">
        <v>10</v>
      </c>
      <c r="BC752" s="316">
        <f t="shared" si="123"/>
        <v>227</v>
      </c>
      <c r="BD752" s="58">
        <f t="shared" si="124"/>
        <v>8</v>
      </c>
      <c r="BE752" s="58">
        <f t="shared" si="125"/>
        <v>0</v>
      </c>
      <c r="BF752" s="58">
        <f t="shared" si="126"/>
        <v>0</v>
      </c>
      <c r="BG752" s="58">
        <f t="shared" si="127"/>
        <v>0</v>
      </c>
      <c r="BH752" s="58">
        <f t="shared" si="128"/>
        <v>0</v>
      </c>
      <c r="BI752" s="58">
        <f t="shared" si="129"/>
        <v>0</v>
      </c>
      <c r="BJ752" s="58">
        <f t="shared" si="130"/>
        <v>0</v>
      </c>
      <c r="BK752" s="58">
        <f t="shared" si="131"/>
        <v>8</v>
      </c>
    </row>
    <row r="753" spans="1:63" ht="27" customHeight="1">
      <c r="A753" s="238">
        <f t="shared" si="132"/>
        <v>751</v>
      </c>
      <c r="B753" s="239"/>
      <c r="C753" s="266">
        <v>3139</v>
      </c>
      <c r="D753" s="241" t="s">
        <v>4532</v>
      </c>
      <c r="E753" s="267" t="s">
        <v>4533</v>
      </c>
      <c r="F753" s="268" t="s">
        <v>4534</v>
      </c>
      <c r="G753" s="269" t="s">
        <v>4535</v>
      </c>
      <c r="H753" s="245" t="s">
        <v>4536</v>
      </c>
      <c r="I753" s="246" t="s">
        <v>4537</v>
      </c>
      <c r="J753" s="270" t="s">
        <v>178</v>
      </c>
      <c r="K753" s="271">
        <v>28523</v>
      </c>
      <c r="L753" s="249" t="s">
        <v>179</v>
      </c>
      <c r="M753" s="272">
        <v>43740</v>
      </c>
      <c r="N753" s="272"/>
      <c r="O753" s="240" t="s">
        <v>4090</v>
      </c>
      <c r="P753" s="238" t="s">
        <v>3775</v>
      </c>
      <c r="Q753" s="238" t="s">
        <v>249</v>
      </c>
      <c r="R753" s="240" t="s">
        <v>182</v>
      </c>
      <c r="S753" s="240" t="s">
        <v>211</v>
      </c>
      <c r="T753" s="251"/>
      <c r="U753" s="273"/>
      <c r="V753" s="274" t="s">
        <v>184</v>
      </c>
      <c r="W753" s="274" t="s">
        <v>184</v>
      </c>
      <c r="X753" s="275">
        <v>0</v>
      </c>
      <c r="Y753" s="267" t="s">
        <v>4538</v>
      </c>
      <c r="Z753" s="277"/>
      <c r="AA753" s="277" t="s">
        <v>186</v>
      </c>
      <c r="AB753" s="274"/>
      <c r="AC753" s="296"/>
      <c r="AD753" s="287"/>
      <c r="AE753" s="287"/>
      <c r="AF753" s="288"/>
      <c r="AG753" s="286"/>
      <c r="AH753" s="276"/>
      <c r="AI753" s="276"/>
      <c r="AJ753" s="274" t="s">
        <v>203</v>
      </c>
      <c r="AK753" s="274" t="s">
        <v>190</v>
      </c>
      <c r="AL753" s="274" t="s">
        <v>190</v>
      </c>
      <c r="AM753" s="260" t="s">
        <v>3859</v>
      </c>
      <c r="AN753" s="22">
        <v>182</v>
      </c>
      <c r="AO753" s="22">
        <v>0</v>
      </c>
      <c r="AP753" s="22">
        <v>20</v>
      </c>
      <c r="AQ753" s="22">
        <v>0</v>
      </c>
      <c r="AR753" s="22">
        <v>0</v>
      </c>
      <c r="AS753" s="22">
        <v>7</v>
      </c>
      <c r="AT753" s="22">
        <v>10</v>
      </c>
      <c r="AU753" s="316">
        <f t="shared" si="122"/>
        <v>219</v>
      </c>
      <c r="AV753" s="22">
        <v>190</v>
      </c>
      <c r="AW753" s="22">
        <v>0</v>
      </c>
      <c r="AX753" s="22">
        <v>20</v>
      </c>
      <c r="AY753" s="22">
        <v>0</v>
      </c>
      <c r="AZ753" s="22">
        <v>0</v>
      </c>
      <c r="BA753" s="22">
        <v>7</v>
      </c>
      <c r="BB753" s="22">
        <v>10</v>
      </c>
      <c r="BC753" s="316">
        <f t="shared" si="123"/>
        <v>227</v>
      </c>
      <c r="BD753" s="58">
        <f t="shared" si="124"/>
        <v>8</v>
      </c>
      <c r="BE753" s="58">
        <f t="shared" si="125"/>
        <v>0</v>
      </c>
      <c r="BF753" s="58">
        <f t="shared" si="126"/>
        <v>0</v>
      </c>
      <c r="BG753" s="58">
        <f t="shared" si="127"/>
        <v>0</v>
      </c>
      <c r="BH753" s="58">
        <f t="shared" si="128"/>
        <v>0</v>
      </c>
      <c r="BI753" s="58">
        <f t="shared" si="129"/>
        <v>0</v>
      </c>
      <c r="BJ753" s="58">
        <f t="shared" si="130"/>
        <v>0</v>
      </c>
      <c r="BK753" s="58">
        <f t="shared" si="131"/>
        <v>8</v>
      </c>
    </row>
    <row r="754" spans="1:63" ht="27" customHeight="1">
      <c r="A754" s="238">
        <f t="shared" si="132"/>
        <v>752</v>
      </c>
      <c r="B754" s="239"/>
      <c r="C754" s="266">
        <v>3195</v>
      </c>
      <c r="D754" s="241" t="s">
        <v>4539</v>
      </c>
      <c r="E754" s="267" t="s">
        <v>4540</v>
      </c>
      <c r="F754" s="268" t="s">
        <v>2339</v>
      </c>
      <c r="G754" s="269" t="s">
        <v>519</v>
      </c>
      <c r="H754" s="245" t="s">
        <v>1829</v>
      </c>
      <c r="I754" s="246" t="s">
        <v>4541</v>
      </c>
      <c r="J754" s="270" t="s">
        <v>178</v>
      </c>
      <c r="K754" s="271">
        <v>34821</v>
      </c>
      <c r="L754" s="249" t="s">
        <v>179</v>
      </c>
      <c r="M754" s="272">
        <v>43741</v>
      </c>
      <c r="N754" s="272"/>
      <c r="O754" s="240" t="s">
        <v>4086</v>
      </c>
      <c r="P754" s="240"/>
      <c r="Q754" s="238" t="s">
        <v>249</v>
      </c>
      <c r="R754" s="240" t="s">
        <v>182</v>
      </c>
      <c r="S754" s="240" t="s">
        <v>228</v>
      </c>
      <c r="T754" s="251"/>
      <c r="U754" s="273"/>
      <c r="V754" s="274" t="s">
        <v>184</v>
      </c>
      <c r="W754" s="274" t="s">
        <v>184</v>
      </c>
      <c r="X754" s="275">
        <v>8</v>
      </c>
      <c r="Y754" s="267" t="s">
        <v>4542</v>
      </c>
      <c r="Z754" s="277"/>
      <c r="AA754" s="277" t="s">
        <v>186</v>
      </c>
      <c r="AB754" s="274"/>
      <c r="AC754" s="296"/>
      <c r="AD754" s="287"/>
      <c r="AE754" s="287"/>
      <c r="AF754" s="288"/>
      <c r="AG754" s="286"/>
      <c r="AH754" s="276"/>
      <c r="AI754" s="276"/>
      <c r="AJ754" s="274" t="s">
        <v>203</v>
      </c>
      <c r="AK754" s="274" t="s">
        <v>190</v>
      </c>
      <c r="AL754" s="274" t="s">
        <v>190</v>
      </c>
      <c r="AM754" s="260" t="s">
        <v>241</v>
      </c>
      <c r="AN754" s="22">
        <v>182</v>
      </c>
      <c r="AO754" s="22">
        <v>0</v>
      </c>
      <c r="AP754" s="22">
        <v>20</v>
      </c>
      <c r="AQ754" s="22">
        <v>0</v>
      </c>
      <c r="AR754" s="22">
        <v>0</v>
      </c>
      <c r="AS754" s="22">
        <v>7</v>
      </c>
      <c r="AT754" s="22">
        <v>10</v>
      </c>
      <c r="AU754" s="316">
        <f t="shared" si="122"/>
        <v>219</v>
      </c>
      <c r="AV754" s="22">
        <v>190</v>
      </c>
      <c r="AW754" s="22">
        <v>0</v>
      </c>
      <c r="AX754" s="22">
        <v>20</v>
      </c>
      <c r="AY754" s="22">
        <v>0</v>
      </c>
      <c r="AZ754" s="22">
        <v>0</v>
      </c>
      <c r="BA754" s="22">
        <v>7</v>
      </c>
      <c r="BB754" s="22">
        <v>10</v>
      </c>
      <c r="BC754" s="316">
        <f t="shared" si="123"/>
        <v>227</v>
      </c>
      <c r="BD754" s="58">
        <f t="shared" si="124"/>
        <v>8</v>
      </c>
      <c r="BE754" s="58">
        <f t="shared" si="125"/>
        <v>0</v>
      </c>
      <c r="BF754" s="58">
        <f t="shared" si="126"/>
        <v>0</v>
      </c>
      <c r="BG754" s="58">
        <f t="shared" si="127"/>
        <v>0</v>
      </c>
      <c r="BH754" s="58">
        <f t="shared" si="128"/>
        <v>0</v>
      </c>
      <c r="BI754" s="58">
        <f t="shared" si="129"/>
        <v>0</v>
      </c>
      <c r="BJ754" s="58">
        <f t="shared" si="130"/>
        <v>0</v>
      </c>
      <c r="BK754" s="58">
        <f t="shared" si="131"/>
        <v>8</v>
      </c>
    </row>
    <row r="755" spans="1:63" ht="27" customHeight="1">
      <c r="A755" s="238">
        <f t="shared" si="132"/>
        <v>753</v>
      </c>
      <c r="B755" s="239"/>
      <c r="C755" s="266">
        <v>3645</v>
      </c>
      <c r="D755" s="241" t="s">
        <v>4543</v>
      </c>
      <c r="E755" s="267" t="s">
        <v>4544</v>
      </c>
      <c r="F755" s="268" t="s">
        <v>4545</v>
      </c>
      <c r="G755" s="269" t="s">
        <v>4546</v>
      </c>
      <c r="H755" s="245" t="s">
        <v>4547</v>
      </c>
      <c r="I755" s="246" t="s">
        <v>4548</v>
      </c>
      <c r="J755" s="270" t="s">
        <v>178</v>
      </c>
      <c r="K755" s="271">
        <v>35858</v>
      </c>
      <c r="L755" s="249" t="s">
        <v>179</v>
      </c>
      <c r="M755" s="272">
        <v>43754</v>
      </c>
      <c r="N755" s="272"/>
      <c r="O755" s="240"/>
      <c r="P755" s="238" t="s">
        <v>3775</v>
      </c>
      <c r="Q755" s="238" t="s">
        <v>249</v>
      </c>
      <c r="R755" s="240" t="s">
        <v>182</v>
      </c>
      <c r="S755" s="240" t="s">
        <v>256</v>
      </c>
      <c r="T755" s="251"/>
      <c r="U755" s="273"/>
      <c r="V755" s="274" t="s">
        <v>184</v>
      </c>
      <c r="W755" s="274" t="s">
        <v>184</v>
      </c>
      <c r="X755" s="275">
        <v>8</v>
      </c>
      <c r="Y755" s="267" t="s">
        <v>4549</v>
      </c>
      <c r="Z755" s="277"/>
      <c r="AA755" s="277"/>
      <c r="AB755" s="274"/>
      <c r="AC755" s="296"/>
      <c r="AD755" s="287"/>
      <c r="AE755" s="287"/>
      <c r="AF755" s="288"/>
      <c r="AG755" s="286"/>
      <c r="AH755" s="276"/>
      <c r="AI755" s="276"/>
      <c r="AJ755" s="274" t="s">
        <v>203</v>
      </c>
      <c r="AK755" s="274" t="s">
        <v>190</v>
      </c>
      <c r="AL755" s="274" t="s">
        <v>190</v>
      </c>
      <c r="AM755" s="260" t="s">
        <v>3859</v>
      </c>
      <c r="AN755" s="22">
        <v>182</v>
      </c>
      <c r="AO755" s="22">
        <v>0</v>
      </c>
      <c r="AP755" s="22">
        <v>0</v>
      </c>
      <c r="AQ755" s="22">
        <v>0</v>
      </c>
      <c r="AR755" s="22">
        <v>0</v>
      </c>
      <c r="AS755" s="22">
        <v>7</v>
      </c>
      <c r="AT755" s="22">
        <v>10</v>
      </c>
      <c r="AU755" s="316">
        <f t="shared" si="122"/>
        <v>199</v>
      </c>
      <c r="AV755" s="22">
        <v>190</v>
      </c>
      <c r="AW755" s="22">
        <v>0</v>
      </c>
      <c r="AX755" s="22">
        <v>0</v>
      </c>
      <c r="AY755" s="22">
        <v>0</v>
      </c>
      <c r="AZ755" s="22">
        <v>0</v>
      </c>
      <c r="BA755" s="22">
        <v>7</v>
      </c>
      <c r="BB755" s="22">
        <v>10</v>
      </c>
      <c r="BC755" s="316">
        <f t="shared" si="123"/>
        <v>207</v>
      </c>
      <c r="BD755" s="58">
        <f t="shared" si="124"/>
        <v>8</v>
      </c>
      <c r="BE755" s="58">
        <f t="shared" si="125"/>
        <v>0</v>
      </c>
      <c r="BF755" s="58">
        <f t="shared" si="126"/>
        <v>0</v>
      </c>
      <c r="BG755" s="58">
        <f t="shared" si="127"/>
        <v>0</v>
      </c>
      <c r="BH755" s="58">
        <f t="shared" si="128"/>
        <v>0</v>
      </c>
      <c r="BI755" s="58">
        <f t="shared" si="129"/>
        <v>0</v>
      </c>
      <c r="BJ755" s="58">
        <f t="shared" si="130"/>
        <v>0</v>
      </c>
      <c r="BK755" s="58">
        <f t="shared" si="131"/>
        <v>8</v>
      </c>
    </row>
    <row r="756" spans="1:63" ht="27" customHeight="1">
      <c r="A756" s="238">
        <f t="shared" si="132"/>
        <v>754</v>
      </c>
      <c r="B756" s="239"/>
      <c r="C756" s="266">
        <v>3143</v>
      </c>
      <c r="D756" s="241" t="s">
        <v>4550</v>
      </c>
      <c r="E756" s="267" t="s">
        <v>4551</v>
      </c>
      <c r="F756" s="268" t="s">
        <v>1139</v>
      </c>
      <c r="G756" s="269" t="s">
        <v>3624</v>
      </c>
      <c r="H756" s="245" t="s">
        <v>4552</v>
      </c>
      <c r="I756" s="246" t="s">
        <v>3625</v>
      </c>
      <c r="J756" s="270" t="s">
        <v>178</v>
      </c>
      <c r="K756" s="271">
        <v>28499</v>
      </c>
      <c r="L756" s="249" t="s">
        <v>179</v>
      </c>
      <c r="M756" s="272">
        <v>43740</v>
      </c>
      <c r="N756" s="272"/>
      <c r="O756" s="240" t="s">
        <v>4090</v>
      </c>
      <c r="P756" s="238" t="s">
        <v>3775</v>
      </c>
      <c r="Q756" s="238" t="s">
        <v>249</v>
      </c>
      <c r="R756" s="240" t="s">
        <v>182</v>
      </c>
      <c r="S756" s="240" t="s">
        <v>211</v>
      </c>
      <c r="T756" s="251"/>
      <c r="U756" s="273"/>
      <c r="V756" s="274" t="s">
        <v>184</v>
      </c>
      <c r="W756" s="274" t="s">
        <v>184</v>
      </c>
      <c r="X756" s="275">
        <v>4</v>
      </c>
      <c r="Y756" s="267" t="s">
        <v>4060</v>
      </c>
      <c r="Z756" s="277"/>
      <c r="AA756" s="277" t="s">
        <v>186</v>
      </c>
      <c r="AB756" s="274"/>
      <c r="AC756" s="296"/>
      <c r="AD756" s="287"/>
      <c r="AE756" s="287"/>
      <c r="AF756" s="288"/>
      <c r="AG756" s="286"/>
      <c r="AH756" s="276"/>
      <c r="AI756" s="276"/>
      <c r="AJ756" s="274" t="s">
        <v>203</v>
      </c>
      <c r="AK756" s="274" t="s">
        <v>190</v>
      </c>
      <c r="AL756" s="274" t="s">
        <v>190</v>
      </c>
      <c r="AM756" s="260" t="s">
        <v>3859</v>
      </c>
      <c r="AN756" s="22">
        <v>182</v>
      </c>
      <c r="AO756" s="22">
        <v>0</v>
      </c>
      <c r="AP756" s="22">
        <v>20</v>
      </c>
      <c r="AQ756" s="22">
        <v>0</v>
      </c>
      <c r="AR756" s="22">
        <v>0</v>
      </c>
      <c r="AS756" s="22">
        <v>7</v>
      </c>
      <c r="AT756" s="22">
        <v>10</v>
      </c>
      <c r="AU756" s="316">
        <f t="shared" si="122"/>
        <v>219</v>
      </c>
      <c r="AV756" s="22">
        <v>190</v>
      </c>
      <c r="AW756" s="22">
        <v>0</v>
      </c>
      <c r="AX756" s="22">
        <v>20</v>
      </c>
      <c r="AY756" s="22">
        <v>0</v>
      </c>
      <c r="AZ756" s="22">
        <v>0</v>
      </c>
      <c r="BA756" s="22">
        <v>7</v>
      </c>
      <c r="BB756" s="22">
        <v>10</v>
      </c>
      <c r="BC756" s="316">
        <f t="shared" si="123"/>
        <v>227</v>
      </c>
      <c r="BD756" s="58">
        <f t="shared" si="124"/>
        <v>8</v>
      </c>
      <c r="BE756" s="58">
        <f t="shared" si="125"/>
        <v>0</v>
      </c>
      <c r="BF756" s="58">
        <f t="shared" si="126"/>
        <v>0</v>
      </c>
      <c r="BG756" s="58">
        <f t="shared" si="127"/>
        <v>0</v>
      </c>
      <c r="BH756" s="58">
        <f t="shared" si="128"/>
        <v>0</v>
      </c>
      <c r="BI756" s="58">
        <f t="shared" si="129"/>
        <v>0</v>
      </c>
      <c r="BJ756" s="58">
        <f t="shared" si="130"/>
        <v>0</v>
      </c>
      <c r="BK756" s="58">
        <f t="shared" si="131"/>
        <v>8</v>
      </c>
    </row>
    <row r="757" spans="1:63" ht="27" customHeight="1">
      <c r="A757" s="238">
        <f t="shared" si="132"/>
        <v>755</v>
      </c>
      <c r="B757" s="239"/>
      <c r="C757" s="266">
        <v>3176</v>
      </c>
      <c r="D757" s="241" t="s">
        <v>4553</v>
      </c>
      <c r="E757" s="267" t="s">
        <v>4554</v>
      </c>
      <c r="F757" s="268" t="s">
        <v>4555</v>
      </c>
      <c r="G757" s="269" t="s">
        <v>4556</v>
      </c>
      <c r="H757" s="245" t="s">
        <v>4557</v>
      </c>
      <c r="I757" s="246" t="s">
        <v>4558</v>
      </c>
      <c r="J757" s="270" t="s">
        <v>178</v>
      </c>
      <c r="K757" s="271">
        <v>31210</v>
      </c>
      <c r="L757" s="249" t="s">
        <v>179</v>
      </c>
      <c r="M757" s="272">
        <v>43740</v>
      </c>
      <c r="N757" s="272"/>
      <c r="O757" s="240" t="s">
        <v>4090</v>
      </c>
      <c r="P757" s="238" t="s">
        <v>3775</v>
      </c>
      <c r="Q757" s="238" t="s">
        <v>249</v>
      </c>
      <c r="R757" s="240" t="s">
        <v>182</v>
      </c>
      <c r="S757" s="240" t="s">
        <v>433</v>
      </c>
      <c r="T757" s="251"/>
      <c r="U757" s="273"/>
      <c r="V757" s="274" t="s">
        <v>184</v>
      </c>
      <c r="W757" s="274" t="s">
        <v>184</v>
      </c>
      <c r="X757" s="282">
        <v>6</v>
      </c>
      <c r="Y757" s="267" t="s">
        <v>4559</v>
      </c>
      <c r="Z757" s="277"/>
      <c r="AA757" s="277"/>
      <c r="AB757" s="274"/>
      <c r="AC757" s="296"/>
      <c r="AD757" s="287"/>
      <c r="AE757" s="287"/>
      <c r="AF757" s="288"/>
      <c r="AG757" s="286"/>
      <c r="AH757" s="276"/>
      <c r="AI757" s="276"/>
      <c r="AJ757" s="274" t="s">
        <v>203</v>
      </c>
      <c r="AK757" s="274" t="s">
        <v>190</v>
      </c>
      <c r="AL757" s="274" t="s">
        <v>190</v>
      </c>
      <c r="AM757" s="260" t="s">
        <v>3859</v>
      </c>
      <c r="AN757" s="22">
        <v>182</v>
      </c>
      <c r="AO757" s="22">
        <v>0</v>
      </c>
      <c r="AP757" s="22">
        <v>20</v>
      </c>
      <c r="AQ757" s="22">
        <v>0</v>
      </c>
      <c r="AR757" s="22">
        <v>0</v>
      </c>
      <c r="AS757" s="22">
        <v>7</v>
      </c>
      <c r="AT757" s="22">
        <v>10</v>
      </c>
      <c r="AU757" s="316">
        <f t="shared" si="122"/>
        <v>219</v>
      </c>
      <c r="AV757" s="22">
        <v>190</v>
      </c>
      <c r="AW757" s="22">
        <v>0</v>
      </c>
      <c r="AX757" s="22">
        <v>20</v>
      </c>
      <c r="AY757" s="22">
        <v>0</v>
      </c>
      <c r="AZ757" s="22">
        <v>0</v>
      </c>
      <c r="BA757" s="22">
        <v>7</v>
      </c>
      <c r="BB757" s="22">
        <v>10</v>
      </c>
      <c r="BC757" s="316">
        <f t="shared" si="123"/>
        <v>227</v>
      </c>
      <c r="BD757" s="58">
        <f t="shared" si="124"/>
        <v>8</v>
      </c>
      <c r="BE757" s="58">
        <f t="shared" si="125"/>
        <v>0</v>
      </c>
      <c r="BF757" s="58">
        <f t="shared" si="126"/>
        <v>0</v>
      </c>
      <c r="BG757" s="58">
        <f t="shared" si="127"/>
        <v>0</v>
      </c>
      <c r="BH757" s="58">
        <f t="shared" si="128"/>
        <v>0</v>
      </c>
      <c r="BI757" s="58">
        <f t="shared" si="129"/>
        <v>0</v>
      </c>
      <c r="BJ757" s="58">
        <f t="shared" si="130"/>
        <v>0</v>
      </c>
      <c r="BK757" s="58">
        <f t="shared" si="131"/>
        <v>8</v>
      </c>
    </row>
    <row r="758" spans="1:63" ht="27" customHeight="1">
      <c r="A758" s="238">
        <f t="shared" si="132"/>
        <v>756</v>
      </c>
      <c r="B758" s="239"/>
      <c r="C758" s="266">
        <v>3572</v>
      </c>
      <c r="D758" s="284">
        <v>0</v>
      </c>
      <c r="E758" s="267" t="s">
        <v>4560</v>
      </c>
      <c r="F758" s="268" t="s">
        <v>4561</v>
      </c>
      <c r="G758" s="269" t="s">
        <v>421</v>
      </c>
      <c r="H758" s="245" t="s">
        <v>3897</v>
      </c>
      <c r="I758" s="246" t="s">
        <v>4562</v>
      </c>
      <c r="J758" s="270" t="s">
        <v>178</v>
      </c>
      <c r="K758" s="271">
        <v>31879</v>
      </c>
      <c r="L758" s="249" t="s">
        <v>179</v>
      </c>
      <c r="M758" s="272">
        <v>43748</v>
      </c>
      <c r="N758" s="272"/>
      <c r="O758" s="240" t="s">
        <v>3978</v>
      </c>
      <c r="P758" s="238" t="s">
        <v>3638</v>
      </c>
      <c r="Q758" s="238" t="s">
        <v>249</v>
      </c>
      <c r="R758" s="240" t="s">
        <v>182</v>
      </c>
      <c r="S758" s="240" t="s">
        <v>211</v>
      </c>
      <c r="T758" s="251"/>
      <c r="U758" s="273"/>
      <c r="V758" s="274" t="s">
        <v>184</v>
      </c>
      <c r="W758" s="274">
        <v>5479</v>
      </c>
      <c r="X758" s="275">
        <v>7</v>
      </c>
      <c r="Y758" s="267" t="s">
        <v>4563</v>
      </c>
      <c r="Z758" s="277"/>
      <c r="AA758" s="277" t="s">
        <v>186</v>
      </c>
      <c r="AB758" s="274"/>
      <c r="AC758" s="296" t="s">
        <v>187</v>
      </c>
      <c r="AD758" s="287"/>
      <c r="AE758" s="287"/>
      <c r="AF758" s="288"/>
      <c r="AG758" s="286"/>
      <c r="AH758" s="276"/>
      <c r="AI758" s="276"/>
      <c r="AJ758" s="274" t="s">
        <v>203</v>
      </c>
      <c r="AK758" s="274" t="s">
        <v>190</v>
      </c>
      <c r="AL758" s="274" t="s">
        <v>190</v>
      </c>
      <c r="AM758" s="260" t="s">
        <v>3859</v>
      </c>
      <c r="AN758" s="22">
        <v>182</v>
      </c>
      <c r="AO758" s="22">
        <v>0</v>
      </c>
      <c r="AP758" s="22">
        <v>20</v>
      </c>
      <c r="AQ758" s="22">
        <v>20</v>
      </c>
      <c r="AR758" s="22">
        <v>0</v>
      </c>
      <c r="AS758" s="22">
        <v>7</v>
      </c>
      <c r="AT758" s="22">
        <v>10</v>
      </c>
      <c r="AU758" s="316">
        <f t="shared" si="122"/>
        <v>239</v>
      </c>
      <c r="AV758" s="22">
        <v>190</v>
      </c>
      <c r="AW758" s="22">
        <v>0</v>
      </c>
      <c r="AX758" s="22">
        <v>20</v>
      </c>
      <c r="AY758" s="22">
        <v>20</v>
      </c>
      <c r="AZ758" s="22">
        <v>0</v>
      </c>
      <c r="BA758" s="22">
        <v>7</v>
      </c>
      <c r="BB758" s="22">
        <v>10</v>
      </c>
      <c r="BC758" s="316">
        <f t="shared" si="123"/>
        <v>247</v>
      </c>
      <c r="BD758" s="58">
        <f t="shared" si="124"/>
        <v>8</v>
      </c>
      <c r="BE758" s="58">
        <f t="shared" si="125"/>
        <v>0</v>
      </c>
      <c r="BF758" s="58">
        <f t="shared" si="126"/>
        <v>0</v>
      </c>
      <c r="BG758" s="58">
        <f t="shared" si="127"/>
        <v>0</v>
      </c>
      <c r="BH758" s="58">
        <f t="shared" si="128"/>
        <v>0</v>
      </c>
      <c r="BI758" s="58">
        <f t="shared" si="129"/>
        <v>0</v>
      </c>
      <c r="BJ758" s="58">
        <f t="shared" si="130"/>
        <v>0</v>
      </c>
      <c r="BK758" s="58">
        <f t="shared" si="131"/>
        <v>8</v>
      </c>
    </row>
    <row r="759" spans="1:63" ht="27" customHeight="1">
      <c r="A759" s="238">
        <f t="shared" si="132"/>
        <v>757</v>
      </c>
      <c r="B759" s="239"/>
      <c r="C759" s="266">
        <v>3165</v>
      </c>
      <c r="D759" s="284">
        <v>0</v>
      </c>
      <c r="E759" s="267" t="s">
        <v>296</v>
      </c>
      <c r="F759" s="268" t="s">
        <v>881</v>
      </c>
      <c r="G759" s="269" t="s">
        <v>742</v>
      </c>
      <c r="H759" s="245" t="s">
        <v>882</v>
      </c>
      <c r="I759" s="246" t="s">
        <v>24</v>
      </c>
      <c r="J759" s="270" t="s">
        <v>178</v>
      </c>
      <c r="K759" s="271">
        <v>30176</v>
      </c>
      <c r="L759" s="249" t="s">
        <v>179</v>
      </c>
      <c r="M759" s="272">
        <v>43740</v>
      </c>
      <c r="N759" s="272"/>
      <c r="O759" s="240" t="s">
        <v>4090</v>
      </c>
      <c r="P759" s="238" t="s">
        <v>3775</v>
      </c>
      <c r="Q759" s="238" t="s">
        <v>249</v>
      </c>
      <c r="R759" s="240" t="s">
        <v>182</v>
      </c>
      <c r="S759" s="240" t="s">
        <v>727</v>
      </c>
      <c r="T759" s="251"/>
      <c r="U759" s="273"/>
      <c r="V759" s="274" t="s">
        <v>184</v>
      </c>
      <c r="W759" s="274" t="s">
        <v>184</v>
      </c>
      <c r="X759" s="275">
        <v>4</v>
      </c>
      <c r="Y759" s="267" t="s">
        <v>4564</v>
      </c>
      <c r="Z759" s="277"/>
      <c r="AA759" s="277" t="s">
        <v>186</v>
      </c>
      <c r="AB759" s="274"/>
      <c r="AC759" s="296"/>
      <c r="AD759" s="287"/>
      <c r="AE759" s="287"/>
      <c r="AF759" s="288"/>
      <c r="AG759" s="286"/>
      <c r="AH759" s="276"/>
      <c r="AI759" s="276"/>
      <c r="AJ759" s="274" t="s">
        <v>203</v>
      </c>
      <c r="AK759" s="274" t="s">
        <v>190</v>
      </c>
      <c r="AL759" s="274" t="s">
        <v>190</v>
      </c>
      <c r="AM759" s="260" t="s">
        <v>3859</v>
      </c>
      <c r="AN759" s="22">
        <v>182</v>
      </c>
      <c r="AO759" s="22">
        <v>0</v>
      </c>
      <c r="AP759" s="22">
        <v>20</v>
      </c>
      <c r="AQ759" s="22">
        <v>0</v>
      </c>
      <c r="AR759" s="22">
        <v>0</v>
      </c>
      <c r="AS759" s="22">
        <v>7</v>
      </c>
      <c r="AT759" s="22">
        <v>10</v>
      </c>
      <c r="AU759" s="316">
        <f t="shared" si="122"/>
        <v>219</v>
      </c>
      <c r="AV759" s="22">
        <v>190</v>
      </c>
      <c r="AW759" s="22">
        <v>0</v>
      </c>
      <c r="AX759" s="22">
        <v>20</v>
      </c>
      <c r="AY759" s="22">
        <v>0</v>
      </c>
      <c r="AZ759" s="22">
        <v>0</v>
      </c>
      <c r="BA759" s="22">
        <v>7</v>
      </c>
      <c r="BB759" s="22">
        <v>10</v>
      </c>
      <c r="BC759" s="316">
        <f t="shared" si="123"/>
        <v>227</v>
      </c>
      <c r="BD759" s="58">
        <f t="shared" si="124"/>
        <v>8</v>
      </c>
      <c r="BE759" s="58">
        <f t="shared" si="125"/>
        <v>0</v>
      </c>
      <c r="BF759" s="58">
        <f t="shared" si="126"/>
        <v>0</v>
      </c>
      <c r="BG759" s="58">
        <f t="shared" si="127"/>
        <v>0</v>
      </c>
      <c r="BH759" s="58">
        <f t="shared" si="128"/>
        <v>0</v>
      </c>
      <c r="BI759" s="58">
        <f t="shared" si="129"/>
        <v>0</v>
      </c>
      <c r="BJ759" s="58">
        <f t="shared" si="130"/>
        <v>0</v>
      </c>
      <c r="BK759" s="58">
        <f t="shared" si="131"/>
        <v>8</v>
      </c>
    </row>
    <row r="760" spans="1:63" ht="27" customHeight="1">
      <c r="A760" s="238">
        <f t="shared" si="132"/>
        <v>758</v>
      </c>
      <c r="B760" s="239"/>
      <c r="C760" s="266">
        <v>3643</v>
      </c>
      <c r="D760" s="280" t="s">
        <v>4565</v>
      </c>
      <c r="E760" s="267" t="s">
        <v>296</v>
      </c>
      <c r="F760" s="268" t="s">
        <v>932</v>
      </c>
      <c r="G760" s="269" t="s">
        <v>4566</v>
      </c>
      <c r="H760" s="245" t="s">
        <v>934</v>
      </c>
      <c r="I760" s="246" t="s">
        <v>4567</v>
      </c>
      <c r="J760" s="270" t="s">
        <v>209</v>
      </c>
      <c r="K760" s="271">
        <v>36078</v>
      </c>
      <c r="L760" s="249" t="s">
        <v>179</v>
      </c>
      <c r="M760" s="272">
        <v>43754</v>
      </c>
      <c r="N760" s="272"/>
      <c r="O760" s="240"/>
      <c r="P760" s="238" t="s">
        <v>3775</v>
      </c>
      <c r="Q760" s="238" t="s">
        <v>249</v>
      </c>
      <c r="R760" s="240" t="s">
        <v>182</v>
      </c>
      <c r="S760" s="240" t="s">
        <v>211</v>
      </c>
      <c r="T760" s="251"/>
      <c r="U760" s="273"/>
      <c r="V760" s="274" t="s">
        <v>184</v>
      </c>
      <c r="W760" s="274">
        <v>1318</v>
      </c>
      <c r="X760" s="275">
        <v>6</v>
      </c>
      <c r="Y760" s="267" t="s">
        <v>4568</v>
      </c>
      <c r="Z760" s="277" t="s">
        <v>186</v>
      </c>
      <c r="AA760" s="277"/>
      <c r="AB760" s="274"/>
      <c r="AC760" s="296"/>
      <c r="AD760" s="287"/>
      <c r="AE760" s="287"/>
      <c r="AF760" s="288"/>
      <c r="AG760" s="286"/>
      <c r="AH760" s="276"/>
      <c r="AI760" s="276"/>
      <c r="AJ760" s="274" t="s">
        <v>190</v>
      </c>
      <c r="AK760" s="274" t="s">
        <v>190</v>
      </c>
      <c r="AL760" s="274" t="s">
        <v>203</v>
      </c>
      <c r="AM760" s="289" t="s">
        <v>3876</v>
      </c>
      <c r="AN760" s="22">
        <v>182</v>
      </c>
      <c r="AO760" s="22">
        <v>0</v>
      </c>
      <c r="AP760" s="22">
        <v>20</v>
      </c>
      <c r="AQ760" s="22">
        <v>0</v>
      </c>
      <c r="AR760" s="22">
        <v>0</v>
      </c>
      <c r="AS760" s="22">
        <v>7</v>
      </c>
      <c r="AT760" s="22">
        <v>10</v>
      </c>
      <c r="AU760" s="316">
        <f t="shared" si="122"/>
        <v>219</v>
      </c>
      <c r="AV760" s="22">
        <v>190</v>
      </c>
      <c r="AW760" s="22">
        <v>0</v>
      </c>
      <c r="AX760" s="22">
        <v>20</v>
      </c>
      <c r="AY760" s="22">
        <v>0</v>
      </c>
      <c r="AZ760" s="22">
        <v>0</v>
      </c>
      <c r="BA760" s="22">
        <v>7</v>
      </c>
      <c r="BB760" s="22">
        <v>10</v>
      </c>
      <c r="BC760" s="316">
        <f t="shared" si="123"/>
        <v>227</v>
      </c>
      <c r="BD760" s="58">
        <f t="shared" si="124"/>
        <v>8</v>
      </c>
      <c r="BE760" s="58">
        <f t="shared" si="125"/>
        <v>0</v>
      </c>
      <c r="BF760" s="58">
        <f t="shared" si="126"/>
        <v>0</v>
      </c>
      <c r="BG760" s="58">
        <f t="shared" si="127"/>
        <v>0</v>
      </c>
      <c r="BH760" s="58">
        <f t="shared" si="128"/>
        <v>0</v>
      </c>
      <c r="BI760" s="58">
        <f t="shared" si="129"/>
        <v>0</v>
      </c>
      <c r="BJ760" s="58">
        <f t="shared" si="130"/>
        <v>0</v>
      </c>
      <c r="BK760" s="58">
        <f t="shared" si="131"/>
        <v>8</v>
      </c>
    </row>
    <row r="761" spans="1:63" ht="27" customHeight="1">
      <c r="A761" s="238">
        <f t="shared" si="132"/>
        <v>759</v>
      </c>
      <c r="B761" s="239"/>
      <c r="C761" s="266">
        <v>3214</v>
      </c>
      <c r="D761" s="241" t="s">
        <v>4569</v>
      </c>
      <c r="E761" s="267" t="s">
        <v>4570</v>
      </c>
      <c r="F761" s="268" t="s">
        <v>557</v>
      </c>
      <c r="G761" s="269" t="s">
        <v>4571</v>
      </c>
      <c r="H761" s="245" t="s">
        <v>559</v>
      </c>
      <c r="I761" s="246" t="s">
        <v>4572</v>
      </c>
      <c r="J761" s="270" t="s">
        <v>178</v>
      </c>
      <c r="K761" s="271">
        <v>34472</v>
      </c>
      <c r="L761" s="249" t="s">
        <v>179</v>
      </c>
      <c r="M761" s="272">
        <v>43741</v>
      </c>
      <c r="N761" s="272"/>
      <c r="O761" s="240" t="s">
        <v>4090</v>
      </c>
      <c r="P761" s="238" t="s">
        <v>3775</v>
      </c>
      <c r="Q761" s="238" t="s">
        <v>249</v>
      </c>
      <c r="R761" s="240" t="s">
        <v>182</v>
      </c>
      <c r="S761" s="240" t="s">
        <v>183</v>
      </c>
      <c r="T761" s="251"/>
      <c r="U761" s="273"/>
      <c r="V761" s="274" t="s">
        <v>184</v>
      </c>
      <c r="W761" s="274" t="s">
        <v>184</v>
      </c>
      <c r="X761" s="275">
        <v>7</v>
      </c>
      <c r="Y761" s="267" t="s">
        <v>4392</v>
      </c>
      <c r="Z761" s="277"/>
      <c r="AA761" s="277" t="s">
        <v>186</v>
      </c>
      <c r="AB761" s="274"/>
      <c r="AC761" s="296"/>
      <c r="AD761" s="287"/>
      <c r="AE761" s="287"/>
      <c r="AF761" s="288"/>
      <c r="AG761" s="286"/>
      <c r="AH761" s="276"/>
      <c r="AI761" s="276"/>
      <c r="AJ761" s="274" t="s">
        <v>203</v>
      </c>
      <c r="AK761" s="274" t="s">
        <v>190</v>
      </c>
      <c r="AL761" s="274" t="s">
        <v>190</v>
      </c>
      <c r="AM761" s="260" t="s">
        <v>3916</v>
      </c>
      <c r="AN761" s="22">
        <v>182</v>
      </c>
      <c r="AO761" s="22">
        <v>0</v>
      </c>
      <c r="AP761" s="22">
        <v>20</v>
      </c>
      <c r="AQ761" s="22">
        <v>0</v>
      </c>
      <c r="AR761" s="22">
        <v>0</v>
      </c>
      <c r="AS761" s="22">
        <v>7</v>
      </c>
      <c r="AT761" s="22">
        <v>10</v>
      </c>
      <c r="AU761" s="316">
        <f t="shared" si="122"/>
        <v>219</v>
      </c>
      <c r="AV761" s="22">
        <v>190</v>
      </c>
      <c r="AW761" s="22">
        <v>0</v>
      </c>
      <c r="AX761" s="22">
        <v>20</v>
      </c>
      <c r="AY761" s="22">
        <v>0</v>
      </c>
      <c r="AZ761" s="22">
        <v>0</v>
      </c>
      <c r="BA761" s="22">
        <v>7</v>
      </c>
      <c r="BB761" s="22">
        <v>10</v>
      </c>
      <c r="BC761" s="316">
        <f t="shared" si="123"/>
        <v>227</v>
      </c>
      <c r="BD761" s="58">
        <f t="shared" si="124"/>
        <v>8</v>
      </c>
      <c r="BE761" s="58">
        <f t="shared" si="125"/>
        <v>0</v>
      </c>
      <c r="BF761" s="58">
        <f t="shared" si="126"/>
        <v>0</v>
      </c>
      <c r="BG761" s="58">
        <f t="shared" si="127"/>
        <v>0</v>
      </c>
      <c r="BH761" s="58">
        <f t="shared" si="128"/>
        <v>0</v>
      </c>
      <c r="BI761" s="58">
        <f t="shared" si="129"/>
        <v>0</v>
      </c>
      <c r="BJ761" s="58">
        <f t="shared" si="130"/>
        <v>0</v>
      </c>
      <c r="BK761" s="58">
        <f t="shared" si="131"/>
        <v>8</v>
      </c>
    </row>
    <row r="762" spans="1:63" ht="27" customHeight="1">
      <c r="A762" s="238">
        <f t="shared" si="132"/>
        <v>760</v>
      </c>
      <c r="B762" s="239"/>
      <c r="C762" s="266">
        <v>3583</v>
      </c>
      <c r="D762" s="241" t="s">
        <v>4573</v>
      </c>
      <c r="E762" s="267" t="s">
        <v>4574</v>
      </c>
      <c r="F762" s="268" t="s">
        <v>481</v>
      </c>
      <c r="G762" s="269" t="s">
        <v>2241</v>
      </c>
      <c r="H762" s="245" t="s">
        <v>1061</v>
      </c>
      <c r="I762" s="246" t="s">
        <v>4575</v>
      </c>
      <c r="J762" s="270" t="s">
        <v>178</v>
      </c>
      <c r="K762" s="271">
        <v>35014</v>
      </c>
      <c r="L762" s="249" t="s">
        <v>179</v>
      </c>
      <c r="M762" s="272">
        <v>43749</v>
      </c>
      <c r="N762" s="272"/>
      <c r="O762" s="240"/>
      <c r="P762" s="238" t="s">
        <v>3649</v>
      </c>
      <c r="Q762" s="238" t="s">
        <v>249</v>
      </c>
      <c r="R762" s="240" t="s">
        <v>182</v>
      </c>
      <c r="S762" s="240" t="s">
        <v>256</v>
      </c>
      <c r="T762" s="251"/>
      <c r="U762" s="273"/>
      <c r="V762" s="274" t="s">
        <v>184</v>
      </c>
      <c r="W762" s="274" t="s">
        <v>184</v>
      </c>
      <c r="X762" s="275"/>
      <c r="Y762" s="267" t="s">
        <v>4576</v>
      </c>
      <c r="Z762" s="277"/>
      <c r="AA762" s="277" t="s">
        <v>186</v>
      </c>
      <c r="AB762" s="274"/>
      <c r="AC762" s="296"/>
      <c r="AD762" s="287"/>
      <c r="AE762" s="287"/>
      <c r="AF762" s="288"/>
      <c r="AG762" s="286"/>
      <c r="AH762" s="276"/>
      <c r="AI762" s="276"/>
      <c r="AJ762" s="274" t="s">
        <v>190</v>
      </c>
      <c r="AK762" s="274" t="s">
        <v>190</v>
      </c>
      <c r="AL762" s="274" t="s">
        <v>190</v>
      </c>
      <c r="AM762" s="260" t="s">
        <v>3916</v>
      </c>
      <c r="AN762" s="22">
        <v>182</v>
      </c>
      <c r="AO762" s="22">
        <v>0</v>
      </c>
      <c r="AP762" s="22">
        <v>20</v>
      </c>
      <c r="AQ762" s="22">
        <v>0</v>
      </c>
      <c r="AR762" s="22">
        <v>0</v>
      </c>
      <c r="AS762" s="22">
        <v>7</v>
      </c>
      <c r="AT762" s="22">
        <v>10</v>
      </c>
      <c r="AU762" s="316">
        <f t="shared" si="122"/>
        <v>219</v>
      </c>
      <c r="AV762" s="22">
        <v>190</v>
      </c>
      <c r="AW762" s="22">
        <v>0</v>
      </c>
      <c r="AX762" s="22">
        <v>20</v>
      </c>
      <c r="AY762" s="22">
        <v>0</v>
      </c>
      <c r="AZ762" s="22">
        <v>0</v>
      </c>
      <c r="BA762" s="22">
        <v>7</v>
      </c>
      <c r="BB762" s="22">
        <v>10</v>
      </c>
      <c r="BC762" s="316">
        <f t="shared" si="123"/>
        <v>227</v>
      </c>
      <c r="BD762" s="58">
        <f t="shared" si="124"/>
        <v>8</v>
      </c>
      <c r="BE762" s="58">
        <f t="shared" si="125"/>
        <v>0</v>
      </c>
      <c r="BF762" s="58">
        <f t="shared" si="126"/>
        <v>0</v>
      </c>
      <c r="BG762" s="58">
        <f t="shared" si="127"/>
        <v>0</v>
      </c>
      <c r="BH762" s="58">
        <f t="shared" si="128"/>
        <v>0</v>
      </c>
      <c r="BI762" s="58">
        <f t="shared" si="129"/>
        <v>0</v>
      </c>
      <c r="BJ762" s="58">
        <f t="shared" si="130"/>
        <v>0</v>
      </c>
      <c r="BK762" s="58">
        <f t="shared" si="131"/>
        <v>8</v>
      </c>
    </row>
    <row r="763" spans="1:63" ht="27" customHeight="1">
      <c r="A763" s="238">
        <f t="shared" si="132"/>
        <v>761</v>
      </c>
      <c r="B763" s="239"/>
      <c r="C763" s="266">
        <v>3183</v>
      </c>
      <c r="D763" s="241" t="s">
        <v>4577</v>
      </c>
      <c r="E763" s="267" t="s">
        <v>4578</v>
      </c>
      <c r="F763" s="268" t="s">
        <v>195</v>
      </c>
      <c r="G763" s="269" t="s">
        <v>1028</v>
      </c>
      <c r="H763" s="245" t="s">
        <v>699</v>
      </c>
      <c r="I763" s="246" t="s">
        <v>4579</v>
      </c>
      <c r="J763" s="270" t="s">
        <v>178</v>
      </c>
      <c r="K763" s="271">
        <v>33360</v>
      </c>
      <c r="L763" s="249" t="s">
        <v>179</v>
      </c>
      <c r="M763" s="272">
        <v>43741</v>
      </c>
      <c r="N763" s="272"/>
      <c r="O763" s="240"/>
      <c r="P763" s="238" t="s">
        <v>3775</v>
      </c>
      <c r="Q763" s="238" t="s">
        <v>249</v>
      </c>
      <c r="R763" s="240" t="s">
        <v>182</v>
      </c>
      <c r="S763" s="240" t="s">
        <v>256</v>
      </c>
      <c r="T763" s="251"/>
      <c r="U763" s="273"/>
      <c r="V763" s="274" t="s">
        <v>184</v>
      </c>
      <c r="W763" s="274" t="s">
        <v>184</v>
      </c>
      <c r="X763" s="275">
        <v>5</v>
      </c>
      <c r="Y763" s="267" t="s">
        <v>4580</v>
      </c>
      <c r="Z763" s="277"/>
      <c r="AA763" s="277" t="s">
        <v>186</v>
      </c>
      <c r="AB763" s="274"/>
      <c r="AC763" s="296"/>
      <c r="AD763" s="287"/>
      <c r="AE763" s="287"/>
      <c r="AF763" s="288"/>
      <c r="AG763" s="286"/>
      <c r="AH763" s="276"/>
      <c r="AI763" s="276"/>
      <c r="AJ763" s="274" t="s">
        <v>203</v>
      </c>
      <c r="AK763" s="274" t="s">
        <v>190</v>
      </c>
      <c r="AL763" s="274" t="s">
        <v>190</v>
      </c>
      <c r="AM763" s="260" t="s">
        <v>332</v>
      </c>
      <c r="AN763" s="22">
        <v>182</v>
      </c>
      <c r="AO763" s="22">
        <v>0</v>
      </c>
      <c r="AP763" s="22">
        <v>20</v>
      </c>
      <c r="AQ763" s="22">
        <v>0</v>
      </c>
      <c r="AR763" s="22">
        <v>0</v>
      </c>
      <c r="AS763" s="22">
        <v>7</v>
      </c>
      <c r="AT763" s="22">
        <v>10</v>
      </c>
      <c r="AU763" s="316">
        <f t="shared" si="122"/>
        <v>219</v>
      </c>
      <c r="AV763" s="22">
        <v>190</v>
      </c>
      <c r="AW763" s="22">
        <v>0</v>
      </c>
      <c r="AX763" s="22">
        <v>20</v>
      </c>
      <c r="AY763" s="22">
        <v>0</v>
      </c>
      <c r="AZ763" s="22">
        <v>0</v>
      </c>
      <c r="BA763" s="22">
        <v>7</v>
      </c>
      <c r="BB763" s="22">
        <v>10</v>
      </c>
      <c r="BC763" s="316">
        <f t="shared" si="123"/>
        <v>227</v>
      </c>
      <c r="BD763" s="58">
        <f t="shared" si="124"/>
        <v>8</v>
      </c>
      <c r="BE763" s="58">
        <f t="shared" si="125"/>
        <v>0</v>
      </c>
      <c r="BF763" s="58">
        <f t="shared" si="126"/>
        <v>0</v>
      </c>
      <c r="BG763" s="58">
        <f t="shared" si="127"/>
        <v>0</v>
      </c>
      <c r="BH763" s="58">
        <f t="shared" si="128"/>
        <v>0</v>
      </c>
      <c r="BI763" s="58">
        <f t="shared" si="129"/>
        <v>0</v>
      </c>
      <c r="BJ763" s="58">
        <f t="shared" si="130"/>
        <v>0</v>
      </c>
      <c r="BK763" s="58">
        <f t="shared" si="131"/>
        <v>8</v>
      </c>
    </row>
    <row r="764" spans="1:63" ht="27" customHeight="1">
      <c r="A764" s="238">
        <f t="shared" si="132"/>
        <v>762</v>
      </c>
      <c r="B764" s="239"/>
      <c r="C764" s="266">
        <v>3163</v>
      </c>
      <c r="D764" s="241" t="s">
        <v>4581</v>
      </c>
      <c r="E764" s="267" t="s">
        <v>296</v>
      </c>
      <c r="F764" s="268" t="s">
        <v>218</v>
      </c>
      <c r="G764" s="269" t="s">
        <v>1710</v>
      </c>
      <c r="H764" s="245" t="s">
        <v>1989</v>
      </c>
      <c r="I764" s="246" t="s">
        <v>1711</v>
      </c>
      <c r="J764" s="270" t="s">
        <v>178</v>
      </c>
      <c r="K764" s="271">
        <v>36165</v>
      </c>
      <c r="L764" s="249" t="s">
        <v>179</v>
      </c>
      <c r="M764" s="272">
        <v>43741</v>
      </c>
      <c r="N764" s="272"/>
      <c r="O764" s="240" t="s">
        <v>3965</v>
      </c>
      <c r="P764" s="238" t="s">
        <v>3785</v>
      </c>
      <c r="Q764" s="238" t="s">
        <v>249</v>
      </c>
      <c r="R764" s="240" t="s">
        <v>182</v>
      </c>
      <c r="S764" s="240" t="s">
        <v>256</v>
      </c>
      <c r="T764" s="251"/>
      <c r="U764" s="273"/>
      <c r="V764" s="274" t="s">
        <v>184</v>
      </c>
      <c r="W764" s="274" t="s">
        <v>184</v>
      </c>
      <c r="X764" s="275">
        <v>4</v>
      </c>
      <c r="Y764" s="267" t="s">
        <v>4582</v>
      </c>
      <c r="Z764" s="277"/>
      <c r="AA764" s="277" t="s">
        <v>186</v>
      </c>
      <c r="AB764" s="274"/>
      <c r="AC764" s="296"/>
      <c r="AD764" s="287"/>
      <c r="AE764" s="287"/>
      <c r="AF764" s="288"/>
      <c r="AG764" s="286"/>
      <c r="AH764" s="276"/>
      <c r="AI764" s="276"/>
      <c r="AJ764" s="274" t="s">
        <v>203</v>
      </c>
      <c r="AK764" s="274" t="s">
        <v>190</v>
      </c>
      <c r="AL764" s="274" t="s">
        <v>190</v>
      </c>
      <c r="AM764" s="260" t="s">
        <v>3859</v>
      </c>
      <c r="AN764" s="22">
        <v>182</v>
      </c>
      <c r="AO764" s="22">
        <v>0</v>
      </c>
      <c r="AP764" s="22">
        <v>0</v>
      </c>
      <c r="AQ764" s="22">
        <v>0</v>
      </c>
      <c r="AR764" s="22">
        <v>0</v>
      </c>
      <c r="AS764" s="22">
        <v>7</v>
      </c>
      <c r="AT764" s="22">
        <v>10</v>
      </c>
      <c r="AU764" s="316">
        <f t="shared" si="122"/>
        <v>199</v>
      </c>
      <c r="AV764" s="22">
        <v>190</v>
      </c>
      <c r="AW764" s="22">
        <v>0</v>
      </c>
      <c r="AX764" s="22">
        <v>0</v>
      </c>
      <c r="AY764" s="22">
        <v>0</v>
      </c>
      <c r="AZ764" s="22">
        <v>0</v>
      </c>
      <c r="BA764" s="22">
        <v>7</v>
      </c>
      <c r="BB764" s="22">
        <v>10</v>
      </c>
      <c r="BC764" s="316">
        <f t="shared" si="123"/>
        <v>207</v>
      </c>
      <c r="BD764" s="58">
        <f t="shared" si="124"/>
        <v>8</v>
      </c>
      <c r="BE764" s="58">
        <f t="shared" si="125"/>
        <v>0</v>
      </c>
      <c r="BF764" s="58">
        <f t="shared" si="126"/>
        <v>0</v>
      </c>
      <c r="BG764" s="58">
        <f t="shared" si="127"/>
        <v>0</v>
      </c>
      <c r="BH764" s="58">
        <f t="shared" si="128"/>
        <v>0</v>
      </c>
      <c r="BI764" s="58">
        <f t="shared" si="129"/>
        <v>0</v>
      </c>
      <c r="BJ764" s="58">
        <f t="shared" si="130"/>
        <v>0</v>
      </c>
      <c r="BK764" s="58">
        <f t="shared" si="131"/>
        <v>8</v>
      </c>
    </row>
    <row r="765" spans="1:63" ht="27" customHeight="1">
      <c r="A765" s="238">
        <f t="shared" si="132"/>
        <v>763</v>
      </c>
      <c r="B765" s="239"/>
      <c r="C765" s="266">
        <v>3310</v>
      </c>
      <c r="D765" s="241" t="s">
        <v>4583</v>
      </c>
      <c r="E765" s="267" t="s">
        <v>4584</v>
      </c>
      <c r="F765" s="268" t="s">
        <v>4585</v>
      </c>
      <c r="G765" s="269" t="s">
        <v>792</v>
      </c>
      <c r="H765" s="245" t="s">
        <v>4586</v>
      </c>
      <c r="I765" s="246" t="s">
        <v>4587</v>
      </c>
      <c r="J765" s="270" t="s">
        <v>178</v>
      </c>
      <c r="K765" s="271">
        <v>36048</v>
      </c>
      <c r="L765" s="249" t="s">
        <v>179</v>
      </c>
      <c r="M765" s="272">
        <v>43742</v>
      </c>
      <c r="N765" s="272"/>
      <c r="O765" s="240" t="s">
        <v>4004</v>
      </c>
      <c r="P765" s="238" t="s">
        <v>3833</v>
      </c>
      <c r="Q765" s="238" t="s">
        <v>249</v>
      </c>
      <c r="R765" s="240" t="s">
        <v>182</v>
      </c>
      <c r="S765" s="240" t="s">
        <v>219</v>
      </c>
      <c r="T765" s="251"/>
      <c r="U765" s="273"/>
      <c r="V765" s="274" t="s">
        <v>184</v>
      </c>
      <c r="W765" s="274" t="s">
        <v>184</v>
      </c>
      <c r="X765" s="275">
        <v>5</v>
      </c>
      <c r="Y765" s="267" t="s">
        <v>4588</v>
      </c>
      <c r="Z765" s="277"/>
      <c r="AA765" s="277" t="s">
        <v>186</v>
      </c>
      <c r="AB765" s="274"/>
      <c r="AC765" s="296"/>
      <c r="AD765" s="287"/>
      <c r="AE765" s="287"/>
      <c r="AF765" s="288"/>
      <c r="AG765" s="286"/>
      <c r="AH765" s="276"/>
      <c r="AI765" s="276"/>
      <c r="AJ765" s="274" t="s">
        <v>203</v>
      </c>
      <c r="AK765" s="274" t="s">
        <v>190</v>
      </c>
      <c r="AL765" s="274" t="s">
        <v>190</v>
      </c>
      <c r="AM765" s="260" t="s">
        <v>241</v>
      </c>
      <c r="AN765" s="22">
        <v>182</v>
      </c>
      <c r="AO765" s="22">
        <v>0</v>
      </c>
      <c r="AP765" s="22">
        <v>20</v>
      </c>
      <c r="AQ765" s="22">
        <v>0</v>
      </c>
      <c r="AR765" s="22">
        <v>0</v>
      </c>
      <c r="AS765" s="22">
        <v>7</v>
      </c>
      <c r="AT765" s="22">
        <v>10</v>
      </c>
      <c r="AU765" s="316">
        <f t="shared" si="122"/>
        <v>219</v>
      </c>
      <c r="AV765" s="22">
        <v>190</v>
      </c>
      <c r="AW765" s="22">
        <v>0</v>
      </c>
      <c r="AX765" s="22">
        <v>20</v>
      </c>
      <c r="AY765" s="22">
        <v>0</v>
      </c>
      <c r="AZ765" s="22">
        <v>0</v>
      </c>
      <c r="BA765" s="22">
        <v>7</v>
      </c>
      <c r="BB765" s="22">
        <v>10</v>
      </c>
      <c r="BC765" s="316">
        <f t="shared" si="123"/>
        <v>227</v>
      </c>
      <c r="BD765" s="58">
        <f t="shared" si="124"/>
        <v>8</v>
      </c>
      <c r="BE765" s="58">
        <f t="shared" si="125"/>
        <v>0</v>
      </c>
      <c r="BF765" s="58">
        <f t="shared" si="126"/>
        <v>0</v>
      </c>
      <c r="BG765" s="58">
        <f t="shared" si="127"/>
        <v>0</v>
      </c>
      <c r="BH765" s="58">
        <f t="shared" si="128"/>
        <v>0</v>
      </c>
      <c r="BI765" s="58">
        <f t="shared" si="129"/>
        <v>0</v>
      </c>
      <c r="BJ765" s="58">
        <f t="shared" si="130"/>
        <v>0</v>
      </c>
      <c r="BK765" s="58">
        <f t="shared" si="131"/>
        <v>8</v>
      </c>
    </row>
    <row r="766" spans="1:63" ht="27" customHeight="1">
      <c r="A766" s="238">
        <f t="shared" si="132"/>
        <v>764</v>
      </c>
      <c r="B766" s="239"/>
      <c r="C766" s="266">
        <v>3642</v>
      </c>
      <c r="D766" s="241" t="s">
        <v>4589</v>
      </c>
      <c r="E766" s="267" t="s">
        <v>4590</v>
      </c>
      <c r="F766" s="268" t="s">
        <v>398</v>
      </c>
      <c r="G766" s="269" t="s">
        <v>4591</v>
      </c>
      <c r="H766" s="245" t="s">
        <v>4592</v>
      </c>
      <c r="I766" s="246" t="s">
        <v>4593</v>
      </c>
      <c r="J766" s="270" t="s">
        <v>209</v>
      </c>
      <c r="K766" s="271">
        <v>33770</v>
      </c>
      <c r="L766" s="249" t="s">
        <v>179</v>
      </c>
      <c r="M766" s="272">
        <v>43748</v>
      </c>
      <c r="N766" s="272"/>
      <c r="O766" s="240" t="s">
        <v>4594</v>
      </c>
      <c r="P766" s="238" t="s">
        <v>2410</v>
      </c>
      <c r="Q766" s="238" t="s">
        <v>249</v>
      </c>
      <c r="R766" s="240" t="s">
        <v>182</v>
      </c>
      <c r="S766" s="240" t="s">
        <v>211</v>
      </c>
      <c r="T766" s="251"/>
      <c r="U766" s="273"/>
      <c r="V766" s="274" t="s">
        <v>184</v>
      </c>
      <c r="W766" s="274" t="s">
        <v>184</v>
      </c>
      <c r="X766" s="275"/>
      <c r="Y766" s="267"/>
      <c r="Z766" s="277"/>
      <c r="AA766" s="277"/>
      <c r="AB766" s="274"/>
      <c r="AC766" s="296"/>
      <c r="AD766" s="287"/>
      <c r="AE766" s="287"/>
      <c r="AF766" s="287"/>
      <c r="AG766" s="286"/>
      <c r="AH766" s="276"/>
      <c r="AI766" s="276"/>
      <c r="AJ766" s="274" t="s">
        <v>190</v>
      </c>
      <c r="AK766" s="274" t="s">
        <v>190</v>
      </c>
      <c r="AL766" s="274" t="s">
        <v>203</v>
      </c>
      <c r="AM766" s="260" t="s">
        <v>3859</v>
      </c>
      <c r="AN766" s="22">
        <v>182</v>
      </c>
      <c r="AO766" s="22">
        <v>0</v>
      </c>
      <c r="AP766" s="22">
        <v>20</v>
      </c>
      <c r="AQ766" s="22">
        <v>168</v>
      </c>
      <c r="AR766" s="22">
        <v>0</v>
      </c>
      <c r="AS766" s="22">
        <v>7</v>
      </c>
      <c r="AT766" s="22">
        <v>10</v>
      </c>
      <c r="AU766" s="316">
        <f t="shared" si="122"/>
        <v>387</v>
      </c>
      <c r="AV766" s="22">
        <v>190</v>
      </c>
      <c r="AW766" s="22">
        <v>0</v>
      </c>
      <c r="AX766" s="22">
        <v>20</v>
      </c>
      <c r="AY766" s="22">
        <v>168</v>
      </c>
      <c r="AZ766" s="22">
        <v>0</v>
      </c>
      <c r="BA766" s="22">
        <v>7</v>
      </c>
      <c r="BB766" s="22">
        <v>10</v>
      </c>
      <c r="BC766" s="316">
        <f t="shared" si="123"/>
        <v>395</v>
      </c>
      <c r="BD766" s="58">
        <f t="shared" si="124"/>
        <v>8</v>
      </c>
      <c r="BE766" s="58">
        <f t="shared" si="125"/>
        <v>0</v>
      </c>
      <c r="BF766" s="58">
        <f t="shared" si="126"/>
        <v>0</v>
      </c>
      <c r="BG766" s="58">
        <f t="shared" si="127"/>
        <v>0</v>
      </c>
      <c r="BH766" s="58">
        <f t="shared" si="128"/>
        <v>0</v>
      </c>
      <c r="BI766" s="58">
        <f t="shared" si="129"/>
        <v>0</v>
      </c>
      <c r="BJ766" s="58">
        <f t="shared" si="130"/>
        <v>0</v>
      </c>
      <c r="BK766" s="58">
        <f t="shared" si="131"/>
        <v>8</v>
      </c>
    </row>
    <row r="767" spans="1:63" ht="27" customHeight="1">
      <c r="A767" s="238">
        <f t="shared" si="132"/>
        <v>765</v>
      </c>
      <c r="B767" s="239"/>
      <c r="C767" s="266">
        <v>3271</v>
      </c>
      <c r="D767" s="241" t="s">
        <v>4595</v>
      </c>
      <c r="E767" s="267" t="s">
        <v>4596</v>
      </c>
      <c r="F767" s="268" t="s">
        <v>1763</v>
      </c>
      <c r="G767" s="269" t="s">
        <v>4597</v>
      </c>
      <c r="H767" s="245" t="s">
        <v>1764</v>
      </c>
      <c r="I767" s="246" t="s">
        <v>4598</v>
      </c>
      <c r="J767" s="270" t="s">
        <v>209</v>
      </c>
      <c r="K767" s="271">
        <v>34596</v>
      </c>
      <c r="L767" s="249" t="s">
        <v>179</v>
      </c>
      <c r="M767" s="272">
        <v>43745</v>
      </c>
      <c r="N767" s="272"/>
      <c r="O767" s="240" t="s">
        <v>3978</v>
      </c>
      <c r="P767" s="238" t="s">
        <v>2410</v>
      </c>
      <c r="Q767" s="238" t="s">
        <v>249</v>
      </c>
      <c r="R767" s="240" t="s">
        <v>182</v>
      </c>
      <c r="S767" s="240" t="s">
        <v>219</v>
      </c>
      <c r="T767" s="251"/>
      <c r="U767" s="273"/>
      <c r="V767" s="274" t="s">
        <v>184</v>
      </c>
      <c r="W767" s="274" t="s">
        <v>184</v>
      </c>
      <c r="X767" s="275"/>
      <c r="Y767" s="267"/>
      <c r="Z767" s="277"/>
      <c r="AA767" s="277"/>
      <c r="AB767" s="274"/>
      <c r="AC767" s="296"/>
      <c r="AD767" s="287"/>
      <c r="AE767" s="287"/>
      <c r="AF767" s="288"/>
      <c r="AG767" s="286"/>
      <c r="AH767" s="276"/>
      <c r="AI767" s="276"/>
      <c r="AJ767" s="274" t="s">
        <v>203</v>
      </c>
      <c r="AK767" s="274" t="s">
        <v>190</v>
      </c>
      <c r="AL767" s="274" t="s">
        <v>190</v>
      </c>
      <c r="AM767" s="289" t="s">
        <v>4599</v>
      </c>
      <c r="AN767" s="22">
        <v>182</v>
      </c>
      <c r="AO767" s="22">
        <v>0</v>
      </c>
      <c r="AP767" s="22">
        <v>20</v>
      </c>
      <c r="AQ767" s="22">
        <v>148</v>
      </c>
      <c r="AR767" s="22">
        <v>0</v>
      </c>
      <c r="AS767" s="22">
        <v>7</v>
      </c>
      <c r="AT767" s="22">
        <v>10</v>
      </c>
      <c r="AU767" s="316">
        <f t="shared" si="122"/>
        <v>367</v>
      </c>
      <c r="AV767" s="22">
        <v>190</v>
      </c>
      <c r="AW767" s="22">
        <v>0</v>
      </c>
      <c r="AX767" s="22">
        <v>20</v>
      </c>
      <c r="AY767" s="22">
        <v>148</v>
      </c>
      <c r="AZ767" s="22">
        <v>0</v>
      </c>
      <c r="BA767" s="22">
        <v>7</v>
      </c>
      <c r="BB767" s="22">
        <v>10</v>
      </c>
      <c r="BC767" s="316">
        <f t="shared" si="123"/>
        <v>375</v>
      </c>
      <c r="BD767" s="58">
        <f t="shared" si="124"/>
        <v>8</v>
      </c>
      <c r="BE767" s="58">
        <f t="shared" si="125"/>
        <v>0</v>
      </c>
      <c r="BF767" s="58">
        <f t="shared" si="126"/>
        <v>0</v>
      </c>
      <c r="BG767" s="58">
        <f t="shared" si="127"/>
        <v>0</v>
      </c>
      <c r="BH767" s="58">
        <f t="shared" si="128"/>
        <v>0</v>
      </c>
      <c r="BI767" s="58">
        <f t="shared" si="129"/>
        <v>0</v>
      </c>
      <c r="BJ767" s="58">
        <f t="shared" si="130"/>
        <v>0</v>
      </c>
      <c r="BK767" s="58">
        <f t="shared" si="131"/>
        <v>8</v>
      </c>
    </row>
    <row r="768" spans="1:63" ht="27" customHeight="1">
      <c r="A768" s="238">
        <f t="shared" si="132"/>
        <v>766</v>
      </c>
      <c r="B768" s="239"/>
      <c r="C768" s="266">
        <v>3166</v>
      </c>
      <c r="D768" s="241" t="s">
        <v>4600</v>
      </c>
      <c r="E768" s="267" t="s">
        <v>4601</v>
      </c>
      <c r="F768" s="268" t="s">
        <v>742</v>
      </c>
      <c r="G768" s="269" t="s">
        <v>4602</v>
      </c>
      <c r="H768" s="245" t="s">
        <v>24</v>
      </c>
      <c r="I768" s="246" t="s">
        <v>475</v>
      </c>
      <c r="J768" s="270" t="s">
        <v>178</v>
      </c>
      <c r="K768" s="271">
        <v>21427</v>
      </c>
      <c r="L768" s="249" t="s">
        <v>179</v>
      </c>
      <c r="M768" s="272">
        <v>43740</v>
      </c>
      <c r="N768" s="272"/>
      <c r="O768" s="240" t="s">
        <v>4603</v>
      </c>
      <c r="P768" s="238" t="s">
        <v>199</v>
      </c>
      <c r="Q768" s="238" t="s">
        <v>249</v>
      </c>
      <c r="R768" s="240" t="s">
        <v>182</v>
      </c>
      <c r="S768" s="240" t="s">
        <v>4604</v>
      </c>
      <c r="T768" s="251"/>
      <c r="U768" s="273"/>
      <c r="V768" s="274" t="s">
        <v>184</v>
      </c>
      <c r="W768" s="274" t="s">
        <v>184</v>
      </c>
      <c r="X768" s="275">
        <v>4</v>
      </c>
      <c r="Y768" s="267" t="s">
        <v>4605</v>
      </c>
      <c r="Z768" s="277"/>
      <c r="AA768" s="277" t="s">
        <v>186</v>
      </c>
      <c r="AB768" s="277"/>
      <c r="AC768" s="296"/>
      <c r="AD768" s="287"/>
      <c r="AE768" s="287"/>
      <c r="AF768" s="288"/>
      <c r="AG768" s="286"/>
      <c r="AH768" s="276"/>
      <c r="AI768" s="276"/>
      <c r="AJ768" s="274" t="s">
        <v>203</v>
      </c>
      <c r="AK768" s="274" t="s">
        <v>190</v>
      </c>
      <c r="AL768" s="274" t="s">
        <v>190</v>
      </c>
      <c r="AM768" s="260" t="s">
        <v>3859</v>
      </c>
      <c r="AN768" s="22">
        <v>182</v>
      </c>
      <c r="AO768" s="22">
        <v>0</v>
      </c>
      <c r="AP768" s="22">
        <v>20</v>
      </c>
      <c r="AQ768" s="22">
        <v>0</v>
      </c>
      <c r="AR768" s="22">
        <v>0</v>
      </c>
      <c r="AS768" s="22">
        <v>7</v>
      </c>
      <c r="AT768" s="22">
        <v>10</v>
      </c>
      <c r="AU768" s="316">
        <f t="shared" si="122"/>
        <v>219</v>
      </c>
      <c r="AV768" s="22">
        <v>190</v>
      </c>
      <c r="AW768" s="22">
        <v>0</v>
      </c>
      <c r="AX768" s="22">
        <v>20</v>
      </c>
      <c r="AY768" s="22">
        <v>0</v>
      </c>
      <c r="AZ768" s="22">
        <v>0</v>
      </c>
      <c r="BA768" s="22">
        <v>7</v>
      </c>
      <c r="BB768" s="22">
        <v>10</v>
      </c>
      <c r="BC768" s="316">
        <f t="shared" si="123"/>
        <v>227</v>
      </c>
      <c r="BD768" s="58">
        <f t="shared" si="124"/>
        <v>8</v>
      </c>
      <c r="BE768" s="58">
        <f t="shared" si="125"/>
        <v>0</v>
      </c>
      <c r="BF768" s="58">
        <f t="shared" si="126"/>
        <v>0</v>
      </c>
      <c r="BG768" s="58">
        <f t="shared" si="127"/>
        <v>0</v>
      </c>
      <c r="BH768" s="58">
        <f t="shared" si="128"/>
        <v>0</v>
      </c>
      <c r="BI768" s="58">
        <f t="shared" si="129"/>
        <v>0</v>
      </c>
      <c r="BJ768" s="58">
        <f t="shared" si="130"/>
        <v>0</v>
      </c>
      <c r="BK768" s="58">
        <f t="shared" si="131"/>
        <v>8</v>
      </c>
    </row>
    <row r="769" spans="1:63" ht="27" customHeight="1">
      <c r="A769" s="238">
        <f t="shared" si="132"/>
        <v>767</v>
      </c>
      <c r="B769" s="239"/>
      <c r="C769" s="266">
        <v>3212</v>
      </c>
      <c r="D769" s="241" t="s">
        <v>4606</v>
      </c>
      <c r="E769" s="267" t="s">
        <v>4607</v>
      </c>
      <c r="F769" s="268" t="s">
        <v>3113</v>
      </c>
      <c r="G769" s="269" t="s">
        <v>3043</v>
      </c>
      <c r="H769" s="245" t="s">
        <v>1164</v>
      </c>
      <c r="I769" s="246" t="s">
        <v>4116</v>
      </c>
      <c r="J769" s="270" t="s">
        <v>178</v>
      </c>
      <c r="K769" s="271">
        <v>35226</v>
      </c>
      <c r="L769" s="249" t="s">
        <v>179</v>
      </c>
      <c r="M769" s="272">
        <v>43742</v>
      </c>
      <c r="N769" s="272"/>
      <c r="O769" s="240" t="s">
        <v>3965</v>
      </c>
      <c r="P769" s="238" t="s">
        <v>3785</v>
      </c>
      <c r="Q769" s="238" t="s">
        <v>249</v>
      </c>
      <c r="R769" s="240" t="s">
        <v>182</v>
      </c>
      <c r="S769" s="240" t="s">
        <v>219</v>
      </c>
      <c r="T769" s="251"/>
      <c r="U769" s="273"/>
      <c r="V769" s="274" t="s">
        <v>184</v>
      </c>
      <c r="W769" s="274" t="s">
        <v>184</v>
      </c>
      <c r="X769" s="275">
        <v>6</v>
      </c>
      <c r="Y769" s="267" t="s">
        <v>4608</v>
      </c>
      <c r="Z769" s="277"/>
      <c r="AA769" s="277" t="s">
        <v>186</v>
      </c>
      <c r="AB769" s="274"/>
      <c r="AC769" s="296"/>
      <c r="AD769" s="287"/>
      <c r="AE769" s="287"/>
      <c r="AF769" s="288"/>
      <c r="AG769" s="286"/>
      <c r="AH769" s="276"/>
      <c r="AI769" s="276"/>
      <c r="AJ769" s="274" t="s">
        <v>203</v>
      </c>
      <c r="AK769" s="274" t="s">
        <v>190</v>
      </c>
      <c r="AL769" s="274" t="s">
        <v>190</v>
      </c>
      <c r="AM769" s="260" t="s">
        <v>3859</v>
      </c>
      <c r="AN769" s="22">
        <v>182</v>
      </c>
      <c r="AO769" s="22">
        <v>0</v>
      </c>
      <c r="AP769" s="22">
        <v>20</v>
      </c>
      <c r="AQ769" s="22">
        <v>0</v>
      </c>
      <c r="AR769" s="22">
        <v>0</v>
      </c>
      <c r="AS769" s="22">
        <v>7</v>
      </c>
      <c r="AT769" s="22">
        <v>10</v>
      </c>
      <c r="AU769" s="316">
        <f t="shared" si="122"/>
        <v>219</v>
      </c>
      <c r="AV769" s="22">
        <v>190</v>
      </c>
      <c r="AW769" s="22">
        <v>0</v>
      </c>
      <c r="AX769" s="22">
        <v>20</v>
      </c>
      <c r="AY769" s="22">
        <v>0</v>
      </c>
      <c r="AZ769" s="22">
        <v>0</v>
      </c>
      <c r="BA769" s="22">
        <v>7</v>
      </c>
      <c r="BB769" s="22">
        <v>10</v>
      </c>
      <c r="BC769" s="316">
        <f t="shared" si="123"/>
        <v>227</v>
      </c>
      <c r="BD769" s="58">
        <f t="shared" si="124"/>
        <v>8</v>
      </c>
      <c r="BE769" s="58">
        <f t="shared" si="125"/>
        <v>0</v>
      </c>
      <c r="BF769" s="58">
        <f t="shared" si="126"/>
        <v>0</v>
      </c>
      <c r="BG769" s="58">
        <f t="shared" si="127"/>
        <v>0</v>
      </c>
      <c r="BH769" s="58">
        <f t="shared" si="128"/>
        <v>0</v>
      </c>
      <c r="BI769" s="58">
        <f t="shared" si="129"/>
        <v>0</v>
      </c>
      <c r="BJ769" s="58">
        <f t="shared" si="130"/>
        <v>0</v>
      </c>
      <c r="BK769" s="58">
        <f t="shared" si="131"/>
        <v>8</v>
      </c>
    </row>
    <row r="770" spans="1:63" ht="27" customHeight="1">
      <c r="A770" s="238">
        <f t="shared" si="132"/>
        <v>768</v>
      </c>
      <c r="B770" s="239"/>
      <c r="C770" s="266">
        <v>3162</v>
      </c>
      <c r="D770" s="241" t="s">
        <v>4609</v>
      </c>
      <c r="E770" s="267" t="s">
        <v>4610</v>
      </c>
      <c r="F770" s="268" t="s">
        <v>3653</v>
      </c>
      <c r="G770" s="269" t="s">
        <v>4611</v>
      </c>
      <c r="H770" s="245" t="s">
        <v>4612</v>
      </c>
      <c r="I770" s="246" t="s">
        <v>4613</v>
      </c>
      <c r="J770" s="270" t="s">
        <v>178</v>
      </c>
      <c r="K770" s="271">
        <v>26368</v>
      </c>
      <c r="L770" s="249" t="s">
        <v>179</v>
      </c>
      <c r="M770" s="272">
        <v>43741</v>
      </c>
      <c r="N770" s="272"/>
      <c r="O770" s="240" t="s">
        <v>4081</v>
      </c>
      <c r="P770" s="238" t="s">
        <v>3638</v>
      </c>
      <c r="Q770" s="238" t="s">
        <v>249</v>
      </c>
      <c r="R770" s="240" t="s">
        <v>182</v>
      </c>
      <c r="S770" s="240" t="s">
        <v>219</v>
      </c>
      <c r="T770" s="251"/>
      <c r="U770" s="273"/>
      <c r="V770" s="274" t="s">
        <v>184</v>
      </c>
      <c r="W770" s="274" t="s">
        <v>184</v>
      </c>
      <c r="X770" s="275">
        <v>9</v>
      </c>
      <c r="Y770" s="267" t="s">
        <v>4614</v>
      </c>
      <c r="Z770" s="277"/>
      <c r="AA770" s="277" t="s">
        <v>186</v>
      </c>
      <c r="AB770" s="274"/>
      <c r="AC770" s="296"/>
      <c r="AD770" s="287"/>
      <c r="AE770" s="287"/>
      <c r="AF770" s="288"/>
      <c r="AG770" s="286"/>
      <c r="AH770" s="276"/>
      <c r="AI770" s="276"/>
      <c r="AJ770" s="274" t="s">
        <v>203</v>
      </c>
      <c r="AK770" s="274" t="s">
        <v>190</v>
      </c>
      <c r="AL770" s="274" t="s">
        <v>190</v>
      </c>
      <c r="AM770" s="260" t="s">
        <v>3859</v>
      </c>
      <c r="AN770" s="22">
        <v>182</v>
      </c>
      <c r="AO770" s="22">
        <v>0</v>
      </c>
      <c r="AP770" s="22">
        <v>20</v>
      </c>
      <c r="AQ770" s="22">
        <v>0</v>
      </c>
      <c r="AR770" s="22">
        <v>0</v>
      </c>
      <c r="AS770" s="22">
        <v>7</v>
      </c>
      <c r="AT770" s="22">
        <v>10</v>
      </c>
      <c r="AU770" s="316">
        <f t="shared" si="122"/>
        <v>219</v>
      </c>
      <c r="AV770" s="22">
        <v>190</v>
      </c>
      <c r="AW770" s="22">
        <v>0</v>
      </c>
      <c r="AX770" s="22">
        <v>20</v>
      </c>
      <c r="AY770" s="22">
        <v>0</v>
      </c>
      <c r="AZ770" s="22">
        <v>0</v>
      </c>
      <c r="BA770" s="22">
        <v>7</v>
      </c>
      <c r="BB770" s="22">
        <v>10</v>
      </c>
      <c r="BC770" s="316">
        <f t="shared" si="123"/>
        <v>227</v>
      </c>
      <c r="BD770" s="58">
        <f t="shared" si="124"/>
        <v>8</v>
      </c>
      <c r="BE770" s="58">
        <f t="shared" si="125"/>
        <v>0</v>
      </c>
      <c r="BF770" s="58">
        <f t="shared" si="126"/>
        <v>0</v>
      </c>
      <c r="BG770" s="58">
        <f t="shared" si="127"/>
        <v>0</v>
      </c>
      <c r="BH770" s="58">
        <f t="shared" si="128"/>
        <v>0</v>
      </c>
      <c r="BI770" s="58">
        <f t="shared" si="129"/>
        <v>0</v>
      </c>
      <c r="BJ770" s="58">
        <f t="shared" si="130"/>
        <v>0</v>
      </c>
      <c r="BK770" s="58">
        <f t="shared" si="131"/>
        <v>8</v>
      </c>
    </row>
    <row r="771" spans="1:63" ht="27" customHeight="1">
      <c r="A771" s="238">
        <f t="shared" si="132"/>
        <v>769</v>
      </c>
      <c r="B771" s="239"/>
      <c r="C771" s="266">
        <v>3291</v>
      </c>
      <c r="D771" s="241" t="s">
        <v>4615</v>
      </c>
      <c r="E771" s="267" t="s">
        <v>3646</v>
      </c>
      <c r="F771" s="268" t="s">
        <v>1814</v>
      </c>
      <c r="G771" s="269" t="s">
        <v>3647</v>
      </c>
      <c r="H771" s="245" t="s">
        <v>1816</v>
      </c>
      <c r="I771" s="246" t="s">
        <v>3648</v>
      </c>
      <c r="J771" s="270" t="s">
        <v>178</v>
      </c>
      <c r="K771" s="271">
        <v>35868</v>
      </c>
      <c r="L771" s="249" t="s">
        <v>179</v>
      </c>
      <c r="M771" s="272">
        <v>43746</v>
      </c>
      <c r="N771" s="272"/>
      <c r="O771" s="240" t="s">
        <v>4004</v>
      </c>
      <c r="P771" s="238" t="s">
        <v>3833</v>
      </c>
      <c r="Q771" s="238" t="s">
        <v>249</v>
      </c>
      <c r="R771" s="240" t="s">
        <v>182</v>
      </c>
      <c r="S771" s="240" t="s">
        <v>4202</v>
      </c>
      <c r="T771" s="251"/>
      <c r="U771" s="273"/>
      <c r="V771" s="274" t="s">
        <v>184</v>
      </c>
      <c r="W771" s="274" t="s">
        <v>184</v>
      </c>
      <c r="X771" s="275">
        <v>7</v>
      </c>
      <c r="Y771" s="267" t="s">
        <v>3651</v>
      </c>
      <c r="Z771" s="277"/>
      <c r="AA771" s="277" t="s">
        <v>186</v>
      </c>
      <c r="AB771" s="274"/>
      <c r="AC771" s="296"/>
      <c r="AD771" s="287"/>
      <c r="AE771" s="287"/>
      <c r="AF771" s="288"/>
      <c r="AG771" s="286"/>
      <c r="AH771" s="276"/>
      <c r="AI771" s="276"/>
      <c r="AJ771" s="274" t="s">
        <v>203</v>
      </c>
      <c r="AK771" s="274" t="s">
        <v>190</v>
      </c>
      <c r="AL771" s="274" t="s">
        <v>190</v>
      </c>
      <c r="AM771" s="260" t="s">
        <v>3859</v>
      </c>
      <c r="AN771" s="22">
        <v>182</v>
      </c>
      <c r="AO771" s="22">
        <v>0</v>
      </c>
      <c r="AP771" s="22">
        <v>20</v>
      </c>
      <c r="AQ771" s="22">
        <v>0</v>
      </c>
      <c r="AR771" s="22">
        <v>0</v>
      </c>
      <c r="AS771" s="22">
        <v>7</v>
      </c>
      <c r="AT771" s="22">
        <v>10</v>
      </c>
      <c r="AU771" s="316">
        <f t="shared" si="122"/>
        <v>219</v>
      </c>
      <c r="AV771" s="22">
        <v>190</v>
      </c>
      <c r="AW771" s="22">
        <v>0</v>
      </c>
      <c r="AX771" s="22">
        <v>20</v>
      </c>
      <c r="AY771" s="22">
        <v>0</v>
      </c>
      <c r="AZ771" s="22">
        <v>0</v>
      </c>
      <c r="BA771" s="22">
        <v>7</v>
      </c>
      <c r="BB771" s="22">
        <v>10</v>
      </c>
      <c r="BC771" s="316">
        <f t="shared" si="123"/>
        <v>227</v>
      </c>
      <c r="BD771" s="58">
        <f t="shared" si="124"/>
        <v>8</v>
      </c>
      <c r="BE771" s="58">
        <f t="shared" si="125"/>
        <v>0</v>
      </c>
      <c r="BF771" s="58">
        <f t="shared" si="126"/>
        <v>0</v>
      </c>
      <c r="BG771" s="58">
        <f t="shared" si="127"/>
        <v>0</v>
      </c>
      <c r="BH771" s="58">
        <f t="shared" si="128"/>
        <v>0</v>
      </c>
      <c r="BI771" s="58">
        <f t="shared" si="129"/>
        <v>0</v>
      </c>
      <c r="BJ771" s="58">
        <f t="shared" si="130"/>
        <v>0</v>
      </c>
      <c r="BK771" s="58">
        <f t="shared" si="131"/>
        <v>8</v>
      </c>
    </row>
    <row r="772" spans="1:63" ht="27" customHeight="1">
      <c r="A772" s="238">
        <f t="shared" si="132"/>
        <v>770</v>
      </c>
      <c r="B772" s="239"/>
      <c r="C772" s="266">
        <v>3169</v>
      </c>
      <c r="D772" s="241" t="s">
        <v>4616</v>
      </c>
      <c r="E772" s="267" t="s">
        <v>296</v>
      </c>
      <c r="F772" s="268" t="s">
        <v>2758</v>
      </c>
      <c r="G772" s="269" t="s">
        <v>1298</v>
      </c>
      <c r="H772" s="245" t="s">
        <v>4361</v>
      </c>
      <c r="I772" s="246" t="s">
        <v>1300</v>
      </c>
      <c r="J772" s="270" t="s">
        <v>178</v>
      </c>
      <c r="K772" s="271">
        <v>30109</v>
      </c>
      <c r="L772" s="249" t="s">
        <v>179</v>
      </c>
      <c r="M772" s="272">
        <v>43741</v>
      </c>
      <c r="N772" s="272"/>
      <c r="O772" s="240" t="s">
        <v>4081</v>
      </c>
      <c r="P772" s="238" t="s">
        <v>318</v>
      </c>
      <c r="Q772" s="238" t="s">
        <v>249</v>
      </c>
      <c r="R772" s="240" t="s">
        <v>182</v>
      </c>
      <c r="S772" s="240" t="s">
        <v>228</v>
      </c>
      <c r="T772" s="251"/>
      <c r="U772" s="273"/>
      <c r="V772" s="274" t="s">
        <v>184</v>
      </c>
      <c r="W772" s="274" t="s">
        <v>184</v>
      </c>
      <c r="X772" s="275">
        <v>6</v>
      </c>
      <c r="Y772" s="267" t="s">
        <v>4617</v>
      </c>
      <c r="Z772" s="277"/>
      <c r="AA772" s="277" t="s">
        <v>186</v>
      </c>
      <c r="AB772" s="274"/>
      <c r="AC772" s="296"/>
      <c r="AD772" s="287" t="s">
        <v>188</v>
      </c>
      <c r="AE772" s="287" t="s">
        <v>188</v>
      </c>
      <c r="AF772" s="288" t="s">
        <v>189</v>
      </c>
      <c r="AG772" s="286"/>
      <c r="AH772" s="276"/>
      <c r="AI772" s="276"/>
      <c r="AJ772" s="274" t="s">
        <v>203</v>
      </c>
      <c r="AK772" s="274" t="s">
        <v>190</v>
      </c>
      <c r="AL772" s="274" t="s">
        <v>190</v>
      </c>
      <c r="AM772" s="260" t="s">
        <v>3859</v>
      </c>
      <c r="AN772" s="22">
        <v>182</v>
      </c>
      <c r="AO772" s="22">
        <v>0</v>
      </c>
      <c r="AP772" s="22">
        <v>20</v>
      </c>
      <c r="AQ772" s="22">
        <v>0</v>
      </c>
      <c r="AR772" s="22">
        <v>0</v>
      </c>
      <c r="AS772" s="22">
        <v>7</v>
      </c>
      <c r="AT772" s="22">
        <v>10</v>
      </c>
      <c r="AU772" s="316">
        <f t="shared" ref="AU772:AU835" si="133">SUM(AN772:AT772)</f>
        <v>219</v>
      </c>
      <c r="AV772" s="22">
        <v>190</v>
      </c>
      <c r="AW772" s="22">
        <v>0</v>
      </c>
      <c r="AX772" s="22">
        <v>20</v>
      </c>
      <c r="AY772" s="22">
        <v>0</v>
      </c>
      <c r="AZ772" s="22">
        <v>0</v>
      </c>
      <c r="BA772" s="22">
        <v>7</v>
      </c>
      <c r="BB772" s="22">
        <v>10</v>
      </c>
      <c r="BC772" s="316">
        <f t="shared" ref="BC772:BC835" si="134">SUM(AV772:BB772)</f>
        <v>227</v>
      </c>
      <c r="BD772" s="58">
        <f t="shared" ref="BD772:BD835" si="135">AV772-AN772</f>
        <v>8</v>
      </c>
      <c r="BE772" s="58">
        <f t="shared" ref="BE772:BE835" si="136">AW772-AO772</f>
        <v>0</v>
      </c>
      <c r="BF772" s="58">
        <f t="shared" ref="BF772:BF835" si="137">AX772-AP772</f>
        <v>0</v>
      </c>
      <c r="BG772" s="58">
        <f t="shared" ref="BG772:BG835" si="138">AY772-AQ772</f>
        <v>0</v>
      </c>
      <c r="BH772" s="58">
        <f t="shared" ref="BH772:BH835" si="139">AZ772-AR772</f>
        <v>0</v>
      </c>
      <c r="BI772" s="58">
        <f t="shared" ref="BI772:BI835" si="140">BA772-AS772</f>
        <v>0</v>
      </c>
      <c r="BJ772" s="58">
        <f t="shared" ref="BJ772:BJ835" si="141">BB772-AT772</f>
        <v>0</v>
      </c>
      <c r="BK772" s="58">
        <f t="shared" ref="BK772:BK835" si="142">BC772-AU772</f>
        <v>8</v>
      </c>
    </row>
    <row r="773" spans="1:63" ht="27" customHeight="1">
      <c r="A773" s="238">
        <f t="shared" ref="A773:A836" si="143">1+A772</f>
        <v>771</v>
      </c>
      <c r="B773" s="239"/>
      <c r="C773" s="266">
        <v>3312</v>
      </c>
      <c r="D773" s="241" t="s">
        <v>4618</v>
      </c>
      <c r="E773" s="267" t="s">
        <v>4619</v>
      </c>
      <c r="F773" s="268" t="s">
        <v>3161</v>
      </c>
      <c r="G773" s="269" t="s">
        <v>4620</v>
      </c>
      <c r="H773" s="245" t="s">
        <v>4621</v>
      </c>
      <c r="I773" s="246" t="s">
        <v>4622</v>
      </c>
      <c r="J773" s="270" t="s">
        <v>178</v>
      </c>
      <c r="K773" s="271">
        <v>26818</v>
      </c>
      <c r="L773" s="249" t="s">
        <v>179</v>
      </c>
      <c r="M773" s="272">
        <v>43746</v>
      </c>
      <c r="N773" s="272"/>
      <c r="O773" s="240" t="s">
        <v>3965</v>
      </c>
      <c r="P773" s="238" t="s">
        <v>3785</v>
      </c>
      <c r="Q773" s="238" t="s">
        <v>249</v>
      </c>
      <c r="R773" s="240" t="s">
        <v>182</v>
      </c>
      <c r="S773" s="240" t="s">
        <v>331</v>
      </c>
      <c r="T773" s="251"/>
      <c r="U773" s="273"/>
      <c r="V773" s="274" t="s">
        <v>184</v>
      </c>
      <c r="W773" s="274" t="s">
        <v>184</v>
      </c>
      <c r="X773" s="275">
        <v>7</v>
      </c>
      <c r="Y773" s="267" t="s">
        <v>4623</v>
      </c>
      <c r="Z773" s="277"/>
      <c r="AA773" s="277" t="s">
        <v>186</v>
      </c>
      <c r="AB773" s="274"/>
      <c r="AC773" s="296"/>
      <c r="AD773" s="287"/>
      <c r="AE773" s="287"/>
      <c r="AF773" s="288"/>
      <c r="AG773" s="286"/>
      <c r="AH773" s="276"/>
      <c r="AI773" s="276"/>
      <c r="AJ773" s="274" t="s">
        <v>203</v>
      </c>
      <c r="AK773" s="274" t="s">
        <v>190</v>
      </c>
      <c r="AL773" s="274" t="s">
        <v>190</v>
      </c>
      <c r="AM773" s="289" t="s">
        <v>4624</v>
      </c>
      <c r="AN773" s="22">
        <v>182</v>
      </c>
      <c r="AO773" s="22">
        <v>0</v>
      </c>
      <c r="AP773" s="22">
        <v>20</v>
      </c>
      <c r="AQ773" s="22">
        <v>0</v>
      </c>
      <c r="AR773" s="22">
        <v>0</v>
      </c>
      <c r="AS773" s="22">
        <v>7</v>
      </c>
      <c r="AT773" s="22">
        <v>10</v>
      </c>
      <c r="AU773" s="316">
        <f t="shared" si="133"/>
        <v>219</v>
      </c>
      <c r="AV773" s="22">
        <v>190</v>
      </c>
      <c r="AW773" s="22">
        <v>0</v>
      </c>
      <c r="AX773" s="22">
        <v>20</v>
      </c>
      <c r="AY773" s="22">
        <v>0</v>
      </c>
      <c r="AZ773" s="22">
        <v>0</v>
      </c>
      <c r="BA773" s="22">
        <v>7</v>
      </c>
      <c r="BB773" s="22">
        <v>10</v>
      </c>
      <c r="BC773" s="316">
        <f t="shared" si="134"/>
        <v>227</v>
      </c>
      <c r="BD773" s="58">
        <f t="shared" si="135"/>
        <v>8</v>
      </c>
      <c r="BE773" s="58">
        <f t="shared" si="136"/>
        <v>0</v>
      </c>
      <c r="BF773" s="58">
        <f t="shared" si="137"/>
        <v>0</v>
      </c>
      <c r="BG773" s="58">
        <f t="shared" si="138"/>
        <v>0</v>
      </c>
      <c r="BH773" s="58">
        <f t="shared" si="139"/>
        <v>0</v>
      </c>
      <c r="BI773" s="58">
        <f t="shared" si="140"/>
        <v>0</v>
      </c>
      <c r="BJ773" s="58">
        <f t="shared" si="141"/>
        <v>0</v>
      </c>
      <c r="BK773" s="58">
        <f t="shared" si="142"/>
        <v>8</v>
      </c>
    </row>
    <row r="774" spans="1:63" ht="27" customHeight="1">
      <c r="A774" s="238">
        <f t="shared" si="143"/>
        <v>772</v>
      </c>
      <c r="B774" s="239"/>
      <c r="C774" s="266">
        <v>3148</v>
      </c>
      <c r="D774" s="241" t="s">
        <v>4625</v>
      </c>
      <c r="E774" s="267" t="s">
        <v>4626</v>
      </c>
      <c r="F774" s="268" t="s">
        <v>904</v>
      </c>
      <c r="G774" s="269" t="s">
        <v>4445</v>
      </c>
      <c r="H774" s="245" t="s">
        <v>906</v>
      </c>
      <c r="I774" s="246" t="s">
        <v>4627</v>
      </c>
      <c r="J774" s="270" t="s">
        <v>178</v>
      </c>
      <c r="K774" s="271">
        <v>30836</v>
      </c>
      <c r="L774" s="249" t="s">
        <v>179</v>
      </c>
      <c r="M774" s="272">
        <v>43740</v>
      </c>
      <c r="N774" s="272"/>
      <c r="O774" s="240" t="s">
        <v>4181</v>
      </c>
      <c r="P774" s="238" t="s">
        <v>282</v>
      </c>
      <c r="Q774" s="238" t="s">
        <v>249</v>
      </c>
      <c r="R774" s="240" t="s">
        <v>182</v>
      </c>
      <c r="S774" s="240" t="s">
        <v>211</v>
      </c>
      <c r="T774" s="251"/>
      <c r="U774" s="273"/>
      <c r="V774" s="274" t="s">
        <v>184</v>
      </c>
      <c r="W774" s="274" t="s">
        <v>184</v>
      </c>
      <c r="X774" s="282">
        <v>0</v>
      </c>
      <c r="Y774" s="267"/>
      <c r="Z774" s="277"/>
      <c r="AA774" s="277" t="s">
        <v>186</v>
      </c>
      <c r="AB774" s="274"/>
      <c r="AC774" s="296"/>
      <c r="AD774" s="287"/>
      <c r="AE774" s="287"/>
      <c r="AF774" s="288"/>
      <c r="AG774" s="286"/>
      <c r="AH774" s="276"/>
      <c r="AI774" s="276"/>
      <c r="AJ774" s="274" t="s">
        <v>203</v>
      </c>
      <c r="AK774" s="274" t="s">
        <v>190</v>
      </c>
      <c r="AL774" s="274" t="s">
        <v>190</v>
      </c>
      <c r="AM774" s="260" t="s">
        <v>3859</v>
      </c>
      <c r="AN774" s="22">
        <v>182</v>
      </c>
      <c r="AO774" s="22">
        <v>0</v>
      </c>
      <c r="AP774" s="22">
        <v>20</v>
      </c>
      <c r="AQ774" s="22">
        <v>0</v>
      </c>
      <c r="AR774" s="22">
        <v>0</v>
      </c>
      <c r="AS774" s="22">
        <v>7</v>
      </c>
      <c r="AT774" s="22">
        <v>10</v>
      </c>
      <c r="AU774" s="316">
        <f t="shared" si="133"/>
        <v>219</v>
      </c>
      <c r="AV774" s="22">
        <v>190</v>
      </c>
      <c r="AW774" s="22">
        <v>0</v>
      </c>
      <c r="AX774" s="22">
        <v>20</v>
      </c>
      <c r="AY774" s="22">
        <v>0</v>
      </c>
      <c r="AZ774" s="22">
        <v>0</v>
      </c>
      <c r="BA774" s="22">
        <v>7</v>
      </c>
      <c r="BB774" s="22">
        <v>10</v>
      </c>
      <c r="BC774" s="316">
        <f t="shared" si="134"/>
        <v>227</v>
      </c>
      <c r="BD774" s="58">
        <f t="shared" si="135"/>
        <v>8</v>
      </c>
      <c r="BE774" s="58">
        <f t="shared" si="136"/>
        <v>0</v>
      </c>
      <c r="BF774" s="58">
        <f t="shared" si="137"/>
        <v>0</v>
      </c>
      <c r="BG774" s="58">
        <f t="shared" si="138"/>
        <v>0</v>
      </c>
      <c r="BH774" s="58">
        <f t="shared" si="139"/>
        <v>0</v>
      </c>
      <c r="BI774" s="58">
        <f t="shared" si="140"/>
        <v>0</v>
      </c>
      <c r="BJ774" s="58">
        <f t="shared" si="141"/>
        <v>0</v>
      </c>
      <c r="BK774" s="58">
        <f t="shared" si="142"/>
        <v>8</v>
      </c>
    </row>
    <row r="775" spans="1:63" ht="27" customHeight="1">
      <c r="A775" s="238">
        <f t="shared" si="143"/>
        <v>773</v>
      </c>
      <c r="B775" s="239"/>
      <c r="C775" s="266">
        <v>3145</v>
      </c>
      <c r="D775" s="241" t="s">
        <v>4628</v>
      </c>
      <c r="E775" s="267" t="s">
        <v>4629</v>
      </c>
      <c r="F775" s="268" t="s">
        <v>741</v>
      </c>
      <c r="G775" s="269" t="s">
        <v>1849</v>
      </c>
      <c r="H775" s="245" t="s">
        <v>4630</v>
      </c>
      <c r="I775" s="246" t="s">
        <v>1851</v>
      </c>
      <c r="J775" s="270" t="s">
        <v>178</v>
      </c>
      <c r="K775" s="272">
        <v>36819</v>
      </c>
      <c r="L775" s="249" t="s">
        <v>179</v>
      </c>
      <c r="M775" s="272">
        <v>43740</v>
      </c>
      <c r="N775" s="272"/>
      <c r="O775" s="240" t="s">
        <v>4076</v>
      </c>
      <c r="P775" s="238" t="s">
        <v>1385</v>
      </c>
      <c r="Q775" s="238" t="s">
        <v>249</v>
      </c>
      <c r="R775" s="240" t="s">
        <v>182</v>
      </c>
      <c r="S775" s="240" t="s">
        <v>211</v>
      </c>
      <c r="T775" s="251"/>
      <c r="U775" s="273"/>
      <c r="V775" s="274" t="s">
        <v>184</v>
      </c>
      <c r="W775" s="274" t="s">
        <v>184</v>
      </c>
      <c r="X775" s="275">
        <v>12</v>
      </c>
      <c r="Y775" s="297" t="s">
        <v>4631</v>
      </c>
      <c r="Z775" s="277" t="s">
        <v>186</v>
      </c>
      <c r="AA775" s="277"/>
      <c r="AB775" s="274"/>
      <c r="AC775" s="296"/>
      <c r="AD775" s="287"/>
      <c r="AE775" s="287"/>
      <c r="AF775" s="286"/>
      <c r="AG775" s="286"/>
      <c r="AH775" s="298"/>
      <c r="AI775" s="298"/>
      <c r="AJ775" s="274" t="s">
        <v>203</v>
      </c>
      <c r="AK775" s="274" t="s">
        <v>190</v>
      </c>
      <c r="AL775" s="274" t="s">
        <v>190</v>
      </c>
      <c r="AM775" s="260" t="s">
        <v>3859</v>
      </c>
      <c r="AN775" s="22">
        <v>182</v>
      </c>
      <c r="AO775" s="22">
        <v>0</v>
      </c>
      <c r="AP775" s="22">
        <v>20</v>
      </c>
      <c r="AQ775" s="22">
        <v>0</v>
      </c>
      <c r="AR775" s="22">
        <v>0</v>
      </c>
      <c r="AS775" s="22">
        <v>7</v>
      </c>
      <c r="AT775" s="22">
        <v>10</v>
      </c>
      <c r="AU775" s="316">
        <f t="shared" si="133"/>
        <v>219</v>
      </c>
      <c r="AV775" s="22">
        <v>190</v>
      </c>
      <c r="AW775" s="22">
        <v>0</v>
      </c>
      <c r="AX775" s="22">
        <v>20</v>
      </c>
      <c r="AY775" s="22">
        <v>0</v>
      </c>
      <c r="AZ775" s="22">
        <v>0</v>
      </c>
      <c r="BA775" s="22">
        <v>7</v>
      </c>
      <c r="BB775" s="22">
        <v>10</v>
      </c>
      <c r="BC775" s="316">
        <f t="shared" si="134"/>
        <v>227</v>
      </c>
      <c r="BD775" s="58">
        <f t="shared" si="135"/>
        <v>8</v>
      </c>
      <c r="BE775" s="58">
        <f t="shared" si="136"/>
        <v>0</v>
      </c>
      <c r="BF775" s="58">
        <f t="shared" si="137"/>
        <v>0</v>
      </c>
      <c r="BG775" s="58">
        <f t="shared" si="138"/>
        <v>0</v>
      </c>
      <c r="BH775" s="58">
        <f t="shared" si="139"/>
        <v>0</v>
      </c>
      <c r="BI775" s="58">
        <f t="shared" si="140"/>
        <v>0</v>
      </c>
      <c r="BJ775" s="58">
        <f t="shared" si="141"/>
        <v>0</v>
      </c>
      <c r="BK775" s="58">
        <f t="shared" si="142"/>
        <v>8</v>
      </c>
    </row>
    <row r="776" spans="1:63" ht="27" customHeight="1">
      <c r="A776" s="238">
        <f t="shared" si="143"/>
        <v>774</v>
      </c>
      <c r="B776" s="239"/>
      <c r="C776" s="266">
        <v>3194</v>
      </c>
      <c r="D776" s="241" t="s">
        <v>4632</v>
      </c>
      <c r="E776" s="267" t="s">
        <v>4633</v>
      </c>
      <c r="F776" s="268" t="s">
        <v>527</v>
      </c>
      <c r="G776" s="269" t="s">
        <v>4634</v>
      </c>
      <c r="H776" s="245" t="s">
        <v>529</v>
      </c>
      <c r="I776" s="246" t="s">
        <v>4635</v>
      </c>
      <c r="J776" s="270" t="s">
        <v>178</v>
      </c>
      <c r="K776" s="271">
        <v>34584</v>
      </c>
      <c r="L776" s="249" t="s">
        <v>179</v>
      </c>
      <c r="M776" s="272">
        <v>43742</v>
      </c>
      <c r="N776" s="272"/>
      <c r="O776" s="240" t="s">
        <v>4076</v>
      </c>
      <c r="P776" s="238" t="s">
        <v>1385</v>
      </c>
      <c r="Q776" s="238" t="s">
        <v>249</v>
      </c>
      <c r="R776" s="240" t="s">
        <v>182</v>
      </c>
      <c r="S776" s="240" t="s">
        <v>256</v>
      </c>
      <c r="T776" s="251"/>
      <c r="U776" s="273"/>
      <c r="V776" s="274" t="s">
        <v>184</v>
      </c>
      <c r="W776" s="274" t="s">
        <v>184</v>
      </c>
      <c r="X776" s="275">
        <v>5</v>
      </c>
      <c r="Y776" s="267" t="s">
        <v>4636</v>
      </c>
      <c r="Z776" s="277" t="s">
        <v>186</v>
      </c>
      <c r="AA776" s="277"/>
      <c r="AB776" s="274"/>
      <c r="AC776" s="296"/>
      <c r="AD776" s="287"/>
      <c r="AE776" s="287"/>
      <c r="AF776" s="288"/>
      <c r="AG776" s="286"/>
      <c r="AH776" s="276"/>
      <c r="AI776" s="276"/>
      <c r="AJ776" s="274" t="s">
        <v>203</v>
      </c>
      <c r="AK776" s="274" t="s">
        <v>190</v>
      </c>
      <c r="AL776" s="274" t="s">
        <v>190</v>
      </c>
      <c r="AM776" s="260" t="s">
        <v>3859</v>
      </c>
      <c r="AN776" s="22">
        <v>182</v>
      </c>
      <c r="AO776" s="22">
        <v>0</v>
      </c>
      <c r="AP776" s="22">
        <v>0</v>
      </c>
      <c r="AQ776" s="22">
        <v>0</v>
      </c>
      <c r="AR776" s="22">
        <v>0</v>
      </c>
      <c r="AS776" s="22">
        <v>7</v>
      </c>
      <c r="AT776" s="22">
        <v>10</v>
      </c>
      <c r="AU776" s="316">
        <f t="shared" si="133"/>
        <v>199</v>
      </c>
      <c r="AV776" s="22">
        <v>190</v>
      </c>
      <c r="AW776" s="22">
        <v>0</v>
      </c>
      <c r="AX776" s="22">
        <v>0</v>
      </c>
      <c r="AY776" s="22">
        <v>0</v>
      </c>
      <c r="AZ776" s="22">
        <v>0</v>
      </c>
      <c r="BA776" s="22">
        <v>7</v>
      </c>
      <c r="BB776" s="22">
        <v>10</v>
      </c>
      <c r="BC776" s="316">
        <f t="shared" si="134"/>
        <v>207</v>
      </c>
      <c r="BD776" s="58">
        <f t="shared" si="135"/>
        <v>8</v>
      </c>
      <c r="BE776" s="58">
        <f t="shared" si="136"/>
        <v>0</v>
      </c>
      <c r="BF776" s="58">
        <f t="shared" si="137"/>
        <v>0</v>
      </c>
      <c r="BG776" s="58">
        <f t="shared" si="138"/>
        <v>0</v>
      </c>
      <c r="BH776" s="58">
        <f t="shared" si="139"/>
        <v>0</v>
      </c>
      <c r="BI776" s="58">
        <f t="shared" si="140"/>
        <v>0</v>
      </c>
      <c r="BJ776" s="58">
        <f t="shared" si="141"/>
        <v>0</v>
      </c>
      <c r="BK776" s="58">
        <f t="shared" si="142"/>
        <v>8</v>
      </c>
    </row>
    <row r="777" spans="1:63" ht="27" customHeight="1">
      <c r="A777" s="238">
        <f t="shared" si="143"/>
        <v>775</v>
      </c>
      <c r="B777" s="239"/>
      <c r="C777" s="266">
        <v>3207</v>
      </c>
      <c r="D777" s="241" t="s">
        <v>4637</v>
      </c>
      <c r="E777" s="267" t="s">
        <v>4638</v>
      </c>
      <c r="F777" s="268" t="s">
        <v>4639</v>
      </c>
      <c r="G777" s="269" t="s">
        <v>1577</v>
      </c>
      <c r="H777" s="245" t="s">
        <v>4640</v>
      </c>
      <c r="I777" s="246" t="s">
        <v>1579</v>
      </c>
      <c r="J777" s="270" t="s">
        <v>178</v>
      </c>
      <c r="K777" s="271">
        <v>31945</v>
      </c>
      <c r="L777" s="249" t="s">
        <v>179</v>
      </c>
      <c r="M777" s="272">
        <v>43741</v>
      </c>
      <c r="N777" s="272"/>
      <c r="O777" s="240" t="s">
        <v>4081</v>
      </c>
      <c r="P777" s="238" t="s">
        <v>318</v>
      </c>
      <c r="Q777" s="238" t="s">
        <v>249</v>
      </c>
      <c r="R777" s="240" t="s">
        <v>182</v>
      </c>
      <c r="S777" s="240" t="s">
        <v>211</v>
      </c>
      <c r="T777" s="251"/>
      <c r="U777" s="273"/>
      <c r="V777" s="274" t="s">
        <v>184</v>
      </c>
      <c r="W777" s="274" t="s">
        <v>184</v>
      </c>
      <c r="X777" s="275">
        <v>5</v>
      </c>
      <c r="Y777" s="267" t="s">
        <v>4641</v>
      </c>
      <c r="Z777" s="277"/>
      <c r="AA777" s="277" t="s">
        <v>186</v>
      </c>
      <c r="AB777" s="277"/>
      <c r="AC777" s="296"/>
      <c r="AD777" s="287"/>
      <c r="AE777" s="287"/>
      <c r="AF777" s="288"/>
      <c r="AG777" s="286"/>
      <c r="AH777" s="276"/>
      <c r="AI777" s="276"/>
      <c r="AJ777" s="274" t="s">
        <v>203</v>
      </c>
      <c r="AK777" s="274" t="s">
        <v>190</v>
      </c>
      <c r="AL777" s="274" t="s">
        <v>190</v>
      </c>
      <c r="AM777" s="260" t="s">
        <v>3859</v>
      </c>
      <c r="AN777" s="22">
        <v>182</v>
      </c>
      <c r="AO777" s="22">
        <v>0</v>
      </c>
      <c r="AP777" s="22">
        <v>20</v>
      </c>
      <c r="AQ777" s="22">
        <v>0</v>
      </c>
      <c r="AR777" s="22">
        <v>0</v>
      </c>
      <c r="AS777" s="22">
        <v>7</v>
      </c>
      <c r="AT777" s="22">
        <v>10</v>
      </c>
      <c r="AU777" s="316">
        <f t="shared" si="133"/>
        <v>219</v>
      </c>
      <c r="AV777" s="22">
        <v>190</v>
      </c>
      <c r="AW777" s="22">
        <v>0</v>
      </c>
      <c r="AX777" s="22">
        <v>20</v>
      </c>
      <c r="AY777" s="22">
        <v>0</v>
      </c>
      <c r="AZ777" s="22">
        <v>0</v>
      </c>
      <c r="BA777" s="22">
        <v>7</v>
      </c>
      <c r="BB777" s="22">
        <v>10</v>
      </c>
      <c r="BC777" s="316">
        <f t="shared" si="134"/>
        <v>227</v>
      </c>
      <c r="BD777" s="58">
        <f t="shared" si="135"/>
        <v>8</v>
      </c>
      <c r="BE777" s="58">
        <f t="shared" si="136"/>
        <v>0</v>
      </c>
      <c r="BF777" s="58">
        <f t="shared" si="137"/>
        <v>0</v>
      </c>
      <c r="BG777" s="58">
        <f t="shared" si="138"/>
        <v>0</v>
      </c>
      <c r="BH777" s="58">
        <f t="shared" si="139"/>
        <v>0</v>
      </c>
      <c r="BI777" s="58">
        <f t="shared" si="140"/>
        <v>0</v>
      </c>
      <c r="BJ777" s="58">
        <f t="shared" si="141"/>
        <v>0</v>
      </c>
      <c r="BK777" s="58">
        <f t="shared" si="142"/>
        <v>8</v>
      </c>
    </row>
    <row r="778" spans="1:63" ht="27" customHeight="1">
      <c r="A778" s="238">
        <f t="shared" si="143"/>
        <v>776</v>
      </c>
      <c r="B778" s="239"/>
      <c r="C778" s="266">
        <v>3524</v>
      </c>
      <c r="D778" s="241" t="s">
        <v>4642</v>
      </c>
      <c r="E778" s="267" t="s">
        <v>4643</v>
      </c>
      <c r="F778" s="268" t="s">
        <v>4644</v>
      </c>
      <c r="G778" s="269" t="s">
        <v>4645</v>
      </c>
      <c r="H778" s="245" t="s">
        <v>4646</v>
      </c>
      <c r="I778" s="246" t="s">
        <v>4647</v>
      </c>
      <c r="J778" s="270" t="s">
        <v>178</v>
      </c>
      <c r="K778" s="271">
        <v>31101</v>
      </c>
      <c r="L778" s="249" t="s">
        <v>179</v>
      </c>
      <c r="M778" s="272">
        <v>43746</v>
      </c>
      <c r="N778" s="272"/>
      <c r="O778" s="240"/>
      <c r="P778" s="238" t="s">
        <v>1385</v>
      </c>
      <c r="Q778" s="238" t="s">
        <v>249</v>
      </c>
      <c r="R778" s="240" t="s">
        <v>182</v>
      </c>
      <c r="S778" s="240" t="s">
        <v>211</v>
      </c>
      <c r="T778" s="251"/>
      <c r="U778" s="273"/>
      <c r="V778" s="274" t="s">
        <v>184</v>
      </c>
      <c r="W778" s="274" t="s">
        <v>184</v>
      </c>
      <c r="X778" s="275">
        <v>4</v>
      </c>
      <c r="Y778" s="267" t="s">
        <v>4648</v>
      </c>
      <c r="Z778" s="277"/>
      <c r="AA778" s="277"/>
      <c r="AB778" s="277"/>
      <c r="AC778" s="296"/>
      <c r="AD778" s="287"/>
      <c r="AE778" s="287"/>
      <c r="AF778" s="288"/>
      <c r="AG778" s="286"/>
      <c r="AH778" s="276"/>
      <c r="AI778" s="276"/>
      <c r="AJ778" s="274" t="s">
        <v>190</v>
      </c>
      <c r="AK778" s="274" t="s">
        <v>190</v>
      </c>
      <c r="AL778" s="274" t="s">
        <v>190</v>
      </c>
      <c r="AM778" s="289" t="s">
        <v>3967</v>
      </c>
      <c r="AN778" s="22">
        <v>182</v>
      </c>
      <c r="AO778" s="22">
        <v>0</v>
      </c>
      <c r="AP778" s="22">
        <v>20</v>
      </c>
      <c r="AQ778" s="22">
        <v>0</v>
      </c>
      <c r="AR778" s="22">
        <v>0</v>
      </c>
      <c r="AS778" s="22">
        <v>7</v>
      </c>
      <c r="AT778" s="22">
        <v>10</v>
      </c>
      <c r="AU778" s="316">
        <f t="shared" si="133"/>
        <v>219</v>
      </c>
      <c r="AV778" s="22">
        <v>190</v>
      </c>
      <c r="AW778" s="22">
        <v>0</v>
      </c>
      <c r="AX778" s="22">
        <v>20</v>
      </c>
      <c r="AY778" s="22">
        <v>0</v>
      </c>
      <c r="AZ778" s="22">
        <v>0</v>
      </c>
      <c r="BA778" s="22">
        <v>7</v>
      </c>
      <c r="BB778" s="22">
        <v>10</v>
      </c>
      <c r="BC778" s="316">
        <f t="shared" si="134"/>
        <v>227</v>
      </c>
      <c r="BD778" s="58">
        <f t="shared" si="135"/>
        <v>8</v>
      </c>
      <c r="BE778" s="58">
        <f t="shared" si="136"/>
        <v>0</v>
      </c>
      <c r="BF778" s="58">
        <f t="shared" si="137"/>
        <v>0</v>
      </c>
      <c r="BG778" s="58">
        <f t="shared" si="138"/>
        <v>0</v>
      </c>
      <c r="BH778" s="58">
        <f t="shared" si="139"/>
        <v>0</v>
      </c>
      <c r="BI778" s="58">
        <f t="shared" si="140"/>
        <v>0</v>
      </c>
      <c r="BJ778" s="58">
        <f t="shared" si="141"/>
        <v>0</v>
      </c>
      <c r="BK778" s="58">
        <f t="shared" si="142"/>
        <v>8</v>
      </c>
    </row>
    <row r="779" spans="1:63" ht="27" customHeight="1">
      <c r="A779" s="238">
        <f t="shared" si="143"/>
        <v>777</v>
      </c>
      <c r="B779" s="239"/>
      <c r="C779" s="266">
        <v>3570</v>
      </c>
      <c r="D779" s="284">
        <v>0</v>
      </c>
      <c r="E779" s="267" t="s">
        <v>296</v>
      </c>
      <c r="F779" s="268" t="s">
        <v>4174</v>
      </c>
      <c r="G779" s="269" t="s">
        <v>1154</v>
      </c>
      <c r="H779" s="245">
        <v>0</v>
      </c>
      <c r="I779" s="246">
        <v>0</v>
      </c>
      <c r="J779" s="270" t="s">
        <v>178</v>
      </c>
      <c r="K779" s="271">
        <v>32887</v>
      </c>
      <c r="L779" s="249" t="s">
        <v>179</v>
      </c>
      <c r="M779" s="272">
        <v>43748</v>
      </c>
      <c r="N779" s="272"/>
      <c r="O779" s="240" t="s">
        <v>4024</v>
      </c>
      <c r="P779" s="238" t="s">
        <v>3634</v>
      </c>
      <c r="Q779" s="238" t="s">
        <v>249</v>
      </c>
      <c r="R779" s="240" t="s">
        <v>182</v>
      </c>
      <c r="S779" s="240" t="s">
        <v>228</v>
      </c>
      <c r="T779" s="251"/>
      <c r="U779" s="273"/>
      <c r="V779" s="274" t="s">
        <v>184</v>
      </c>
      <c r="W779" s="274">
        <v>357</v>
      </c>
      <c r="X779" s="275"/>
      <c r="Y779" s="267" t="s">
        <v>4649</v>
      </c>
      <c r="Z779" s="277"/>
      <c r="AA779" s="277" t="s">
        <v>186</v>
      </c>
      <c r="AB779" s="277"/>
      <c r="AC779" s="296" t="s">
        <v>1191</v>
      </c>
      <c r="AD779" s="287"/>
      <c r="AE779" s="287"/>
      <c r="AF779" s="288"/>
      <c r="AG779" s="286"/>
      <c r="AH779" s="276"/>
      <c r="AI779" s="276"/>
      <c r="AJ779" s="274" t="s">
        <v>203</v>
      </c>
      <c r="AK779" s="274" t="s">
        <v>190</v>
      </c>
      <c r="AL779" s="274" t="s">
        <v>190</v>
      </c>
      <c r="AM779" s="260" t="s">
        <v>241</v>
      </c>
      <c r="AN779" s="22">
        <v>182</v>
      </c>
      <c r="AO779" s="22">
        <v>0</v>
      </c>
      <c r="AP779" s="22">
        <v>0</v>
      </c>
      <c r="AQ779" s="22">
        <v>0</v>
      </c>
      <c r="AR779" s="22">
        <v>0</v>
      </c>
      <c r="AS779" s="22">
        <v>7</v>
      </c>
      <c r="AT779" s="22">
        <v>10</v>
      </c>
      <c r="AU779" s="316">
        <f t="shared" si="133"/>
        <v>199</v>
      </c>
      <c r="AV779" s="22">
        <v>190</v>
      </c>
      <c r="AW779" s="22">
        <v>0</v>
      </c>
      <c r="AX779" s="22">
        <v>0</v>
      </c>
      <c r="AY779" s="22">
        <v>0</v>
      </c>
      <c r="AZ779" s="22">
        <v>0</v>
      </c>
      <c r="BA779" s="22">
        <v>7</v>
      </c>
      <c r="BB779" s="22">
        <v>10</v>
      </c>
      <c r="BC779" s="316">
        <f t="shared" si="134"/>
        <v>207</v>
      </c>
      <c r="BD779" s="58">
        <f t="shared" si="135"/>
        <v>8</v>
      </c>
      <c r="BE779" s="58">
        <f t="shared" si="136"/>
        <v>0</v>
      </c>
      <c r="BF779" s="58">
        <f t="shared" si="137"/>
        <v>0</v>
      </c>
      <c r="BG779" s="58">
        <f t="shared" si="138"/>
        <v>0</v>
      </c>
      <c r="BH779" s="58">
        <f t="shared" si="139"/>
        <v>0</v>
      </c>
      <c r="BI779" s="58">
        <f t="shared" si="140"/>
        <v>0</v>
      </c>
      <c r="BJ779" s="58">
        <f t="shared" si="141"/>
        <v>0</v>
      </c>
      <c r="BK779" s="58">
        <f t="shared" si="142"/>
        <v>8</v>
      </c>
    </row>
    <row r="780" spans="1:63" ht="27" customHeight="1">
      <c r="A780" s="238">
        <f t="shared" si="143"/>
        <v>778</v>
      </c>
      <c r="B780" s="239"/>
      <c r="C780" s="266">
        <v>3146</v>
      </c>
      <c r="D780" s="241" t="s">
        <v>4650</v>
      </c>
      <c r="E780" s="267" t="s">
        <v>4651</v>
      </c>
      <c r="F780" s="268" t="s">
        <v>963</v>
      </c>
      <c r="G780" s="269" t="s">
        <v>4652</v>
      </c>
      <c r="H780" s="245" t="s">
        <v>964</v>
      </c>
      <c r="I780" s="246" t="s">
        <v>370</v>
      </c>
      <c r="J780" s="270" t="s">
        <v>178</v>
      </c>
      <c r="K780" s="271">
        <v>28676</v>
      </c>
      <c r="L780" s="249" t="s">
        <v>179</v>
      </c>
      <c r="M780" s="272">
        <v>43740</v>
      </c>
      <c r="N780" s="272"/>
      <c r="O780" s="240" t="s">
        <v>4024</v>
      </c>
      <c r="P780" s="238" t="s">
        <v>3754</v>
      </c>
      <c r="Q780" s="238" t="s">
        <v>249</v>
      </c>
      <c r="R780" s="240" t="s">
        <v>182</v>
      </c>
      <c r="S780" s="299" t="s">
        <v>211</v>
      </c>
      <c r="T780" s="251"/>
      <c r="U780" s="273"/>
      <c r="V780" s="274" t="s">
        <v>184</v>
      </c>
      <c r="W780" s="274" t="s">
        <v>184</v>
      </c>
      <c r="X780" s="275">
        <v>5</v>
      </c>
      <c r="Y780" s="267" t="s">
        <v>4653</v>
      </c>
      <c r="Z780" s="277"/>
      <c r="AA780" s="277" t="s">
        <v>186</v>
      </c>
      <c r="AB780" s="274"/>
      <c r="AC780" s="296"/>
      <c r="AD780" s="287"/>
      <c r="AE780" s="287"/>
      <c r="AF780" s="288"/>
      <c r="AG780" s="286"/>
      <c r="AH780" s="276"/>
      <c r="AI780" s="276"/>
      <c r="AJ780" s="274" t="s">
        <v>203</v>
      </c>
      <c r="AK780" s="274" t="s">
        <v>190</v>
      </c>
      <c r="AL780" s="274" t="s">
        <v>190</v>
      </c>
      <c r="AM780" s="260" t="s">
        <v>3859</v>
      </c>
      <c r="AN780" s="22">
        <v>182</v>
      </c>
      <c r="AO780" s="22">
        <v>0</v>
      </c>
      <c r="AP780" s="22">
        <v>20</v>
      </c>
      <c r="AQ780" s="22">
        <v>0</v>
      </c>
      <c r="AR780" s="22">
        <v>0</v>
      </c>
      <c r="AS780" s="22">
        <v>7</v>
      </c>
      <c r="AT780" s="22">
        <v>10</v>
      </c>
      <c r="AU780" s="316">
        <f t="shared" si="133"/>
        <v>219</v>
      </c>
      <c r="AV780" s="22">
        <v>190</v>
      </c>
      <c r="AW780" s="22">
        <v>0</v>
      </c>
      <c r="AX780" s="22">
        <v>20</v>
      </c>
      <c r="AY780" s="22">
        <v>0</v>
      </c>
      <c r="AZ780" s="22">
        <v>0</v>
      </c>
      <c r="BA780" s="22">
        <v>7</v>
      </c>
      <c r="BB780" s="22">
        <v>10</v>
      </c>
      <c r="BC780" s="316">
        <f t="shared" si="134"/>
        <v>227</v>
      </c>
      <c r="BD780" s="58">
        <f t="shared" si="135"/>
        <v>8</v>
      </c>
      <c r="BE780" s="58">
        <f t="shared" si="136"/>
        <v>0</v>
      </c>
      <c r="BF780" s="58">
        <f t="shared" si="137"/>
        <v>0</v>
      </c>
      <c r="BG780" s="58">
        <f t="shared" si="138"/>
        <v>0</v>
      </c>
      <c r="BH780" s="58">
        <f t="shared" si="139"/>
        <v>0</v>
      </c>
      <c r="BI780" s="58">
        <f t="shared" si="140"/>
        <v>0</v>
      </c>
      <c r="BJ780" s="58">
        <f t="shared" si="141"/>
        <v>0</v>
      </c>
      <c r="BK780" s="58">
        <f t="shared" si="142"/>
        <v>8</v>
      </c>
    </row>
    <row r="781" spans="1:63" ht="27" customHeight="1">
      <c r="A781" s="238">
        <f t="shared" si="143"/>
        <v>779</v>
      </c>
      <c r="B781" s="239"/>
      <c r="C781" s="266">
        <v>3157</v>
      </c>
      <c r="D781" s="284">
        <v>0</v>
      </c>
      <c r="E781" s="267" t="s">
        <v>4654</v>
      </c>
      <c r="F781" s="268" t="s">
        <v>2059</v>
      </c>
      <c r="G781" s="269" t="s">
        <v>4655</v>
      </c>
      <c r="H781" s="245" t="s">
        <v>4656</v>
      </c>
      <c r="I781" s="246" t="s">
        <v>4657</v>
      </c>
      <c r="J781" s="270" t="s">
        <v>178</v>
      </c>
      <c r="K781" s="271">
        <v>26024</v>
      </c>
      <c r="L781" s="249" t="s">
        <v>179</v>
      </c>
      <c r="M781" s="272">
        <v>43740</v>
      </c>
      <c r="N781" s="272"/>
      <c r="O781" s="240" t="s">
        <v>4024</v>
      </c>
      <c r="P781" s="238" t="s">
        <v>3940</v>
      </c>
      <c r="Q781" s="238" t="s">
        <v>249</v>
      </c>
      <c r="R781" s="240" t="s">
        <v>182</v>
      </c>
      <c r="S781" s="240" t="s">
        <v>183</v>
      </c>
      <c r="T781" s="251"/>
      <c r="U781" s="273"/>
      <c r="V781" s="274" t="s">
        <v>184</v>
      </c>
      <c r="W781" s="274" t="s">
        <v>184</v>
      </c>
      <c r="X781" s="275">
        <v>5</v>
      </c>
      <c r="Y781" s="267" t="s">
        <v>4658</v>
      </c>
      <c r="Z781" s="277"/>
      <c r="AA781" s="277"/>
      <c r="AB781" s="277" t="s">
        <v>186</v>
      </c>
      <c r="AC781" s="296"/>
      <c r="AD781" s="287" t="s">
        <v>1110</v>
      </c>
      <c r="AE781" s="287" t="s">
        <v>138</v>
      </c>
      <c r="AF781" s="288" t="s">
        <v>4659</v>
      </c>
      <c r="AG781" s="286"/>
      <c r="AH781" s="276"/>
      <c r="AI781" s="276"/>
      <c r="AJ781" s="274" t="s">
        <v>203</v>
      </c>
      <c r="AK781" s="274" t="s">
        <v>190</v>
      </c>
      <c r="AL781" s="274" t="s">
        <v>190</v>
      </c>
      <c r="AM781" s="260" t="s">
        <v>3859</v>
      </c>
      <c r="AN781" s="22">
        <v>182</v>
      </c>
      <c r="AO781" s="22">
        <v>0</v>
      </c>
      <c r="AP781" s="22">
        <v>20</v>
      </c>
      <c r="AQ781" s="22">
        <v>0</v>
      </c>
      <c r="AR781" s="22">
        <v>0</v>
      </c>
      <c r="AS781" s="22">
        <v>7</v>
      </c>
      <c r="AT781" s="22">
        <v>10</v>
      </c>
      <c r="AU781" s="316">
        <f t="shared" si="133"/>
        <v>219</v>
      </c>
      <c r="AV781" s="22">
        <v>190</v>
      </c>
      <c r="AW781" s="22">
        <v>0</v>
      </c>
      <c r="AX781" s="22">
        <v>20</v>
      </c>
      <c r="AY781" s="22">
        <v>0</v>
      </c>
      <c r="AZ781" s="22">
        <v>0</v>
      </c>
      <c r="BA781" s="22">
        <v>7</v>
      </c>
      <c r="BB781" s="22">
        <v>10</v>
      </c>
      <c r="BC781" s="316">
        <f t="shared" si="134"/>
        <v>227</v>
      </c>
      <c r="BD781" s="58">
        <f t="shared" si="135"/>
        <v>8</v>
      </c>
      <c r="BE781" s="58">
        <f t="shared" si="136"/>
        <v>0</v>
      </c>
      <c r="BF781" s="58">
        <f t="shared" si="137"/>
        <v>0</v>
      </c>
      <c r="BG781" s="58">
        <f t="shared" si="138"/>
        <v>0</v>
      </c>
      <c r="BH781" s="58">
        <f t="shared" si="139"/>
        <v>0</v>
      </c>
      <c r="BI781" s="58">
        <f t="shared" si="140"/>
        <v>0</v>
      </c>
      <c r="BJ781" s="58">
        <f t="shared" si="141"/>
        <v>0</v>
      </c>
      <c r="BK781" s="58">
        <f t="shared" si="142"/>
        <v>8</v>
      </c>
    </row>
    <row r="782" spans="1:63" ht="27" customHeight="1">
      <c r="A782" s="238">
        <f t="shared" si="143"/>
        <v>780</v>
      </c>
      <c r="B782" s="239"/>
      <c r="C782" s="266">
        <v>3142</v>
      </c>
      <c r="D782" s="241" t="s">
        <v>4660</v>
      </c>
      <c r="E782" s="267" t="s">
        <v>4661</v>
      </c>
      <c r="F782" s="268" t="s">
        <v>1451</v>
      </c>
      <c r="G782" s="269" t="s">
        <v>444</v>
      </c>
      <c r="H782" s="245" t="s">
        <v>1872</v>
      </c>
      <c r="I782" s="246" t="s">
        <v>4662</v>
      </c>
      <c r="J782" s="270" t="s">
        <v>178</v>
      </c>
      <c r="K782" s="271">
        <v>28984</v>
      </c>
      <c r="L782" s="249" t="s">
        <v>179</v>
      </c>
      <c r="M782" s="272">
        <v>43740</v>
      </c>
      <c r="N782" s="272"/>
      <c r="O782" s="240" t="s">
        <v>4024</v>
      </c>
      <c r="P782" s="238" t="s">
        <v>3940</v>
      </c>
      <c r="Q782" s="238" t="s">
        <v>249</v>
      </c>
      <c r="R782" s="240" t="s">
        <v>182</v>
      </c>
      <c r="S782" s="240" t="s">
        <v>211</v>
      </c>
      <c r="T782" s="251"/>
      <c r="U782" s="273"/>
      <c r="V782" s="274" t="s">
        <v>184</v>
      </c>
      <c r="W782" s="274" t="s">
        <v>184</v>
      </c>
      <c r="X782" s="275">
        <v>0</v>
      </c>
      <c r="Y782" s="267" t="s">
        <v>4631</v>
      </c>
      <c r="Z782" s="277"/>
      <c r="AA782" s="277" t="s">
        <v>186</v>
      </c>
      <c r="AB782" s="274"/>
      <c r="AC782" s="296"/>
      <c r="AD782" s="287"/>
      <c r="AE782" s="287"/>
      <c r="AF782" s="288"/>
      <c r="AG782" s="286"/>
      <c r="AH782" s="276"/>
      <c r="AI782" s="276"/>
      <c r="AJ782" s="274" t="s">
        <v>203</v>
      </c>
      <c r="AK782" s="274" t="s">
        <v>190</v>
      </c>
      <c r="AL782" s="274" t="s">
        <v>190</v>
      </c>
      <c r="AM782" s="260" t="s">
        <v>3859</v>
      </c>
      <c r="AN782" s="22">
        <v>182</v>
      </c>
      <c r="AO782" s="22">
        <v>0</v>
      </c>
      <c r="AP782" s="22">
        <v>20</v>
      </c>
      <c r="AQ782" s="22">
        <v>0</v>
      </c>
      <c r="AR782" s="22">
        <v>0</v>
      </c>
      <c r="AS782" s="22">
        <v>7</v>
      </c>
      <c r="AT782" s="22">
        <v>10</v>
      </c>
      <c r="AU782" s="316">
        <f t="shared" si="133"/>
        <v>219</v>
      </c>
      <c r="AV782" s="22">
        <v>190</v>
      </c>
      <c r="AW782" s="22">
        <v>0</v>
      </c>
      <c r="AX782" s="22">
        <v>20</v>
      </c>
      <c r="AY782" s="22">
        <v>0</v>
      </c>
      <c r="AZ782" s="22">
        <v>0</v>
      </c>
      <c r="BA782" s="22">
        <v>7</v>
      </c>
      <c r="BB782" s="22">
        <v>10</v>
      </c>
      <c r="BC782" s="316">
        <f t="shared" si="134"/>
        <v>227</v>
      </c>
      <c r="BD782" s="58">
        <f t="shared" si="135"/>
        <v>8</v>
      </c>
      <c r="BE782" s="58">
        <f t="shared" si="136"/>
        <v>0</v>
      </c>
      <c r="BF782" s="58">
        <f t="shared" si="137"/>
        <v>0</v>
      </c>
      <c r="BG782" s="58">
        <f t="shared" si="138"/>
        <v>0</v>
      </c>
      <c r="BH782" s="58">
        <f t="shared" si="139"/>
        <v>0</v>
      </c>
      <c r="BI782" s="58">
        <f t="shared" si="140"/>
        <v>0</v>
      </c>
      <c r="BJ782" s="58">
        <f t="shared" si="141"/>
        <v>0</v>
      </c>
      <c r="BK782" s="58">
        <f t="shared" si="142"/>
        <v>8</v>
      </c>
    </row>
    <row r="783" spans="1:63" ht="27" customHeight="1">
      <c r="A783" s="238">
        <f t="shared" si="143"/>
        <v>781</v>
      </c>
      <c r="B783" s="239"/>
      <c r="C783" s="266">
        <v>3511</v>
      </c>
      <c r="D783" s="241" t="s">
        <v>4663</v>
      </c>
      <c r="E783" s="267" t="s">
        <v>4664</v>
      </c>
      <c r="F783" s="268" t="s">
        <v>2037</v>
      </c>
      <c r="G783" s="269" t="s">
        <v>1253</v>
      </c>
      <c r="H783" s="245" t="s">
        <v>2039</v>
      </c>
      <c r="I783" s="246" t="s">
        <v>1255</v>
      </c>
      <c r="J783" s="270" t="s">
        <v>178</v>
      </c>
      <c r="K783" s="271">
        <v>36167</v>
      </c>
      <c r="L783" s="249" t="s">
        <v>179</v>
      </c>
      <c r="M783" s="272">
        <v>43746</v>
      </c>
      <c r="N783" s="272"/>
      <c r="O783" s="240" t="s">
        <v>4665</v>
      </c>
      <c r="P783" s="238" t="s">
        <v>3634</v>
      </c>
      <c r="Q783" s="238" t="s">
        <v>249</v>
      </c>
      <c r="R783" s="240" t="s">
        <v>182</v>
      </c>
      <c r="S783" s="240" t="s">
        <v>183</v>
      </c>
      <c r="T783" s="251"/>
      <c r="U783" s="273"/>
      <c r="V783" s="274" t="s">
        <v>184</v>
      </c>
      <c r="W783" s="274" t="s">
        <v>184</v>
      </c>
      <c r="X783" s="275"/>
      <c r="Y783" s="267" t="s">
        <v>4666</v>
      </c>
      <c r="Z783" s="277"/>
      <c r="AA783" s="277"/>
      <c r="AB783" s="274"/>
      <c r="AC783" s="296"/>
      <c r="AD783" s="287"/>
      <c r="AE783" s="287"/>
      <c r="AF783" s="288"/>
      <c r="AG783" s="286"/>
      <c r="AH783" s="276"/>
      <c r="AI783" s="276"/>
      <c r="AJ783" s="274" t="s">
        <v>203</v>
      </c>
      <c r="AK783" s="274" t="s">
        <v>190</v>
      </c>
      <c r="AL783" s="274" t="s">
        <v>190</v>
      </c>
      <c r="AM783" s="260" t="s">
        <v>3859</v>
      </c>
      <c r="AN783" s="22">
        <v>182</v>
      </c>
      <c r="AO783" s="22">
        <v>0</v>
      </c>
      <c r="AP783" s="22">
        <v>20</v>
      </c>
      <c r="AQ783" s="22">
        <v>0</v>
      </c>
      <c r="AR783" s="22">
        <v>0</v>
      </c>
      <c r="AS783" s="22">
        <v>7</v>
      </c>
      <c r="AT783" s="22">
        <v>10</v>
      </c>
      <c r="AU783" s="316">
        <f t="shared" si="133"/>
        <v>219</v>
      </c>
      <c r="AV783" s="22">
        <v>190</v>
      </c>
      <c r="AW783" s="22">
        <v>0</v>
      </c>
      <c r="AX783" s="22">
        <v>20</v>
      </c>
      <c r="AY783" s="22">
        <v>0</v>
      </c>
      <c r="AZ783" s="22">
        <v>0</v>
      </c>
      <c r="BA783" s="22">
        <v>7</v>
      </c>
      <c r="BB783" s="22">
        <v>10</v>
      </c>
      <c r="BC783" s="316">
        <f t="shared" si="134"/>
        <v>227</v>
      </c>
      <c r="BD783" s="58">
        <f t="shared" si="135"/>
        <v>8</v>
      </c>
      <c r="BE783" s="58">
        <f t="shared" si="136"/>
        <v>0</v>
      </c>
      <c r="BF783" s="58">
        <f t="shared" si="137"/>
        <v>0</v>
      </c>
      <c r="BG783" s="58">
        <f t="shared" si="138"/>
        <v>0</v>
      </c>
      <c r="BH783" s="58">
        <f t="shared" si="139"/>
        <v>0</v>
      </c>
      <c r="BI783" s="58">
        <f t="shared" si="140"/>
        <v>0</v>
      </c>
      <c r="BJ783" s="58">
        <f t="shared" si="141"/>
        <v>0</v>
      </c>
      <c r="BK783" s="58">
        <f t="shared" si="142"/>
        <v>8</v>
      </c>
    </row>
    <row r="784" spans="1:63" ht="27" customHeight="1">
      <c r="A784" s="238">
        <f t="shared" si="143"/>
        <v>782</v>
      </c>
      <c r="B784" s="239"/>
      <c r="C784" s="266">
        <v>3300</v>
      </c>
      <c r="D784" s="241" t="s">
        <v>4667</v>
      </c>
      <c r="E784" s="267" t="s">
        <v>4668</v>
      </c>
      <c r="F784" s="268" t="s">
        <v>4669</v>
      </c>
      <c r="G784" s="269" t="s">
        <v>4670</v>
      </c>
      <c r="H784" s="245" t="s">
        <v>4671</v>
      </c>
      <c r="I784" s="246" t="s">
        <v>4672</v>
      </c>
      <c r="J784" s="270" t="s">
        <v>178</v>
      </c>
      <c r="K784" s="271">
        <v>29839</v>
      </c>
      <c r="L784" s="249" t="s">
        <v>179</v>
      </c>
      <c r="M784" s="272">
        <v>43746</v>
      </c>
      <c r="N784" s="272"/>
      <c r="O784" s="240" t="s">
        <v>3999</v>
      </c>
      <c r="P784" s="238" t="s">
        <v>3649</v>
      </c>
      <c r="Q784" s="238" t="s">
        <v>249</v>
      </c>
      <c r="R784" s="240" t="s">
        <v>182</v>
      </c>
      <c r="S784" s="240" t="s">
        <v>503</v>
      </c>
      <c r="T784" s="251"/>
      <c r="U784" s="273"/>
      <c r="V784" s="274" t="s">
        <v>184</v>
      </c>
      <c r="W784" s="274" t="s">
        <v>184</v>
      </c>
      <c r="X784" s="275"/>
      <c r="Y784" s="267" t="s">
        <v>4673</v>
      </c>
      <c r="Z784" s="277"/>
      <c r="AA784" s="277"/>
      <c r="AB784" s="274"/>
      <c r="AC784" s="296"/>
      <c r="AD784" s="287"/>
      <c r="AE784" s="287"/>
      <c r="AF784" s="288"/>
      <c r="AG784" s="286"/>
      <c r="AH784" s="276"/>
      <c r="AI784" s="276"/>
      <c r="AJ784" s="274" t="s">
        <v>203</v>
      </c>
      <c r="AK784" s="274" t="s">
        <v>190</v>
      </c>
      <c r="AL784" s="274" t="s">
        <v>190</v>
      </c>
      <c r="AM784" s="260" t="s">
        <v>3859</v>
      </c>
      <c r="AN784" s="22">
        <v>182</v>
      </c>
      <c r="AO784" s="22">
        <v>0</v>
      </c>
      <c r="AP784" s="22">
        <v>20</v>
      </c>
      <c r="AQ784" s="22">
        <v>0</v>
      </c>
      <c r="AR784" s="22">
        <v>0</v>
      </c>
      <c r="AS784" s="22">
        <v>7</v>
      </c>
      <c r="AT784" s="22">
        <v>10</v>
      </c>
      <c r="AU784" s="316">
        <f t="shared" si="133"/>
        <v>219</v>
      </c>
      <c r="AV784" s="22">
        <v>190</v>
      </c>
      <c r="AW784" s="22">
        <v>0</v>
      </c>
      <c r="AX784" s="22">
        <v>20</v>
      </c>
      <c r="AY784" s="22">
        <v>0</v>
      </c>
      <c r="AZ784" s="22">
        <v>0</v>
      </c>
      <c r="BA784" s="22">
        <v>7</v>
      </c>
      <c r="BB784" s="22">
        <v>10</v>
      </c>
      <c r="BC784" s="316">
        <f t="shared" si="134"/>
        <v>227</v>
      </c>
      <c r="BD784" s="58">
        <f t="shared" si="135"/>
        <v>8</v>
      </c>
      <c r="BE784" s="58">
        <f t="shared" si="136"/>
        <v>0</v>
      </c>
      <c r="BF784" s="58">
        <f t="shared" si="137"/>
        <v>0</v>
      </c>
      <c r="BG784" s="58">
        <f t="shared" si="138"/>
        <v>0</v>
      </c>
      <c r="BH784" s="58">
        <f t="shared" si="139"/>
        <v>0</v>
      </c>
      <c r="BI784" s="58">
        <f t="shared" si="140"/>
        <v>0</v>
      </c>
      <c r="BJ784" s="58">
        <f t="shared" si="141"/>
        <v>0</v>
      </c>
      <c r="BK784" s="58">
        <f t="shared" si="142"/>
        <v>8</v>
      </c>
    </row>
    <row r="785" spans="1:63" ht="27" customHeight="1">
      <c r="A785" s="238">
        <f t="shared" si="143"/>
        <v>783</v>
      </c>
      <c r="B785" s="239"/>
      <c r="C785" s="266">
        <v>3311</v>
      </c>
      <c r="D785" s="241" t="s">
        <v>4674</v>
      </c>
      <c r="E785" s="267" t="s">
        <v>4675</v>
      </c>
      <c r="F785" s="300" t="s">
        <v>344</v>
      </c>
      <c r="G785" s="269" t="s">
        <v>2439</v>
      </c>
      <c r="H785" s="245" t="s">
        <v>346</v>
      </c>
      <c r="I785" s="246" t="s">
        <v>4676</v>
      </c>
      <c r="J785" s="270" t="s">
        <v>178</v>
      </c>
      <c r="K785" s="271">
        <v>30418</v>
      </c>
      <c r="L785" s="249" t="s">
        <v>179</v>
      </c>
      <c r="M785" s="272">
        <v>43746</v>
      </c>
      <c r="N785" s="272"/>
      <c r="O785" s="240" t="s">
        <v>3965</v>
      </c>
      <c r="P785" s="238" t="s">
        <v>3785</v>
      </c>
      <c r="Q785" s="238" t="s">
        <v>249</v>
      </c>
      <c r="R785" s="240" t="s">
        <v>182</v>
      </c>
      <c r="S785" s="240" t="s">
        <v>228</v>
      </c>
      <c r="T785" s="251"/>
      <c r="U785" s="273"/>
      <c r="V785" s="274" t="s">
        <v>184</v>
      </c>
      <c r="W785" s="274" t="s">
        <v>184</v>
      </c>
      <c r="X785" s="275">
        <v>2</v>
      </c>
      <c r="Y785" s="267" t="s">
        <v>4677</v>
      </c>
      <c r="Z785" s="277"/>
      <c r="AA785" s="277"/>
      <c r="AB785" s="274"/>
      <c r="AC785" s="296"/>
      <c r="AD785" s="287"/>
      <c r="AE785" s="287"/>
      <c r="AF785" s="288"/>
      <c r="AG785" s="286"/>
      <c r="AH785" s="276"/>
      <c r="AI785" s="276"/>
      <c r="AJ785" s="274" t="s">
        <v>203</v>
      </c>
      <c r="AK785" s="274" t="s">
        <v>190</v>
      </c>
      <c r="AL785" s="274" t="s">
        <v>190</v>
      </c>
      <c r="AM785" s="260" t="s">
        <v>3916</v>
      </c>
      <c r="AN785" s="22">
        <v>182</v>
      </c>
      <c r="AO785" s="22">
        <v>0</v>
      </c>
      <c r="AP785" s="22">
        <v>0</v>
      </c>
      <c r="AQ785" s="22">
        <v>0</v>
      </c>
      <c r="AR785" s="22">
        <v>0</v>
      </c>
      <c r="AS785" s="22">
        <v>7</v>
      </c>
      <c r="AT785" s="22">
        <v>10</v>
      </c>
      <c r="AU785" s="316">
        <f t="shared" si="133"/>
        <v>199</v>
      </c>
      <c r="AV785" s="22">
        <v>190</v>
      </c>
      <c r="AW785" s="22">
        <v>0</v>
      </c>
      <c r="AX785" s="22">
        <v>0</v>
      </c>
      <c r="AY785" s="22">
        <v>0</v>
      </c>
      <c r="AZ785" s="22">
        <v>0</v>
      </c>
      <c r="BA785" s="22">
        <v>7</v>
      </c>
      <c r="BB785" s="22">
        <v>10</v>
      </c>
      <c r="BC785" s="316">
        <f t="shared" si="134"/>
        <v>207</v>
      </c>
      <c r="BD785" s="58">
        <f t="shared" si="135"/>
        <v>8</v>
      </c>
      <c r="BE785" s="58">
        <f t="shared" si="136"/>
        <v>0</v>
      </c>
      <c r="BF785" s="58">
        <f t="shared" si="137"/>
        <v>0</v>
      </c>
      <c r="BG785" s="58">
        <f t="shared" si="138"/>
        <v>0</v>
      </c>
      <c r="BH785" s="58">
        <f t="shared" si="139"/>
        <v>0</v>
      </c>
      <c r="BI785" s="58">
        <f t="shared" si="140"/>
        <v>0</v>
      </c>
      <c r="BJ785" s="58">
        <f t="shared" si="141"/>
        <v>0</v>
      </c>
      <c r="BK785" s="58">
        <f t="shared" si="142"/>
        <v>8</v>
      </c>
    </row>
    <row r="786" spans="1:63" ht="27" customHeight="1">
      <c r="A786" s="238">
        <f t="shared" si="143"/>
        <v>784</v>
      </c>
      <c r="B786" s="239"/>
      <c r="C786" s="266">
        <v>3187</v>
      </c>
      <c r="D786" s="241" t="s">
        <v>4678</v>
      </c>
      <c r="E786" s="267" t="s">
        <v>4679</v>
      </c>
      <c r="F786" s="268" t="s">
        <v>1066</v>
      </c>
      <c r="G786" s="269" t="s">
        <v>4680</v>
      </c>
      <c r="H786" s="245" t="s">
        <v>1068</v>
      </c>
      <c r="I786" s="246" t="s">
        <v>4681</v>
      </c>
      <c r="J786" s="270" t="s">
        <v>178</v>
      </c>
      <c r="K786" s="271">
        <v>30346</v>
      </c>
      <c r="L786" s="249" t="s">
        <v>179</v>
      </c>
      <c r="M786" s="272">
        <v>43741</v>
      </c>
      <c r="N786" s="272"/>
      <c r="O786" s="240"/>
      <c r="P786" s="238" t="s">
        <v>3638</v>
      </c>
      <c r="Q786" s="238" t="s">
        <v>249</v>
      </c>
      <c r="R786" s="240" t="s">
        <v>182</v>
      </c>
      <c r="S786" s="240" t="s">
        <v>219</v>
      </c>
      <c r="T786" s="251"/>
      <c r="U786" s="273"/>
      <c r="V786" s="274" t="s">
        <v>184</v>
      </c>
      <c r="W786" s="274" t="s">
        <v>184</v>
      </c>
      <c r="X786" s="275">
        <v>7</v>
      </c>
      <c r="Y786" s="267" t="s">
        <v>4682</v>
      </c>
      <c r="Z786" s="277"/>
      <c r="AA786" s="277" t="s">
        <v>186</v>
      </c>
      <c r="AB786" s="274"/>
      <c r="AC786" s="296"/>
      <c r="AD786" s="287"/>
      <c r="AE786" s="287"/>
      <c r="AF786" s="288"/>
      <c r="AG786" s="286"/>
      <c r="AH786" s="276"/>
      <c r="AI786" s="276"/>
      <c r="AJ786" s="274" t="s">
        <v>203</v>
      </c>
      <c r="AK786" s="274" t="s">
        <v>190</v>
      </c>
      <c r="AL786" s="274" t="s">
        <v>190</v>
      </c>
      <c r="AM786" s="260" t="s">
        <v>3859</v>
      </c>
      <c r="AN786" s="22">
        <v>182</v>
      </c>
      <c r="AO786" s="22">
        <v>0</v>
      </c>
      <c r="AP786" s="22">
        <v>20</v>
      </c>
      <c r="AQ786" s="22">
        <v>0</v>
      </c>
      <c r="AR786" s="22">
        <v>0</v>
      </c>
      <c r="AS786" s="22">
        <v>7</v>
      </c>
      <c r="AT786" s="22">
        <v>10</v>
      </c>
      <c r="AU786" s="316">
        <f t="shared" si="133"/>
        <v>219</v>
      </c>
      <c r="AV786" s="22">
        <v>190</v>
      </c>
      <c r="AW786" s="22">
        <v>0</v>
      </c>
      <c r="AX786" s="22">
        <v>20</v>
      </c>
      <c r="AY786" s="22">
        <v>0</v>
      </c>
      <c r="AZ786" s="22">
        <v>0</v>
      </c>
      <c r="BA786" s="22">
        <v>7</v>
      </c>
      <c r="BB786" s="22">
        <v>10</v>
      </c>
      <c r="BC786" s="316">
        <f t="shared" si="134"/>
        <v>227</v>
      </c>
      <c r="BD786" s="58">
        <f t="shared" si="135"/>
        <v>8</v>
      </c>
      <c r="BE786" s="58">
        <f t="shared" si="136"/>
        <v>0</v>
      </c>
      <c r="BF786" s="58">
        <f t="shared" si="137"/>
        <v>0</v>
      </c>
      <c r="BG786" s="58">
        <f t="shared" si="138"/>
        <v>0</v>
      </c>
      <c r="BH786" s="58">
        <f t="shared" si="139"/>
        <v>0</v>
      </c>
      <c r="BI786" s="58">
        <f t="shared" si="140"/>
        <v>0</v>
      </c>
      <c r="BJ786" s="58">
        <f t="shared" si="141"/>
        <v>0</v>
      </c>
      <c r="BK786" s="58">
        <f t="shared" si="142"/>
        <v>8</v>
      </c>
    </row>
    <row r="787" spans="1:63" ht="27" customHeight="1">
      <c r="A787" s="238">
        <f t="shared" si="143"/>
        <v>785</v>
      </c>
      <c r="B787" s="239"/>
      <c r="C787" s="266">
        <v>3188</v>
      </c>
      <c r="D787" s="241" t="s">
        <v>4683</v>
      </c>
      <c r="E787" s="267" t="s">
        <v>4684</v>
      </c>
      <c r="F787" s="268" t="s">
        <v>4685</v>
      </c>
      <c r="G787" s="269" t="s">
        <v>4686</v>
      </c>
      <c r="H787" s="245" t="s">
        <v>4687</v>
      </c>
      <c r="I787" s="246" t="s">
        <v>4688</v>
      </c>
      <c r="J787" s="270" t="s">
        <v>178</v>
      </c>
      <c r="K787" s="271">
        <v>23166</v>
      </c>
      <c r="L787" s="249" t="s">
        <v>179</v>
      </c>
      <c r="M787" s="272">
        <v>43740</v>
      </c>
      <c r="N787" s="272"/>
      <c r="O787" s="240"/>
      <c r="P787" s="238" t="s">
        <v>199</v>
      </c>
      <c r="Q787" s="238" t="s">
        <v>249</v>
      </c>
      <c r="R787" s="240" t="s">
        <v>182</v>
      </c>
      <c r="S787" s="240" t="s">
        <v>433</v>
      </c>
      <c r="T787" s="251"/>
      <c r="U787" s="273"/>
      <c r="V787" s="274" t="s">
        <v>184</v>
      </c>
      <c r="W787" s="274" t="s">
        <v>184</v>
      </c>
      <c r="X787" s="275">
        <v>1</v>
      </c>
      <c r="Y787" s="267"/>
      <c r="Z787" s="277"/>
      <c r="AA787" s="277" t="s">
        <v>186</v>
      </c>
      <c r="AB787" s="274"/>
      <c r="AC787" s="296"/>
      <c r="AD787" s="287"/>
      <c r="AE787" s="287"/>
      <c r="AF787" s="287"/>
      <c r="AG787" s="287"/>
      <c r="AH787" s="276"/>
      <c r="AI787" s="276"/>
      <c r="AJ787" s="274" t="s">
        <v>203</v>
      </c>
      <c r="AK787" s="274" t="s">
        <v>190</v>
      </c>
      <c r="AL787" s="274" t="s">
        <v>190</v>
      </c>
      <c r="AM787" s="260" t="s">
        <v>3859</v>
      </c>
      <c r="AN787" s="22">
        <v>182</v>
      </c>
      <c r="AO787" s="22">
        <v>0</v>
      </c>
      <c r="AP787" s="22">
        <v>20</v>
      </c>
      <c r="AQ787" s="22">
        <v>0</v>
      </c>
      <c r="AR787" s="22">
        <v>0</v>
      </c>
      <c r="AS787" s="22">
        <v>7</v>
      </c>
      <c r="AT787" s="22">
        <v>10</v>
      </c>
      <c r="AU787" s="316">
        <f t="shared" si="133"/>
        <v>219</v>
      </c>
      <c r="AV787" s="22">
        <v>190</v>
      </c>
      <c r="AW787" s="22">
        <v>0</v>
      </c>
      <c r="AX787" s="22">
        <v>20</v>
      </c>
      <c r="AY787" s="22">
        <v>0</v>
      </c>
      <c r="AZ787" s="22">
        <v>0</v>
      </c>
      <c r="BA787" s="22">
        <v>7</v>
      </c>
      <c r="BB787" s="22">
        <v>10</v>
      </c>
      <c r="BC787" s="316">
        <f t="shared" si="134"/>
        <v>227</v>
      </c>
      <c r="BD787" s="58">
        <f t="shared" si="135"/>
        <v>8</v>
      </c>
      <c r="BE787" s="58">
        <f t="shared" si="136"/>
        <v>0</v>
      </c>
      <c r="BF787" s="58">
        <f t="shared" si="137"/>
        <v>0</v>
      </c>
      <c r="BG787" s="58">
        <f t="shared" si="138"/>
        <v>0</v>
      </c>
      <c r="BH787" s="58">
        <f t="shared" si="139"/>
        <v>0</v>
      </c>
      <c r="BI787" s="58">
        <f t="shared" si="140"/>
        <v>0</v>
      </c>
      <c r="BJ787" s="58">
        <f t="shared" si="141"/>
        <v>0</v>
      </c>
      <c r="BK787" s="58">
        <f t="shared" si="142"/>
        <v>8</v>
      </c>
    </row>
    <row r="788" spans="1:63" ht="27" customHeight="1">
      <c r="A788" s="238">
        <f t="shared" si="143"/>
        <v>786</v>
      </c>
      <c r="B788" s="239"/>
      <c r="C788" s="266">
        <v>3257</v>
      </c>
      <c r="D788" s="241" t="s">
        <v>4689</v>
      </c>
      <c r="E788" s="267" t="s">
        <v>4690</v>
      </c>
      <c r="F788" s="268" t="s">
        <v>1090</v>
      </c>
      <c r="G788" s="269" t="s">
        <v>4691</v>
      </c>
      <c r="H788" s="245" t="s">
        <v>1092</v>
      </c>
      <c r="I788" s="246" t="s">
        <v>4692</v>
      </c>
      <c r="J788" s="270" t="s">
        <v>178</v>
      </c>
      <c r="K788" s="271">
        <v>29253</v>
      </c>
      <c r="L788" s="249" t="s">
        <v>179</v>
      </c>
      <c r="M788" s="272">
        <v>43746</v>
      </c>
      <c r="N788" s="272"/>
      <c r="O788" s="240" t="s">
        <v>4004</v>
      </c>
      <c r="P788" s="238" t="s">
        <v>3833</v>
      </c>
      <c r="Q788" s="238" t="s">
        <v>249</v>
      </c>
      <c r="R788" s="240" t="s">
        <v>182</v>
      </c>
      <c r="S788" s="240" t="s">
        <v>228</v>
      </c>
      <c r="T788" s="251"/>
      <c r="U788" s="273"/>
      <c r="V788" s="274" t="s">
        <v>184</v>
      </c>
      <c r="W788" s="274" t="s">
        <v>184</v>
      </c>
      <c r="X788" s="275">
        <v>5</v>
      </c>
      <c r="Y788" s="267" t="s">
        <v>4693</v>
      </c>
      <c r="Z788" s="277"/>
      <c r="AA788" s="277" t="s">
        <v>186</v>
      </c>
      <c r="AB788" s="274"/>
      <c r="AC788" s="296"/>
      <c r="AD788" s="287"/>
      <c r="AE788" s="287"/>
      <c r="AF788" s="288"/>
      <c r="AG788" s="286"/>
      <c r="AH788" s="276"/>
      <c r="AI788" s="276"/>
      <c r="AJ788" s="274" t="s">
        <v>190</v>
      </c>
      <c r="AK788" s="274" t="s">
        <v>190</v>
      </c>
      <c r="AL788" s="274" t="s">
        <v>190</v>
      </c>
      <c r="AM788" s="289" t="s">
        <v>3967</v>
      </c>
      <c r="AN788" s="22">
        <v>182</v>
      </c>
      <c r="AO788" s="22">
        <v>0</v>
      </c>
      <c r="AP788" s="22">
        <v>20</v>
      </c>
      <c r="AQ788" s="22">
        <v>0</v>
      </c>
      <c r="AR788" s="22">
        <v>0</v>
      </c>
      <c r="AS788" s="22">
        <v>7</v>
      </c>
      <c r="AT788" s="22">
        <v>10</v>
      </c>
      <c r="AU788" s="316">
        <f t="shared" si="133"/>
        <v>219</v>
      </c>
      <c r="AV788" s="22">
        <v>190</v>
      </c>
      <c r="AW788" s="22">
        <v>0</v>
      </c>
      <c r="AX788" s="22">
        <v>20</v>
      </c>
      <c r="AY788" s="22">
        <v>0</v>
      </c>
      <c r="AZ788" s="22">
        <v>0</v>
      </c>
      <c r="BA788" s="22">
        <v>7</v>
      </c>
      <c r="BB788" s="22">
        <v>10</v>
      </c>
      <c r="BC788" s="316">
        <f t="shared" si="134"/>
        <v>227</v>
      </c>
      <c r="BD788" s="58">
        <f t="shared" si="135"/>
        <v>8</v>
      </c>
      <c r="BE788" s="58">
        <f t="shared" si="136"/>
        <v>0</v>
      </c>
      <c r="BF788" s="58">
        <f t="shared" si="137"/>
        <v>0</v>
      </c>
      <c r="BG788" s="58">
        <f t="shared" si="138"/>
        <v>0</v>
      </c>
      <c r="BH788" s="58">
        <f t="shared" si="139"/>
        <v>0</v>
      </c>
      <c r="BI788" s="58">
        <f t="shared" si="140"/>
        <v>0</v>
      </c>
      <c r="BJ788" s="58">
        <f t="shared" si="141"/>
        <v>0</v>
      </c>
      <c r="BK788" s="58">
        <f t="shared" si="142"/>
        <v>8</v>
      </c>
    </row>
    <row r="789" spans="1:63" ht="27" customHeight="1">
      <c r="A789" s="238">
        <f t="shared" si="143"/>
        <v>787</v>
      </c>
      <c r="B789" s="239"/>
      <c r="C789" s="266">
        <v>3219</v>
      </c>
      <c r="D789" s="241" t="s">
        <v>4694</v>
      </c>
      <c r="E789" s="267" t="s">
        <v>4695</v>
      </c>
      <c r="F789" s="268" t="s">
        <v>976</v>
      </c>
      <c r="G789" s="269" t="s">
        <v>4696</v>
      </c>
      <c r="H789" s="245" t="s">
        <v>4697</v>
      </c>
      <c r="I789" s="246" t="s">
        <v>4698</v>
      </c>
      <c r="J789" s="270" t="s">
        <v>178</v>
      </c>
      <c r="K789" s="271">
        <v>36918</v>
      </c>
      <c r="L789" s="249" t="s">
        <v>179</v>
      </c>
      <c r="M789" s="272">
        <v>43741</v>
      </c>
      <c r="N789" s="272"/>
      <c r="O789" s="240" t="s">
        <v>4076</v>
      </c>
      <c r="P789" s="238" t="s">
        <v>1385</v>
      </c>
      <c r="Q789" s="238" t="s">
        <v>249</v>
      </c>
      <c r="R789" s="240" t="s">
        <v>182</v>
      </c>
      <c r="S789" s="240" t="s">
        <v>503</v>
      </c>
      <c r="T789" s="251"/>
      <c r="U789" s="273"/>
      <c r="V789" s="274" t="s">
        <v>184</v>
      </c>
      <c r="W789" s="274" t="s">
        <v>184</v>
      </c>
      <c r="X789" s="275">
        <v>7</v>
      </c>
      <c r="Y789" s="267" t="s">
        <v>4699</v>
      </c>
      <c r="Z789" s="277"/>
      <c r="AA789" s="277" t="s">
        <v>186</v>
      </c>
      <c r="AB789" s="274"/>
      <c r="AC789" s="296" t="s">
        <v>356</v>
      </c>
      <c r="AD789" s="287"/>
      <c r="AE789" s="287"/>
      <c r="AF789" s="288"/>
      <c r="AG789" s="286"/>
      <c r="AH789" s="276"/>
      <c r="AI789" s="276"/>
      <c r="AJ789" s="274" t="s">
        <v>203</v>
      </c>
      <c r="AK789" s="274" t="s">
        <v>190</v>
      </c>
      <c r="AL789" s="274" t="s">
        <v>190</v>
      </c>
      <c r="AM789" s="260" t="s">
        <v>3859</v>
      </c>
      <c r="AN789" s="22">
        <v>182</v>
      </c>
      <c r="AO789" s="22">
        <v>0</v>
      </c>
      <c r="AP789" s="22">
        <v>20</v>
      </c>
      <c r="AQ789" s="22">
        <v>0</v>
      </c>
      <c r="AR789" s="22">
        <v>0</v>
      </c>
      <c r="AS789" s="22">
        <v>7</v>
      </c>
      <c r="AT789" s="22">
        <v>10</v>
      </c>
      <c r="AU789" s="316">
        <f t="shared" si="133"/>
        <v>219</v>
      </c>
      <c r="AV789" s="22">
        <v>190</v>
      </c>
      <c r="AW789" s="22">
        <v>0</v>
      </c>
      <c r="AX789" s="22">
        <v>20</v>
      </c>
      <c r="AY789" s="22">
        <v>0</v>
      </c>
      <c r="AZ789" s="22">
        <v>0</v>
      </c>
      <c r="BA789" s="22">
        <v>7</v>
      </c>
      <c r="BB789" s="22">
        <v>10</v>
      </c>
      <c r="BC789" s="316">
        <f t="shared" si="134"/>
        <v>227</v>
      </c>
      <c r="BD789" s="58">
        <f t="shared" si="135"/>
        <v>8</v>
      </c>
      <c r="BE789" s="58">
        <f t="shared" si="136"/>
        <v>0</v>
      </c>
      <c r="BF789" s="58">
        <f t="shared" si="137"/>
        <v>0</v>
      </c>
      <c r="BG789" s="58">
        <f t="shared" si="138"/>
        <v>0</v>
      </c>
      <c r="BH789" s="58">
        <f t="shared" si="139"/>
        <v>0</v>
      </c>
      <c r="BI789" s="58">
        <f t="shared" si="140"/>
        <v>0</v>
      </c>
      <c r="BJ789" s="58">
        <f t="shared" si="141"/>
        <v>0</v>
      </c>
      <c r="BK789" s="58">
        <f t="shared" si="142"/>
        <v>8</v>
      </c>
    </row>
    <row r="790" spans="1:63" ht="27" customHeight="1">
      <c r="A790" s="238">
        <f t="shared" si="143"/>
        <v>788</v>
      </c>
      <c r="B790" s="239"/>
      <c r="C790" s="266">
        <v>3202</v>
      </c>
      <c r="D790" s="241" t="s">
        <v>4700</v>
      </c>
      <c r="E790" s="267" t="s">
        <v>4701</v>
      </c>
      <c r="F790" s="268" t="s">
        <v>4702</v>
      </c>
      <c r="G790" s="269" t="s">
        <v>1417</v>
      </c>
      <c r="H790" s="245" t="s">
        <v>300</v>
      </c>
      <c r="I790" s="246" t="s">
        <v>1419</v>
      </c>
      <c r="J790" s="270" t="s">
        <v>178</v>
      </c>
      <c r="K790" s="271">
        <v>31670</v>
      </c>
      <c r="L790" s="249" t="s">
        <v>179</v>
      </c>
      <c r="M790" s="272">
        <v>43742</v>
      </c>
      <c r="N790" s="272"/>
      <c r="O790" s="240" t="s">
        <v>3983</v>
      </c>
      <c r="P790" s="238" t="s">
        <v>2821</v>
      </c>
      <c r="Q790" s="238" t="s">
        <v>249</v>
      </c>
      <c r="R790" s="240" t="s">
        <v>182</v>
      </c>
      <c r="S790" s="240" t="s">
        <v>228</v>
      </c>
      <c r="T790" s="251"/>
      <c r="U790" s="273"/>
      <c r="V790" s="274" t="s">
        <v>184</v>
      </c>
      <c r="W790" s="274" t="s">
        <v>184</v>
      </c>
      <c r="X790" s="275">
        <v>7</v>
      </c>
      <c r="Y790" s="267" t="s">
        <v>4703</v>
      </c>
      <c r="Z790" s="277"/>
      <c r="AA790" s="277" t="s">
        <v>186</v>
      </c>
      <c r="AB790" s="274"/>
      <c r="AC790" s="296"/>
      <c r="AD790" s="287"/>
      <c r="AE790" s="287"/>
      <c r="AF790" s="288"/>
      <c r="AG790" s="286"/>
      <c r="AH790" s="276"/>
      <c r="AI790" s="276"/>
      <c r="AJ790" s="274" t="s">
        <v>203</v>
      </c>
      <c r="AK790" s="274" t="s">
        <v>190</v>
      </c>
      <c r="AL790" s="274" t="s">
        <v>190</v>
      </c>
      <c r="AM790" s="289" t="s">
        <v>4704</v>
      </c>
      <c r="AN790" s="22">
        <v>182</v>
      </c>
      <c r="AO790" s="22">
        <v>0</v>
      </c>
      <c r="AP790" s="22">
        <v>20</v>
      </c>
      <c r="AQ790" s="22">
        <v>0</v>
      </c>
      <c r="AR790" s="22">
        <v>0</v>
      </c>
      <c r="AS790" s="22">
        <v>7</v>
      </c>
      <c r="AT790" s="22">
        <v>10</v>
      </c>
      <c r="AU790" s="316">
        <f t="shared" si="133"/>
        <v>219</v>
      </c>
      <c r="AV790" s="22">
        <v>190</v>
      </c>
      <c r="AW790" s="22">
        <v>0</v>
      </c>
      <c r="AX790" s="22">
        <v>20</v>
      </c>
      <c r="AY790" s="22">
        <v>0</v>
      </c>
      <c r="AZ790" s="22">
        <v>0</v>
      </c>
      <c r="BA790" s="22">
        <v>7</v>
      </c>
      <c r="BB790" s="22">
        <v>10</v>
      </c>
      <c r="BC790" s="316">
        <f t="shared" si="134"/>
        <v>227</v>
      </c>
      <c r="BD790" s="58">
        <f t="shared" si="135"/>
        <v>8</v>
      </c>
      <c r="BE790" s="58">
        <f t="shared" si="136"/>
        <v>0</v>
      </c>
      <c r="BF790" s="58">
        <f t="shared" si="137"/>
        <v>0</v>
      </c>
      <c r="BG790" s="58">
        <f t="shared" si="138"/>
        <v>0</v>
      </c>
      <c r="BH790" s="58">
        <f t="shared" si="139"/>
        <v>0</v>
      </c>
      <c r="BI790" s="58">
        <f t="shared" si="140"/>
        <v>0</v>
      </c>
      <c r="BJ790" s="58">
        <f t="shared" si="141"/>
        <v>0</v>
      </c>
      <c r="BK790" s="58">
        <f t="shared" si="142"/>
        <v>8</v>
      </c>
    </row>
    <row r="791" spans="1:63" ht="27" customHeight="1">
      <c r="A791" s="238">
        <f t="shared" si="143"/>
        <v>789</v>
      </c>
      <c r="B791" s="239"/>
      <c r="C791" s="266">
        <v>3240</v>
      </c>
      <c r="D791" s="241" t="s">
        <v>4705</v>
      </c>
      <c r="E791" s="267" t="s">
        <v>4706</v>
      </c>
      <c r="F791" s="268" t="s">
        <v>4707</v>
      </c>
      <c r="G791" s="269" t="s">
        <v>2845</v>
      </c>
      <c r="H791" s="245" t="s">
        <v>4140</v>
      </c>
      <c r="I791" s="246" t="s">
        <v>4708</v>
      </c>
      <c r="J791" s="270" t="s">
        <v>209</v>
      </c>
      <c r="K791" s="271">
        <v>36808</v>
      </c>
      <c r="L791" s="249" t="s">
        <v>179</v>
      </c>
      <c r="M791" s="272">
        <v>43746</v>
      </c>
      <c r="N791" s="272"/>
      <c r="O791" s="240" t="s">
        <v>4004</v>
      </c>
      <c r="P791" s="238" t="s">
        <v>3833</v>
      </c>
      <c r="Q791" s="238" t="s">
        <v>249</v>
      </c>
      <c r="R791" s="240" t="s">
        <v>182</v>
      </c>
      <c r="S791" s="240" t="s">
        <v>183</v>
      </c>
      <c r="T791" s="251"/>
      <c r="U791" s="273"/>
      <c r="V791" s="274" t="s">
        <v>184</v>
      </c>
      <c r="W791" s="274" t="s">
        <v>184</v>
      </c>
      <c r="X791" s="275">
        <v>7</v>
      </c>
      <c r="Y791" s="267" t="s">
        <v>4709</v>
      </c>
      <c r="Z791" s="277" t="s">
        <v>186</v>
      </c>
      <c r="AA791" s="277"/>
      <c r="AB791" s="274"/>
      <c r="AC791" s="296"/>
      <c r="AD791" s="287"/>
      <c r="AE791" s="287"/>
      <c r="AF791" s="288"/>
      <c r="AG791" s="286"/>
      <c r="AH791" s="276"/>
      <c r="AI791" s="276"/>
      <c r="AJ791" s="274" t="s">
        <v>190</v>
      </c>
      <c r="AK791" s="274" t="s">
        <v>190</v>
      </c>
      <c r="AL791" s="274" t="s">
        <v>190</v>
      </c>
      <c r="AM791" s="289" t="s">
        <v>3967</v>
      </c>
      <c r="AN791" s="22">
        <v>182</v>
      </c>
      <c r="AO791" s="22">
        <v>0</v>
      </c>
      <c r="AP791" s="22">
        <v>0</v>
      </c>
      <c r="AQ791" s="22">
        <v>0</v>
      </c>
      <c r="AR791" s="22">
        <v>0</v>
      </c>
      <c r="AS791" s="22">
        <v>7</v>
      </c>
      <c r="AT791" s="22">
        <v>10</v>
      </c>
      <c r="AU791" s="316">
        <f t="shared" si="133"/>
        <v>199</v>
      </c>
      <c r="AV791" s="22">
        <v>190</v>
      </c>
      <c r="AW791" s="22">
        <v>0</v>
      </c>
      <c r="AX791" s="22">
        <v>0</v>
      </c>
      <c r="AY791" s="22">
        <v>0</v>
      </c>
      <c r="AZ791" s="22">
        <v>0</v>
      </c>
      <c r="BA791" s="22">
        <v>7</v>
      </c>
      <c r="BB791" s="22">
        <v>10</v>
      </c>
      <c r="BC791" s="316">
        <f t="shared" si="134"/>
        <v>207</v>
      </c>
      <c r="BD791" s="58">
        <f t="shared" si="135"/>
        <v>8</v>
      </c>
      <c r="BE791" s="58">
        <f t="shared" si="136"/>
        <v>0</v>
      </c>
      <c r="BF791" s="58">
        <f t="shared" si="137"/>
        <v>0</v>
      </c>
      <c r="BG791" s="58">
        <f t="shared" si="138"/>
        <v>0</v>
      </c>
      <c r="BH791" s="58">
        <f t="shared" si="139"/>
        <v>0</v>
      </c>
      <c r="BI791" s="58">
        <f t="shared" si="140"/>
        <v>0</v>
      </c>
      <c r="BJ791" s="58">
        <f t="shared" si="141"/>
        <v>0</v>
      </c>
      <c r="BK791" s="58">
        <f t="shared" si="142"/>
        <v>8</v>
      </c>
    </row>
    <row r="792" spans="1:63" ht="27" customHeight="1">
      <c r="A792" s="238">
        <f t="shared" si="143"/>
        <v>790</v>
      </c>
      <c r="B792" s="239"/>
      <c r="C792" s="266">
        <v>3244</v>
      </c>
      <c r="D792" s="241" t="s">
        <v>4710</v>
      </c>
      <c r="E792" s="267" t="s">
        <v>4711</v>
      </c>
      <c r="F792" s="268" t="s">
        <v>4702</v>
      </c>
      <c r="G792" s="269" t="s">
        <v>4712</v>
      </c>
      <c r="H792" s="245" t="s">
        <v>4186</v>
      </c>
      <c r="I792" s="246" t="s">
        <v>4713</v>
      </c>
      <c r="J792" s="270" t="s">
        <v>209</v>
      </c>
      <c r="K792" s="271">
        <v>34155</v>
      </c>
      <c r="L792" s="249" t="s">
        <v>179</v>
      </c>
      <c r="M792" s="272">
        <v>43745</v>
      </c>
      <c r="N792" s="272"/>
      <c r="O792" s="240" t="s">
        <v>4004</v>
      </c>
      <c r="P792" s="238" t="s">
        <v>3833</v>
      </c>
      <c r="Q792" s="238" t="s">
        <v>249</v>
      </c>
      <c r="R792" s="240" t="s">
        <v>182</v>
      </c>
      <c r="S792" s="240" t="s">
        <v>228</v>
      </c>
      <c r="T792" s="251"/>
      <c r="U792" s="273"/>
      <c r="V792" s="274" t="s">
        <v>184</v>
      </c>
      <c r="W792" s="274" t="s">
        <v>184</v>
      </c>
      <c r="X792" s="275">
        <v>4</v>
      </c>
      <c r="Y792" s="267" t="s">
        <v>4714</v>
      </c>
      <c r="Z792" s="277" t="s">
        <v>186</v>
      </c>
      <c r="AA792" s="277"/>
      <c r="AB792" s="274"/>
      <c r="AC792" s="296"/>
      <c r="AD792" s="287"/>
      <c r="AE792" s="287"/>
      <c r="AF792" s="288"/>
      <c r="AG792" s="286"/>
      <c r="AH792" s="276"/>
      <c r="AI792" s="276"/>
      <c r="AJ792" s="274" t="s">
        <v>203</v>
      </c>
      <c r="AK792" s="274" t="s">
        <v>190</v>
      </c>
      <c r="AL792" s="274" t="s">
        <v>190</v>
      </c>
      <c r="AM792" s="260" t="s">
        <v>241</v>
      </c>
      <c r="AN792" s="22">
        <v>182</v>
      </c>
      <c r="AO792" s="22">
        <v>0</v>
      </c>
      <c r="AP792" s="22">
        <v>20</v>
      </c>
      <c r="AQ792" s="22">
        <v>0</v>
      </c>
      <c r="AR792" s="22">
        <v>0</v>
      </c>
      <c r="AS792" s="22">
        <v>7</v>
      </c>
      <c r="AT792" s="22">
        <v>10</v>
      </c>
      <c r="AU792" s="316">
        <f t="shared" si="133"/>
        <v>219</v>
      </c>
      <c r="AV792" s="22">
        <v>190</v>
      </c>
      <c r="AW792" s="22">
        <v>0</v>
      </c>
      <c r="AX792" s="22">
        <v>20</v>
      </c>
      <c r="AY792" s="22">
        <v>0</v>
      </c>
      <c r="AZ792" s="22">
        <v>0</v>
      </c>
      <c r="BA792" s="22">
        <v>7</v>
      </c>
      <c r="BB792" s="22">
        <v>10</v>
      </c>
      <c r="BC792" s="316">
        <f t="shared" si="134"/>
        <v>227</v>
      </c>
      <c r="BD792" s="58">
        <f t="shared" si="135"/>
        <v>8</v>
      </c>
      <c r="BE792" s="58">
        <f t="shared" si="136"/>
        <v>0</v>
      </c>
      <c r="BF792" s="58">
        <f t="shared" si="137"/>
        <v>0</v>
      </c>
      <c r="BG792" s="58">
        <f t="shared" si="138"/>
        <v>0</v>
      </c>
      <c r="BH792" s="58">
        <f t="shared" si="139"/>
        <v>0</v>
      </c>
      <c r="BI792" s="58">
        <f t="shared" si="140"/>
        <v>0</v>
      </c>
      <c r="BJ792" s="58">
        <f t="shared" si="141"/>
        <v>0</v>
      </c>
      <c r="BK792" s="58">
        <f t="shared" si="142"/>
        <v>8</v>
      </c>
    </row>
    <row r="793" spans="1:63" ht="27" customHeight="1">
      <c r="A793" s="238">
        <f t="shared" si="143"/>
        <v>791</v>
      </c>
      <c r="B793" s="239"/>
      <c r="C793" s="266">
        <v>3514</v>
      </c>
      <c r="D793" s="241" t="s">
        <v>4715</v>
      </c>
      <c r="E793" s="267" t="s">
        <v>4716</v>
      </c>
      <c r="F793" s="268" t="s">
        <v>732</v>
      </c>
      <c r="G793" s="269" t="s">
        <v>1014</v>
      </c>
      <c r="H793" s="245" t="s">
        <v>1850</v>
      </c>
      <c r="I793" s="246" t="s">
        <v>4717</v>
      </c>
      <c r="J793" s="270" t="s">
        <v>209</v>
      </c>
      <c r="K793" s="271">
        <v>37075</v>
      </c>
      <c r="L793" s="249" t="s">
        <v>179</v>
      </c>
      <c r="M793" s="272">
        <v>43741</v>
      </c>
      <c r="N793" s="272"/>
      <c r="O793" s="240" t="s">
        <v>3965</v>
      </c>
      <c r="P793" s="238" t="s">
        <v>3754</v>
      </c>
      <c r="Q793" s="238" t="s">
        <v>249</v>
      </c>
      <c r="R793" s="240" t="s">
        <v>182</v>
      </c>
      <c r="S793" s="240" t="s">
        <v>310</v>
      </c>
      <c r="T793" s="251"/>
      <c r="U793" s="273"/>
      <c r="V793" s="274" t="s">
        <v>184</v>
      </c>
      <c r="W793" s="274" t="s">
        <v>184</v>
      </c>
      <c r="X793" s="275">
        <v>9</v>
      </c>
      <c r="Y793" s="267" t="s">
        <v>4718</v>
      </c>
      <c r="Z793" s="277" t="s">
        <v>186</v>
      </c>
      <c r="AA793" s="277"/>
      <c r="AB793" s="274"/>
      <c r="AC793" s="296"/>
      <c r="AD793" s="287"/>
      <c r="AE793" s="287"/>
      <c r="AF793" s="288"/>
      <c r="AG793" s="286"/>
      <c r="AH793" s="276"/>
      <c r="AI793" s="276"/>
      <c r="AJ793" s="274" t="s">
        <v>190</v>
      </c>
      <c r="AK793" s="274" t="s">
        <v>190</v>
      </c>
      <c r="AL793" s="274" t="s">
        <v>190</v>
      </c>
      <c r="AM793" s="289" t="s">
        <v>3967</v>
      </c>
      <c r="AN793" s="22">
        <v>182</v>
      </c>
      <c r="AO793" s="22">
        <v>0</v>
      </c>
      <c r="AP793" s="22">
        <v>0</v>
      </c>
      <c r="AQ793" s="22">
        <v>0</v>
      </c>
      <c r="AR793" s="22">
        <v>0</v>
      </c>
      <c r="AS793" s="22">
        <v>7</v>
      </c>
      <c r="AT793" s="22">
        <v>10</v>
      </c>
      <c r="AU793" s="316">
        <f t="shared" si="133"/>
        <v>199</v>
      </c>
      <c r="AV793" s="22">
        <v>190</v>
      </c>
      <c r="AW793" s="22">
        <v>0</v>
      </c>
      <c r="AX793" s="22">
        <v>0</v>
      </c>
      <c r="AY793" s="22">
        <v>0</v>
      </c>
      <c r="AZ793" s="22">
        <v>0</v>
      </c>
      <c r="BA793" s="22">
        <v>7</v>
      </c>
      <c r="BB793" s="22">
        <v>10</v>
      </c>
      <c r="BC793" s="316">
        <f t="shared" si="134"/>
        <v>207</v>
      </c>
      <c r="BD793" s="58">
        <f t="shared" si="135"/>
        <v>8</v>
      </c>
      <c r="BE793" s="58">
        <f t="shared" si="136"/>
        <v>0</v>
      </c>
      <c r="BF793" s="58">
        <f t="shared" si="137"/>
        <v>0</v>
      </c>
      <c r="BG793" s="58">
        <f t="shared" si="138"/>
        <v>0</v>
      </c>
      <c r="BH793" s="58">
        <f t="shared" si="139"/>
        <v>0</v>
      </c>
      <c r="BI793" s="58">
        <f t="shared" si="140"/>
        <v>0</v>
      </c>
      <c r="BJ793" s="58">
        <f t="shared" si="141"/>
        <v>0</v>
      </c>
      <c r="BK793" s="58">
        <f t="shared" si="142"/>
        <v>8</v>
      </c>
    </row>
    <row r="794" spans="1:63" ht="27" customHeight="1">
      <c r="A794" s="238">
        <f t="shared" si="143"/>
        <v>792</v>
      </c>
      <c r="B794" s="239"/>
      <c r="C794" s="266">
        <v>3586</v>
      </c>
      <c r="D794" s="284">
        <v>0</v>
      </c>
      <c r="E794" s="267" t="s">
        <v>4719</v>
      </c>
      <c r="F794" s="268" t="s">
        <v>2037</v>
      </c>
      <c r="G794" s="269" t="s">
        <v>4720</v>
      </c>
      <c r="H794" s="245" t="s">
        <v>2039</v>
      </c>
      <c r="I794" s="246" t="s">
        <v>4721</v>
      </c>
      <c r="J794" s="270" t="s">
        <v>209</v>
      </c>
      <c r="K794" s="271">
        <v>36605</v>
      </c>
      <c r="L794" s="249" t="s">
        <v>179</v>
      </c>
      <c r="M794" s="272">
        <v>43746</v>
      </c>
      <c r="N794" s="272"/>
      <c r="O794" s="240" t="s">
        <v>4201</v>
      </c>
      <c r="P794" s="238" t="s">
        <v>3634</v>
      </c>
      <c r="Q794" s="238" t="s">
        <v>249</v>
      </c>
      <c r="R794" s="240" t="s">
        <v>3960</v>
      </c>
      <c r="S794" s="240" t="s">
        <v>228</v>
      </c>
      <c r="T794" s="251" t="s">
        <v>4153</v>
      </c>
      <c r="U794" s="273">
        <v>43789</v>
      </c>
      <c r="V794" s="274" t="s">
        <v>184</v>
      </c>
      <c r="W794" s="274" t="s">
        <v>184</v>
      </c>
      <c r="X794" s="275">
        <v>7</v>
      </c>
      <c r="Y794" s="267" t="s">
        <v>4722</v>
      </c>
      <c r="Z794" s="277"/>
      <c r="AA794" s="277"/>
      <c r="AB794" s="274"/>
      <c r="AC794" s="296"/>
      <c r="AD794" s="287"/>
      <c r="AE794" s="287"/>
      <c r="AF794" s="288"/>
      <c r="AG794" s="286"/>
      <c r="AH794" s="276"/>
      <c r="AI794" s="276"/>
      <c r="AJ794" s="274" t="s">
        <v>190</v>
      </c>
      <c r="AK794" s="274" t="s">
        <v>190</v>
      </c>
      <c r="AL794" s="274" t="s">
        <v>190</v>
      </c>
      <c r="AM794" s="289" t="s">
        <v>3967</v>
      </c>
      <c r="AN794" s="22">
        <v>182</v>
      </c>
      <c r="AO794" s="22">
        <v>0</v>
      </c>
      <c r="AP794" s="22">
        <v>0</v>
      </c>
      <c r="AQ794" s="22">
        <v>0</v>
      </c>
      <c r="AR794" s="22">
        <v>0</v>
      </c>
      <c r="AS794" s="22">
        <v>7</v>
      </c>
      <c r="AT794" s="22">
        <v>10</v>
      </c>
      <c r="AU794" s="316">
        <f t="shared" si="133"/>
        <v>199</v>
      </c>
      <c r="AV794" s="22">
        <v>190</v>
      </c>
      <c r="AW794" s="22">
        <v>0</v>
      </c>
      <c r="AX794" s="22">
        <v>0</v>
      </c>
      <c r="AY794" s="22">
        <v>0</v>
      </c>
      <c r="AZ794" s="22">
        <v>0</v>
      </c>
      <c r="BA794" s="22">
        <v>7</v>
      </c>
      <c r="BB794" s="22">
        <v>10</v>
      </c>
      <c r="BC794" s="316">
        <f t="shared" si="134"/>
        <v>207</v>
      </c>
      <c r="BD794" s="58">
        <f t="shared" si="135"/>
        <v>8</v>
      </c>
      <c r="BE794" s="58">
        <f t="shared" si="136"/>
        <v>0</v>
      </c>
      <c r="BF794" s="58">
        <f t="shared" si="137"/>
        <v>0</v>
      </c>
      <c r="BG794" s="58">
        <f t="shared" si="138"/>
        <v>0</v>
      </c>
      <c r="BH794" s="58">
        <f t="shared" si="139"/>
        <v>0</v>
      </c>
      <c r="BI794" s="58">
        <f t="shared" si="140"/>
        <v>0</v>
      </c>
      <c r="BJ794" s="58">
        <f t="shared" si="141"/>
        <v>0</v>
      </c>
      <c r="BK794" s="58">
        <f t="shared" si="142"/>
        <v>8</v>
      </c>
    </row>
    <row r="795" spans="1:63" ht="27" customHeight="1">
      <c r="A795" s="238">
        <f t="shared" si="143"/>
        <v>793</v>
      </c>
      <c r="B795" s="239"/>
      <c r="C795" s="266">
        <v>3592</v>
      </c>
      <c r="D795" s="241" t="s">
        <v>4723</v>
      </c>
      <c r="E795" s="267" t="s">
        <v>4724</v>
      </c>
      <c r="F795" s="268" t="s">
        <v>4725</v>
      </c>
      <c r="G795" s="269" t="s">
        <v>3117</v>
      </c>
      <c r="H795" s="245" t="s">
        <v>4726</v>
      </c>
      <c r="I795" s="246" t="s">
        <v>3982</v>
      </c>
      <c r="J795" s="270" t="s">
        <v>209</v>
      </c>
      <c r="K795" s="271">
        <v>36493</v>
      </c>
      <c r="L795" s="249" t="s">
        <v>179</v>
      </c>
      <c r="M795" s="272">
        <v>43749</v>
      </c>
      <c r="N795" s="272"/>
      <c r="O795" s="240"/>
      <c r="P795" s="238" t="s">
        <v>3950</v>
      </c>
      <c r="Q795" s="238" t="s">
        <v>249</v>
      </c>
      <c r="R795" s="240" t="s">
        <v>182</v>
      </c>
      <c r="S795" s="240" t="s">
        <v>4019</v>
      </c>
      <c r="T795" s="251"/>
      <c r="U795" s="273"/>
      <c r="V795" s="274" t="s">
        <v>184</v>
      </c>
      <c r="W795" s="274" t="s">
        <v>184</v>
      </c>
      <c r="X795" s="275">
        <v>5</v>
      </c>
      <c r="Y795" s="267"/>
      <c r="Z795" s="277"/>
      <c r="AA795" s="277" t="s">
        <v>186</v>
      </c>
      <c r="AB795" s="274"/>
      <c r="AC795" s="296"/>
      <c r="AD795" s="287"/>
      <c r="AE795" s="287"/>
      <c r="AF795" s="288"/>
      <c r="AG795" s="286"/>
      <c r="AH795" s="276"/>
      <c r="AI795" s="276"/>
      <c r="AJ795" s="274" t="s">
        <v>203</v>
      </c>
      <c r="AK795" s="274" t="s">
        <v>190</v>
      </c>
      <c r="AL795" s="274" t="s">
        <v>190</v>
      </c>
      <c r="AM795" s="260" t="s">
        <v>3859</v>
      </c>
      <c r="AN795" s="22">
        <v>182</v>
      </c>
      <c r="AO795" s="22">
        <v>0</v>
      </c>
      <c r="AP795" s="22">
        <v>20</v>
      </c>
      <c r="AQ795" s="22">
        <v>0</v>
      </c>
      <c r="AR795" s="22">
        <v>0</v>
      </c>
      <c r="AS795" s="22">
        <v>7</v>
      </c>
      <c r="AT795" s="22">
        <v>10</v>
      </c>
      <c r="AU795" s="316">
        <f t="shared" si="133"/>
        <v>219</v>
      </c>
      <c r="AV795" s="22">
        <v>190</v>
      </c>
      <c r="AW795" s="22">
        <v>0</v>
      </c>
      <c r="AX795" s="22">
        <v>20</v>
      </c>
      <c r="AY795" s="22">
        <v>0</v>
      </c>
      <c r="AZ795" s="22">
        <v>0</v>
      </c>
      <c r="BA795" s="22">
        <v>7</v>
      </c>
      <c r="BB795" s="22">
        <v>10</v>
      </c>
      <c r="BC795" s="316">
        <f t="shared" si="134"/>
        <v>227</v>
      </c>
      <c r="BD795" s="58">
        <f t="shared" si="135"/>
        <v>8</v>
      </c>
      <c r="BE795" s="58">
        <f t="shared" si="136"/>
        <v>0</v>
      </c>
      <c r="BF795" s="58">
        <f t="shared" si="137"/>
        <v>0</v>
      </c>
      <c r="BG795" s="58">
        <f t="shared" si="138"/>
        <v>0</v>
      </c>
      <c r="BH795" s="58">
        <f t="shared" si="139"/>
        <v>0</v>
      </c>
      <c r="BI795" s="58">
        <f t="shared" si="140"/>
        <v>0</v>
      </c>
      <c r="BJ795" s="58">
        <f t="shared" si="141"/>
        <v>0</v>
      </c>
      <c r="BK795" s="58">
        <f t="shared" si="142"/>
        <v>8</v>
      </c>
    </row>
    <row r="796" spans="1:63" ht="27" customHeight="1">
      <c r="A796" s="238">
        <f t="shared" si="143"/>
        <v>794</v>
      </c>
      <c r="B796" s="239"/>
      <c r="C796" s="266">
        <v>3558</v>
      </c>
      <c r="D796" s="241" t="s">
        <v>4727</v>
      </c>
      <c r="E796" s="267" t="s">
        <v>4728</v>
      </c>
      <c r="F796" s="268" t="s">
        <v>4729</v>
      </c>
      <c r="G796" s="269" t="s">
        <v>874</v>
      </c>
      <c r="H796" s="245" t="s">
        <v>4730</v>
      </c>
      <c r="I796" s="246" t="s">
        <v>4379</v>
      </c>
      <c r="J796" s="270" t="s">
        <v>209</v>
      </c>
      <c r="K796" s="271">
        <v>35112</v>
      </c>
      <c r="L796" s="249" t="s">
        <v>179</v>
      </c>
      <c r="M796" s="272">
        <v>43748</v>
      </c>
      <c r="N796" s="272"/>
      <c r="O796" s="240" t="s">
        <v>3978</v>
      </c>
      <c r="P796" s="238" t="s">
        <v>3785</v>
      </c>
      <c r="Q796" s="238" t="s">
        <v>249</v>
      </c>
      <c r="R796" s="240" t="s">
        <v>182</v>
      </c>
      <c r="S796" s="240" t="s">
        <v>211</v>
      </c>
      <c r="T796" s="251"/>
      <c r="U796" s="273"/>
      <c r="V796" s="274" t="s">
        <v>184</v>
      </c>
      <c r="W796" s="274" t="s">
        <v>184</v>
      </c>
      <c r="X796" s="275">
        <v>9</v>
      </c>
      <c r="Y796" s="267" t="s">
        <v>4731</v>
      </c>
      <c r="Z796" s="277" t="s">
        <v>186</v>
      </c>
      <c r="AA796" s="277"/>
      <c r="AB796" s="274"/>
      <c r="AC796" s="296"/>
      <c r="AD796" s="287"/>
      <c r="AE796" s="287"/>
      <c r="AF796" s="288"/>
      <c r="AG796" s="286"/>
      <c r="AH796" s="276"/>
      <c r="AI796" s="276"/>
      <c r="AJ796" s="274" t="s">
        <v>203</v>
      </c>
      <c r="AK796" s="274" t="s">
        <v>190</v>
      </c>
      <c r="AL796" s="274" t="s">
        <v>190</v>
      </c>
      <c r="AM796" s="260" t="s">
        <v>3859</v>
      </c>
      <c r="AN796" s="22">
        <v>182</v>
      </c>
      <c r="AO796" s="22">
        <v>0</v>
      </c>
      <c r="AP796" s="22">
        <v>20</v>
      </c>
      <c r="AQ796" s="22">
        <v>0</v>
      </c>
      <c r="AR796" s="22">
        <v>0</v>
      </c>
      <c r="AS796" s="22">
        <v>7</v>
      </c>
      <c r="AT796" s="22">
        <v>10</v>
      </c>
      <c r="AU796" s="316">
        <f t="shared" si="133"/>
        <v>219</v>
      </c>
      <c r="AV796" s="22">
        <v>190</v>
      </c>
      <c r="AW796" s="22">
        <v>0</v>
      </c>
      <c r="AX796" s="22">
        <v>20</v>
      </c>
      <c r="AY796" s="22">
        <v>0</v>
      </c>
      <c r="AZ796" s="22">
        <v>0</v>
      </c>
      <c r="BA796" s="22">
        <v>7</v>
      </c>
      <c r="BB796" s="22">
        <v>10</v>
      </c>
      <c r="BC796" s="316">
        <f t="shared" si="134"/>
        <v>227</v>
      </c>
      <c r="BD796" s="58">
        <f t="shared" si="135"/>
        <v>8</v>
      </c>
      <c r="BE796" s="58">
        <f t="shared" si="136"/>
        <v>0</v>
      </c>
      <c r="BF796" s="58">
        <f t="shared" si="137"/>
        <v>0</v>
      </c>
      <c r="BG796" s="58">
        <f t="shared" si="138"/>
        <v>0</v>
      </c>
      <c r="BH796" s="58">
        <f t="shared" si="139"/>
        <v>0</v>
      </c>
      <c r="BI796" s="58">
        <f t="shared" si="140"/>
        <v>0</v>
      </c>
      <c r="BJ796" s="58">
        <f t="shared" si="141"/>
        <v>0</v>
      </c>
      <c r="BK796" s="58">
        <f t="shared" si="142"/>
        <v>8</v>
      </c>
    </row>
    <row r="797" spans="1:63" ht="27" customHeight="1">
      <c r="A797" s="238">
        <f t="shared" si="143"/>
        <v>795</v>
      </c>
      <c r="B797" s="239"/>
      <c r="C797" s="266">
        <v>3154</v>
      </c>
      <c r="D797" s="280" t="s">
        <v>4732</v>
      </c>
      <c r="E797" s="267" t="s">
        <v>4733</v>
      </c>
      <c r="F797" s="268" t="s">
        <v>557</v>
      </c>
      <c r="G797" s="269" t="s">
        <v>4734</v>
      </c>
      <c r="H797" s="245" t="s">
        <v>559</v>
      </c>
      <c r="I797" s="246" t="s">
        <v>4735</v>
      </c>
      <c r="J797" s="270" t="s">
        <v>209</v>
      </c>
      <c r="K797" s="271">
        <v>34523</v>
      </c>
      <c r="L797" s="249" t="s">
        <v>179</v>
      </c>
      <c r="M797" s="272">
        <v>43740</v>
      </c>
      <c r="N797" s="272"/>
      <c r="O797" s="240" t="s">
        <v>4090</v>
      </c>
      <c r="P797" s="238" t="s">
        <v>3775</v>
      </c>
      <c r="Q797" s="238" t="s">
        <v>249</v>
      </c>
      <c r="R797" s="240" t="s">
        <v>182</v>
      </c>
      <c r="S797" s="240" t="s">
        <v>211</v>
      </c>
      <c r="T797" s="251"/>
      <c r="U797" s="273"/>
      <c r="V797" s="274" t="s">
        <v>184</v>
      </c>
      <c r="W797" s="274" t="s">
        <v>184</v>
      </c>
      <c r="X797" s="275">
        <v>5</v>
      </c>
      <c r="Y797" s="267" t="s">
        <v>4736</v>
      </c>
      <c r="Z797" s="277" t="s">
        <v>186</v>
      </c>
      <c r="AA797" s="277"/>
      <c r="AB797" s="274"/>
      <c r="AC797" s="296"/>
      <c r="AD797" s="287"/>
      <c r="AE797" s="287"/>
      <c r="AF797" s="288"/>
      <c r="AG797" s="286"/>
      <c r="AH797" s="276"/>
      <c r="AI797" s="276"/>
      <c r="AJ797" s="274" t="s">
        <v>203</v>
      </c>
      <c r="AK797" s="274" t="s">
        <v>190</v>
      </c>
      <c r="AL797" s="274" t="s">
        <v>190</v>
      </c>
      <c r="AM797" s="260" t="s">
        <v>3859</v>
      </c>
      <c r="AN797" s="22">
        <v>182</v>
      </c>
      <c r="AO797" s="22">
        <v>0</v>
      </c>
      <c r="AP797" s="22">
        <v>0</v>
      </c>
      <c r="AQ797" s="22">
        <v>0</v>
      </c>
      <c r="AR797" s="22">
        <v>0</v>
      </c>
      <c r="AS797" s="22">
        <v>7</v>
      </c>
      <c r="AT797" s="22">
        <v>10</v>
      </c>
      <c r="AU797" s="316">
        <f t="shared" si="133"/>
        <v>199</v>
      </c>
      <c r="AV797" s="22">
        <v>190</v>
      </c>
      <c r="AW797" s="22">
        <v>0</v>
      </c>
      <c r="AX797" s="22">
        <v>0</v>
      </c>
      <c r="AY797" s="22">
        <v>0</v>
      </c>
      <c r="AZ797" s="22">
        <v>0</v>
      </c>
      <c r="BA797" s="22">
        <v>7</v>
      </c>
      <c r="BB797" s="22">
        <v>10</v>
      </c>
      <c r="BC797" s="316">
        <f t="shared" si="134"/>
        <v>207</v>
      </c>
      <c r="BD797" s="58">
        <f t="shared" si="135"/>
        <v>8</v>
      </c>
      <c r="BE797" s="58">
        <f t="shared" si="136"/>
        <v>0</v>
      </c>
      <c r="BF797" s="58">
        <f t="shared" si="137"/>
        <v>0</v>
      </c>
      <c r="BG797" s="58">
        <f t="shared" si="138"/>
        <v>0</v>
      </c>
      <c r="BH797" s="58">
        <f t="shared" si="139"/>
        <v>0</v>
      </c>
      <c r="BI797" s="58">
        <f t="shared" si="140"/>
        <v>0</v>
      </c>
      <c r="BJ797" s="58">
        <f t="shared" si="141"/>
        <v>0</v>
      </c>
      <c r="BK797" s="58">
        <f t="shared" si="142"/>
        <v>8</v>
      </c>
    </row>
    <row r="798" spans="1:63" ht="27" customHeight="1">
      <c r="A798" s="238">
        <f t="shared" si="143"/>
        <v>796</v>
      </c>
      <c r="B798" s="239"/>
      <c r="C798" s="266">
        <v>3500</v>
      </c>
      <c r="D798" s="284">
        <v>0</v>
      </c>
      <c r="E798" s="267" t="s">
        <v>296</v>
      </c>
      <c r="F798" s="268" t="s">
        <v>436</v>
      </c>
      <c r="G798" s="269" t="s">
        <v>4737</v>
      </c>
      <c r="H798" s="245">
        <v>0</v>
      </c>
      <c r="I798" s="246">
        <v>0</v>
      </c>
      <c r="J798" s="270" t="s">
        <v>209</v>
      </c>
      <c r="K798" s="271">
        <v>36808</v>
      </c>
      <c r="L798" s="249" t="s">
        <v>179</v>
      </c>
      <c r="M798" s="272">
        <v>43747</v>
      </c>
      <c r="N798" s="272"/>
      <c r="O798" s="240" t="s">
        <v>4024</v>
      </c>
      <c r="P798" s="238" t="s">
        <v>3959</v>
      </c>
      <c r="Q798" s="238" t="s">
        <v>249</v>
      </c>
      <c r="R798" s="240" t="s">
        <v>182</v>
      </c>
      <c r="S798" s="240" t="s">
        <v>256</v>
      </c>
      <c r="T798" s="251"/>
      <c r="U798" s="273"/>
      <c r="V798" s="274" t="s">
        <v>184</v>
      </c>
      <c r="W798" s="274">
        <v>680</v>
      </c>
      <c r="X798" s="275"/>
      <c r="Y798" s="267" t="s">
        <v>4176</v>
      </c>
      <c r="Z798" s="277"/>
      <c r="AA798" s="277"/>
      <c r="AB798" s="274"/>
      <c r="AC798" s="296"/>
      <c r="AD798" s="287"/>
      <c r="AE798" s="287"/>
      <c r="AF798" s="288"/>
      <c r="AG798" s="286"/>
      <c r="AH798" s="276"/>
      <c r="AI798" s="276"/>
      <c r="AJ798" s="274" t="s">
        <v>190</v>
      </c>
      <c r="AK798" s="274" t="s">
        <v>190</v>
      </c>
      <c r="AL798" s="274" t="s">
        <v>190</v>
      </c>
      <c r="AM798" s="260" t="s">
        <v>3916</v>
      </c>
      <c r="AN798" s="22">
        <v>182</v>
      </c>
      <c r="AO798" s="22">
        <v>0</v>
      </c>
      <c r="AP798" s="22">
        <v>20</v>
      </c>
      <c r="AQ798" s="22">
        <v>0</v>
      </c>
      <c r="AR798" s="22">
        <v>0</v>
      </c>
      <c r="AS798" s="22">
        <v>7</v>
      </c>
      <c r="AT798" s="22">
        <v>10</v>
      </c>
      <c r="AU798" s="316">
        <f t="shared" si="133"/>
        <v>219</v>
      </c>
      <c r="AV798" s="22">
        <v>190</v>
      </c>
      <c r="AW798" s="22">
        <v>0</v>
      </c>
      <c r="AX798" s="22">
        <v>20</v>
      </c>
      <c r="AY798" s="22">
        <v>0</v>
      </c>
      <c r="AZ798" s="22">
        <v>0</v>
      </c>
      <c r="BA798" s="22">
        <v>7</v>
      </c>
      <c r="BB798" s="22">
        <v>10</v>
      </c>
      <c r="BC798" s="316">
        <f t="shared" si="134"/>
        <v>227</v>
      </c>
      <c r="BD798" s="58">
        <f t="shared" si="135"/>
        <v>8</v>
      </c>
      <c r="BE798" s="58">
        <f t="shared" si="136"/>
        <v>0</v>
      </c>
      <c r="BF798" s="58">
        <f t="shared" si="137"/>
        <v>0</v>
      </c>
      <c r="BG798" s="58">
        <f t="shared" si="138"/>
        <v>0</v>
      </c>
      <c r="BH798" s="58">
        <f t="shared" si="139"/>
        <v>0</v>
      </c>
      <c r="BI798" s="58">
        <f t="shared" si="140"/>
        <v>0</v>
      </c>
      <c r="BJ798" s="58">
        <f t="shared" si="141"/>
        <v>0</v>
      </c>
      <c r="BK798" s="58">
        <f t="shared" si="142"/>
        <v>8</v>
      </c>
    </row>
    <row r="799" spans="1:63" ht="27" customHeight="1">
      <c r="A799" s="238">
        <f t="shared" si="143"/>
        <v>797</v>
      </c>
      <c r="B799" s="239"/>
      <c r="C799" s="266">
        <v>3181</v>
      </c>
      <c r="D799" s="241" t="s">
        <v>4738</v>
      </c>
      <c r="E799" s="267" t="s">
        <v>4739</v>
      </c>
      <c r="F799" s="268" t="s">
        <v>4740</v>
      </c>
      <c r="G799" s="269" t="s">
        <v>1390</v>
      </c>
      <c r="H799" s="245" t="s">
        <v>1007</v>
      </c>
      <c r="I799" s="246" t="s">
        <v>1392</v>
      </c>
      <c r="J799" s="270" t="s">
        <v>209</v>
      </c>
      <c r="K799" s="271">
        <v>35523</v>
      </c>
      <c r="L799" s="249" t="s">
        <v>179</v>
      </c>
      <c r="M799" s="272">
        <v>43740</v>
      </c>
      <c r="N799" s="272"/>
      <c r="O799" s="240"/>
      <c r="P799" s="238" t="s">
        <v>3775</v>
      </c>
      <c r="Q799" s="238" t="s">
        <v>249</v>
      </c>
      <c r="R799" s="240" t="s">
        <v>182</v>
      </c>
      <c r="S799" s="240" t="s">
        <v>256</v>
      </c>
      <c r="T799" s="251"/>
      <c r="U799" s="273"/>
      <c r="V799" s="274" t="s">
        <v>184</v>
      </c>
      <c r="W799" s="274" t="s">
        <v>184</v>
      </c>
      <c r="X799" s="275">
        <v>5</v>
      </c>
      <c r="Y799" s="267" t="s">
        <v>4225</v>
      </c>
      <c r="Z799" s="277" t="s">
        <v>186</v>
      </c>
      <c r="AA799" s="277"/>
      <c r="AB799" s="274"/>
      <c r="AC799" s="296"/>
      <c r="AD799" s="287"/>
      <c r="AE799" s="287"/>
      <c r="AF799" s="288"/>
      <c r="AG799" s="286"/>
      <c r="AH799" s="276"/>
      <c r="AI799" s="276"/>
      <c r="AJ799" s="274" t="s">
        <v>190</v>
      </c>
      <c r="AK799" s="274" t="s">
        <v>190</v>
      </c>
      <c r="AL799" s="274" t="s">
        <v>190</v>
      </c>
      <c r="AM799" s="289" t="s">
        <v>3967</v>
      </c>
      <c r="AN799" s="22">
        <v>182</v>
      </c>
      <c r="AO799" s="22">
        <v>0</v>
      </c>
      <c r="AP799" s="22">
        <v>20</v>
      </c>
      <c r="AQ799" s="22">
        <v>0</v>
      </c>
      <c r="AR799" s="22">
        <v>0</v>
      </c>
      <c r="AS799" s="22">
        <v>7</v>
      </c>
      <c r="AT799" s="22">
        <v>10</v>
      </c>
      <c r="AU799" s="316">
        <f t="shared" si="133"/>
        <v>219</v>
      </c>
      <c r="AV799" s="22">
        <v>190</v>
      </c>
      <c r="AW799" s="22">
        <v>0</v>
      </c>
      <c r="AX799" s="22">
        <v>20</v>
      </c>
      <c r="AY799" s="22">
        <v>0</v>
      </c>
      <c r="AZ799" s="22">
        <v>0</v>
      </c>
      <c r="BA799" s="22">
        <v>7</v>
      </c>
      <c r="BB799" s="22">
        <v>10</v>
      </c>
      <c r="BC799" s="316">
        <f t="shared" si="134"/>
        <v>227</v>
      </c>
      <c r="BD799" s="58">
        <f t="shared" si="135"/>
        <v>8</v>
      </c>
      <c r="BE799" s="58">
        <f t="shared" si="136"/>
        <v>0</v>
      </c>
      <c r="BF799" s="58">
        <f t="shared" si="137"/>
        <v>0</v>
      </c>
      <c r="BG799" s="58">
        <f t="shared" si="138"/>
        <v>0</v>
      </c>
      <c r="BH799" s="58">
        <f t="shared" si="139"/>
        <v>0</v>
      </c>
      <c r="BI799" s="58">
        <f t="shared" si="140"/>
        <v>0</v>
      </c>
      <c r="BJ799" s="58">
        <f t="shared" si="141"/>
        <v>0</v>
      </c>
      <c r="BK799" s="58">
        <f t="shared" si="142"/>
        <v>8</v>
      </c>
    </row>
    <row r="800" spans="1:63" ht="27" customHeight="1">
      <c r="A800" s="238">
        <f t="shared" si="143"/>
        <v>798</v>
      </c>
      <c r="B800" s="239"/>
      <c r="C800" s="266">
        <v>3270</v>
      </c>
      <c r="D800" s="241" t="s">
        <v>4741</v>
      </c>
      <c r="E800" s="267" t="s">
        <v>4742</v>
      </c>
      <c r="F800" s="268" t="s">
        <v>443</v>
      </c>
      <c r="G800" s="269" t="s">
        <v>4743</v>
      </c>
      <c r="H800" s="245" t="s">
        <v>964</v>
      </c>
      <c r="I800" s="246" t="s">
        <v>4744</v>
      </c>
      <c r="J800" s="270" t="s">
        <v>209</v>
      </c>
      <c r="K800" s="271">
        <v>32404</v>
      </c>
      <c r="L800" s="249" t="s">
        <v>179</v>
      </c>
      <c r="M800" s="272">
        <v>43746</v>
      </c>
      <c r="N800" s="272"/>
      <c r="O800" s="240" t="s">
        <v>4004</v>
      </c>
      <c r="P800" s="238" t="s">
        <v>3833</v>
      </c>
      <c r="Q800" s="238" t="s">
        <v>249</v>
      </c>
      <c r="R800" s="240" t="s">
        <v>182</v>
      </c>
      <c r="S800" s="240" t="s">
        <v>4019</v>
      </c>
      <c r="T800" s="251"/>
      <c r="U800" s="273"/>
      <c r="V800" s="274" t="s">
        <v>184</v>
      </c>
      <c r="W800" s="274" t="s">
        <v>184</v>
      </c>
      <c r="X800" s="275">
        <v>8</v>
      </c>
      <c r="Y800" s="267" t="s">
        <v>4745</v>
      </c>
      <c r="Z800" s="277" t="s">
        <v>186</v>
      </c>
      <c r="AA800" s="277"/>
      <c r="AB800" s="274"/>
      <c r="AC800" s="296"/>
      <c r="AD800" s="287"/>
      <c r="AE800" s="287"/>
      <c r="AF800" s="288"/>
      <c r="AG800" s="286"/>
      <c r="AH800" s="276"/>
      <c r="AI800" s="276"/>
      <c r="AJ800" s="274" t="s">
        <v>190</v>
      </c>
      <c r="AK800" s="274" t="s">
        <v>190</v>
      </c>
      <c r="AL800" s="274" t="s">
        <v>190</v>
      </c>
      <c r="AM800" s="289" t="s">
        <v>3967</v>
      </c>
      <c r="AN800" s="22">
        <v>182</v>
      </c>
      <c r="AO800" s="22">
        <v>0</v>
      </c>
      <c r="AP800" s="22">
        <v>20</v>
      </c>
      <c r="AQ800" s="22">
        <v>0</v>
      </c>
      <c r="AR800" s="22">
        <v>0</v>
      </c>
      <c r="AS800" s="22">
        <v>7</v>
      </c>
      <c r="AT800" s="22">
        <v>10</v>
      </c>
      <c r="AU800" s="316">
        <f t="shared" si="133"/>
        <v>219</v>
      </c>
      <c r="AV800" s="22">
        <v>190</v>
      </c>
      <c r="AW800" s="22">
        <v>0</v>
      </c>
      <c r="AX800" s="22">
        <v>20</v>
      </c>
      <c r="AY800" s="22">
        <v>0</v>
      </c>
      <c r="AZ800" s="22">
        <v>0</v>
      </c>
      <c r="BA800" s="22">
        <v>7</v>
      </c>
      <c r="BB800" s="22">
        <v>10</v>
      </c>
      <c r="BC800" s="316">
        <f t="shared" si="134"/>
        <v>227</v>
      </c>
      <c r="BD800" s="58">
        <f t="shared" si="135"/>
        <v>8</v>
      </c>
      <c r="BE800" s="58">
        <f t="shared" si="136"/>
        <v>0</v>
      </c>
      <c r="BF800" s="58">
        <f t="shared" si="137"/>
        <v>0</v>
      </c>
      <c r="BG800" s="58">
        <f t="shared" si="138"/>
        <v>0</v>
      </c>
      <c r="BH800" s="58">
        <f t="shared" si="139"/>
        <v>0</v>
      </c>
      <c r="BI800" s="58">
        <f t="shared" si="140"/>
        <v>0</v>
      </c>
      <c r="BJ800" s="58">
        <f t="shared" si="141"/>
        <v>0</v>
      </c>
      <c r="BK800" s="58">
        <f t="shared" si="142"/>
        <v>8</v>
      </c>
    </row>
    <row r="801" spans="1:63" ht="27" customHeight="1">
      <c r="A801" s="238">
        <f t="shared" si="143"/>
        <v>799</v>
      </c>
      <c r="B801" s="239"/>
      <c r="C801" s="266">
        <v>3151</v>
      </c>
      <c r="D801" s="241" t="s">
        <v>4746</v>
      </c>
      <c r="E801" s="267" t="s">
        <v>4747</v>
      </c>
      <c r="F801" s="268" t="s">
        <v>278</v>
      </c>
      <c r="G801" s="269" t="s">
        <v>1340</v>
      </c>
      <c r="H801" s="245" t="s">
        <v>824</v>
      </c>
      <c r="I801" s="246" t="s">
        <v>1342</v>
      </c>
      <c r="J801" s="270" t="s">
        <v>209</v>
      </c>
      <c r="K801" s="271">
        <v>31870</v>
      </c>
      <c r="L801" s="249" t="s">
        <v>179</v>
      </c>
      <c r="M801" s="272">
        <v>43740</v>
      </c>
      <c r="N801" s="272"/>
      <c r="O801" s="240" t="s">
        <v>4090</v>
      </c>
      <c r="P801" s="238" t="s">
        <v>3775</v>
      </c>
      <c r="Q801" s="238" t="s">
        <v>249</v>
      </c>
      <c r="R801" s="240" t="s">
        <v>182</v>
      </c>
      <c r="S801" s="240" t="s">
        <v>211</v>
      </c>
      <c r="T801" s="251"/>
      <c r="U801" s="273"/>
      <c r="V801" s="274" t="s">
        <v>184</v>
      </c>
      <c r="W801" s="274" t="s">
        <v>184</v>
      </c>
      <c r="X801" s="275">
        <v>2</v>
      </c>
      <c r="Y801" s="267" t="s">
        <v>4736</v>
      </c>
      <c r="Z801" s="277"/>
      <c r="AA801" s="277" t="s">
        <v>186</v>
      </c>
      <c r="AB801" s="274"/>
      <c r="AC801" s="296"/>
      <c r="AD801" s="287"/>
      <c r="AE801" s="287"/>
      <c r="AF801" s="288"/>
      <c r="AG801" s="286"/>
      <c r="AH801" s="276"/>
      <c r="AI801" s="276"/>
      <c r="AJ801" s="274" t="s">
        <v>203</v>
      </c>
      <c r="AK801" s="274" t="s">
        <v>190</v>
      </c>
      <c r="AL801" s="274" t="s">
        <v>190</v>
      </c>
      <c r="AM801" s="260" t="s">
        <v>3859</v>
      </c>
      <c r="AN801" s="22">
        <v>182</v>
      </c>
      <c r="AO801" s="22">
        <v>0</v>
      </c>
      <c r="AP801" s="22">
        <v>20</v>
      </c>
      <c r="AQ801" s="22">
        <v>0</v>
      </c>
      <c r="AR801" s="22">
        <v>0</v>
      </c>
      <c r="AS801" s="22">
        <v>7</v>
      </c>
      <c r="AT801" s="22">
        <v>10</v>
      </c>
      <c r="AU801" s="316">
        <f t="shared" si="133"/>
        <v>219</v>
      </c>
      <c r="AV801" s="22">
        <v>190</v>
      </c>
      <c r="AW801" s="22">
        <v>0</v>
      </c>
      <c r="AX801" s="22">
        <v>20</v>
      </c>
      <c r="AY801" s="22">
        <v>0</v>
      </c>
      <c r="AZ801" s="22">
        <v>0</v>
      </c>
      <c r="BA801" s="22">
        <v>7</v>
      </c>
      <c r="BB801" s="22">
        <v>10</v>
      </c>
      <c r="BC801" s="316">
        <f t="shared" si="134"/>
        <v>227</v>
      </c>
      <c r="BD801" s="58">
        <f t="shared" si="135"/>
        <v>8</v>
      </c>
      <c r="BE801" s="58">
        <f t="shared" si="136"/>
        <v>0</v>
      </c>
      <c r="BF801" s="58">
        <f t="shared" si="137"/>
        <v>0</v>
      </c>
      <c r="BG801" s="58">
        <f t="shared" si="138"/>
        <v>0</v>
      </c>
      <c r="BH801" s="58">
        <f t="shared" si="139"/>
        <v>0</v>
      </c>
      <c r="BI801" s="58">
        <f t="shared" si="140"/>
        <v>0</v>
      </c>
      <c r="BJ801" s="58">
        <f t="shared" si="141"/>
        <v>0</v>
      </c>
      <c r="BK801" s="58">
        <f t="shared" si="142"/>
        <v>8</v>
      </c>
    </row>
    <row r="802" spans="1:63" ht="27" customHeight="1">
      <c r="A802" s="238">
        <f t="shared" si="143"/>
        <v>800</v>
      </c>
      <c r="B802" s="239"/>
      <c r="C802" s="266">
        <v>3206</v>
      </c>
      <c r="D802" s="241" t="s">
        <v>4748</v>
      </c>
      <c r="E802" s="267" t="s">
        <v>4749</v>
      </c>
      <c r="F802" s="268" t="s">
        <v>4750</v>
      </c>
      <c r="G802" s="269" t="s">
        <v>4751</v>
      </c>
      <c r="H802" s="245" t="s">
        <v>3987</v>
      </c>
      <c r="I802" s="246" t="s">
        <v>4752</v>
      </c>
      <c r="J802" s="270" t="s">
        <v>209</v>
      </c>
      <c r="K802" s="271">
        <v>35339</v>
      </c>
      <c r="L802" s="301" t="s">
        <v>179</v>
      </c>
      <c r="M802" s="272">
        <v>43741</v>
      </c>
      <c r="N802" s="272"/>
      <c r="O802" s="240" t="s">
        <v>3965</v>
      </c>
      <c r="P802" s="238" t="s">
        <v>3785</v>
      </c>
      <c r="Q802" s="238" t="s">
        <v>249</v>
      </c>
      <c r="R802" s="240" t="s">
        <v>182</v>
      </c>
      <c r="S802" s="240" t="s">
        <v>228</v>
      </c>
      <c r="T802" s="251"/>
      <c r="U802" s="273"/>
      <c r="V802" s="274" t="s">
        <v>184</v>
      </c>
      <c r="W802" s="274" t="s">
        <v>184</v>
      </c>
      <c r="X802" s="275">
        <v>5</v>
      </c>
      <c r="Y802" s="267" t="s">
        <v>4096</v>
      </c>
      <c r="Z802" s="277" t="s">
        <v>186</v>
      </c>
      <c r="AA802" s="277"/>
      <c r="AB802" s="274"/>
      <c r="AC802" s="296"/>
      <c r="AD802" s="287"/>
      <c r="AE802" s="287"/>
      <c r="AF802" s="288"/>
      <c r="AG802" s="286"/>
      <c r="AH802" s="276"/>
      <c r="AI802" s="276"/>
      <c r="AJ802" s="274" t="s">
        <v>203</v>
      </c>
      <c r="AK802" s="274" t="s">
        <v>190</v>
      </c>
      <c r="AL802" s="274" t="s">
        <v>190</v>
      </c>
      <c r="AM802" s="260" t="s">
        <v>3859</v>
      </c>
      <c r="AN802" s="22">
        <v>182</v>
      </c>
      <c r="AO802" s="22">
        <v>0</v>
      </c>
      <c r="AP802" s="22">
        <v>20</v>
      </c>
      <c r="AQ802" s="22">
        <v>0</v>
      </c>
      <c r="AR802" s="22">
        <v>0</v>
      </c>
      <c r="AS802" s="22">
        <v>7</v>
      </c>
      <c r="AT802" s="22">
        <v>10</v>
      </c>
      <c r="AU802" s="316">
        <f t="shared" si="133"/>
        <v>219</v>
      </c>
      <c r="AV802" s="22">
        <v>190</v>
      </c>
      <c r="AW802" s="22">
        <v>0</v>
      </c>
      <c r="AX802" s="22">
        <v>20</v>
      </c>
      <c r="AY802" s="22">
        <v>0</v>
      </c>
      <c r="AZ802" s="22">
        <v>0</v>
      </c>
      <c r="BA802" s="22">
        <v>7</v>
      </c>
      <c r="BB802" s="22">
        <v>10</v>
      </c>
      <c r="BC802" s="316">
        <f t="shared" si="134"/>
        <v>227</v>
      </c>
      <c r="BD802" s="58">
        <f t="shared" si="135"/>
        <v>8</v>
      </c>
      <c r="BE802" s="58">
        <f t="shared" si="136"/>
        <v>0</v>
      </c>
      <c r="BF802" s="58">
        <f t="shared" si="137"/>
        <v>0</v>
      </c>
      <c r="BG802" s="58">
        <f t="shared" si="138"/>
        <v>0</v>
      </c>
      <c r="BH802" s="58">
        <f t="shared" si="139"/>
        <v>0</v>
      </c>
      <c r="BI802" s="58">
        <f t="shared" si="140"/>
        <v>0</v>
      </c>
      <c r="BJ802" s="58">
        <f t="shared" si="141"/>
        <v>0</v>
      </c>
      <c r="BK802" s="58">
        <f t="shared" si="142"/>
        <v>8</v>
      </c>
    </row>
    <row r="803" spans="1:63" ht="27" customHeight="1">
      <c r="A803" s="238">
        <f t="shared" si="143"/>
        <v>801</v>
      </c>
      <c r="B803" s="239"/>
      <c r="C803" s="266">
        <v>3562</v>
      </c>
      <c r="D803" s="280" t="s">
        <v>4753</v>
      </c>
      <c r="E803" s="267" t="s">
        <v>4754</v>
      </c>
      <c r="F803" s="268" t="s">
        <v>4755</v>
      </c>
      <c r="G803" s="269" t="s">
        <v>2931</v>
      </c>
      <c r="H803" s="245" t="s">
        <v>4756</v>
      </c>
      <c r="I803" s="246" t="s">
        <v>3972</v>
      </c>
      <c r="J803" s="270" t="s">
        <v>209</v>
      </c>
      <c r="K803" s="271">
        <v>36530</v>
      </c>
      <c r="L803" s="249" t="s">
        <v>179</v>
      </c>
      <c r="M803" s="272">
        <v>43746</v>
      </c>
      <c r="N803" s="272"/>
      <c r="O803" s="240" t="s">
        <v>3978</v>
      </c>
      <c r="P803" s="238" t="s">
        <v>2821</v>
      </c>
      <c r="Q803" s="238" t="s">
        <v>249</v>
      </c>
      <c r="R803" s="240" t="s">
        <v>182</v>
      </c>
      <c r="S803" s="240" t="s">
        <v>256</v>
      </c>
      <c r="T803" s="251"/>
      <c r="U803" s="273"/>
      <c r="V803" s="274" t="s">
        <v>184</v>
      </c>
      <c r="W803" s="274" t="s">
        <v>184</v>
      </c>
      <c r="X803" s="275">
        <v>6</v>
      </c>
      <c r="Y803" s="267" t="s">
        <v>4208</v>
      </c>
      <c r="Z803" s="277" t="s">
        <v>186</v>
      </c>
      <c r="AA803" s="277"/>
      <c r="AB803" s="277"/>
      <c r="AC803" s="296"/>
      <c r="AD803" s="287"/>
      <c r="AE803" s="287"/>
      <c r="AF803" s="288"/>
      <c r="AG803" s="286"/>
      <c r="AH803" s="276"/>
      <c r="AI803" s="276"/>
      <c r="AJ803" s="274" t="s">
        <v>203</v>
      </c>
      <c r="AK803" s="274" t="s">
        <v>190</v>
      </c>
      <c r="AL803" s="274" t="s">
        <v>190</v>
      </c>
      <c r="AM803" s="260" t="s">
        <v>3859</v>
      </c>
      <c r="AN803" s="22">
        <v>182</v>
      </c>
      <c r="AO803" s="22">
        <v>0</v>
      </c>
      <c r="AP803" s="22">
        <v>20</v>
      </c>
      <c r="AQ803" s="22">
        <v>0</v>
      </c>
      <c r="AR803" s="22">
        <v>0</v>
      </c>
      <c r="AS803" s="22">
        <v>7</v>
      </c>
      <c r="AT803" s="22">
        <v>10</v>
      </c>
      <c r="AU803" s="316">
        <f t="shared" si="133"/>
        <v>219</v>
      </c>
      <c r="AV803" s="22">
        <v>190</v>
      </c>
      <c r="AW803" s="22">
        <v>0</v>
      </c>
      <c r="AX803" s="22">
        <v>20</v>
      </c>
      <c r="AY803" s="22">
        <v>0</v>
      </c>
      <c r="AZ803" s="22">
        <v>0</v>
      </c>
      <c r="BA803" s="22">
        <v>7</v>
      </c>
      <c r="BB803" s="22">
        <v>10</v>
      </c>
      <c r="BC803" s="316">
        <f t="shared" si="134"/>
        <v>227</v>
      </c>
      <c r="BD803" s="58">
        <f t="shared" si="135"/>
        <v>8</v>
      </c>
      <c r="BE803" s="58">
        <f t="shared" si="136"/>
        <v>0</v>
      </c>
      <c r="BF803" s="58">
        <f t="shared" si="137"/>
        <v>0</v>
      </c>
      <c r="BG803" s="58">
        <f t="shared" si="138"/>
        <v>0</v>
      </c>
      <c r="BH803" s="58">
        <f t="shared" si="139"/>
        <v>0</v>
      </c>
      <c r="BI803" s="58">
        <f t="shared" si="140"/>
        <v>0</v>
      </c>
      <c r="BJ803" s="58">
        <f t="shared" si="141"/>
        <v>0</v>
      </c>
      <c r="BK803" s="58">
        <f t="shared" si="142"/>
        <v>8</v>
      </c>
    </row>
    <row r="804" spans="1:63" ht="27" customHeight="1">
      <c r="A804" s="238">
        <f t="shared" si="143"/>
        <v>802</v>
      </c>
      <c r="B804" s="239"/>
      <c r="C804" s="266">
        <v>3274</v>
      </c>
      <c r="D804" s="241" t="s">
        <v>4757</v>
      </c>
      <c r="E804" s="267" t="s">
        <v>4758</v>
      </c>
      <c r="F804" s="268" t="s">
        <v>917</v>
      </c>
      <c r="G804" s="269" t="s">
        <v>237</v>
      </c>
      <c r="H804" s="245" t="s">
        <v>919</v>
      </c>
      <c r="I804" s="246" t="s">
        <v>3907</v>
      </c>
      <c r="J804" s="270" t="s">
        <v>178</v>
      </c>
      <c r="K804" s="271">
        <v>35462</v>
      </c>
      <c r="L804" s="249" t="s">
        <v>179</v>
      </c>
      <c r="M804" s="272">
        <v>43745</v>
      </c>
      <c r="N804" s="272"/>
      <c r="O804" s="240" t="s">
        <v>3965</v>
      </c>
      <c r="P804" s="238" t="s">
        <v>3785</v>
      </c>
      <c r="Q804" s="238" t="s">
        <v>249</v>
      </c>
      <c r="R804" s="240" t="s">
        <v>182</v>
      </c>
      <c r="S804" s="240" t="s">
        <v>183</v>
      </c>
      <c r="T804" s="251"/>
      <c r="U804" s="273"/>
      <c r="V804" s="274" t="s">
        <v>184</v>
      </c>
      <c r="W804" s="274" t="s">
        <v>184</v>
      </c>
      <c r="X804" s="275">
        <v>8</v>
      </c>
      <c r="Y804" s="267" t="s">
        <v>4759</v>
      </c>
      <c r="Z804" s="277"/>
      <c r="AA804" s="277" t="s">
        <v>186</v>
      </c>
      <c r="AB804" s="274"/>
      <c r="AC804" s="296"/>
      <c r="AD804" s="287"/>
      <c r="AE804" s="287"/>
      <c r="AF804" s="288"/>
      <c r="AG804" s="286"/>
      <c r="AH804" s="276"/>
      <c r="AI804" s="276"/>
      <c r="AJ804" s="274" t="s">
        <v>203</v>
      </c>
      <c r="AK804" s="274" t="s">
        <v>190</v>
      </c>
      <c r="AL804" s="274" t="s">
        <v>190</v>
      </c>
      <c r="AM804" s="260" t="s">
        <v>3859</v>
      </c>
      <c r="AN804" s="22">
        <v>182</v>
      </c>
      <c r="AO804" s="22">
        <v>0</v>
      </c>
      <c r="AP804" s="22">
        <v>0</v>
      </c>
      <c r="AQ804" s="22">
        <v>0</v>
      </c>
      <c r="AR804" s="22">
        <v>0</v>
      </c>
      <c r="AS804" s="22">
        <v>7</v>
      </c>
      <c r="AT804" s="22">
        <v>10</v>
      </c>
      <c r="AU804" s="316">
        <f t="shared" si="133"/>
        <v>199</v>
      </c>
      <c r="AV804" s="22">
        <v>190</v>
      </c>
      <c r="AW804" s="22">
        <v>0</v>
      </c>
      <c r="AX804" s="22">
        <v>0</v>
      </c>
      <c r="AY804" s="22">
        <v>0</v>
      </c>
      <c r="AZ804" s="22">
        <v>0</v>
      </c>
      <c r="BA804" s="22">
        <v>7</v>
      </c>
      <c r="BB804" s="22">
        <v>10</v>
      </c>
      <c r="BC804" s="316">
        <f t="shared" si="134"/>
        <v>207</v>
      </c>
      <c r="BD804" s="58">
        <f t="shared" si="135"/>
        <v>8</v>
      </c>
      <c r="BE804" s="58">
        <f t="shared" si="136"/>
        <v>0</v>
      </c>
      <c r="BF804" s="58">
        <f t="shared" si="137"/>
        <v>0</v>
      </c>
      <c r="BG804" s="58">
        <f t="shared" si="138"/>
        <v>0</v>
      </c>
      <c r="BH804" s="58">
        <f t="shared" si="139"/>
        <v>0</v>
      </c>
      <c r="BI804" s="58">
        <f t="shared" si="140"/>
        <v>0</v>
      </c>
      <c r="BJ804" s="58">
        <f t="shared" si="141"/>
        <v>0</v>
      </c>
      <c r="BK804" s="58">
        <f t="shared" si="142"/>
        <v>8</v>
      </c>
    </row>
    <row r="805" spans="1:63" ht="27" customHeight="1">
      <c r="A805" s="238">
        <f t="shared" si="143"/>
        <v>803</v>
      </c>
      <c r="B805" s="239"/>
      <c r="C805" s="266">
        <v>3559</v>
      </c>
      <c r="D805" s="280" t="s">
        <v>4760</v>
      </c>
      <c r="E805" s="267" t="s">
        <v>4761</v>
      </c>
      <c r="F805" s="268" t="s">
        <v>245</v>
      </c>
      <c r="G805" s="269" t="s">
        <v>1326</v>
      </c>
      <c r="H805" s="245" t="s">
        <v>329</v>
      </c>
      <c r="I805" s="246" t="s">
        <v>4762</v>
      </c>
      <c r="J805" s="270" t="s">
        <v>178</v>
      </c>
      <c r="K805" s="271">
        <v>35830</v>
      </c>
      <c r="L805" s="249" t="s">
        <v>179</v>
      </c>
      <c r="M805" s="272">
        <v>43748</v>
      </c>
      <c r="N805" s="272"/>
      <c r="O805" s="240" t="s">
        <v>3999</v>
      </c>
      <c r="P805" s="238" t="s">
        <v>3649</v>
      </c>
      <c r="Q805" s="238" t="s">
        <v>249</v>
      </c>
      <c r="R805" s="240" t="s">
        <v>182</v>
      </c>
      <c r="S805" s="240" t="s">
        <v>256</v>
      </c>
      <c r="T805" s="251"/>
      <c r="U805" s="273"/>
      <c r="V805" s="274" t="s">
        <v>184</v>
      </c>
      <c r="W805" s="274" t="s">
        <v>184</v>
      </c>
      <c r="X805" s="275">
        <v>2</v>
      </c>
      <c r="Y805" s="267" t="s">
        <v>4763</v>
      </c>
      <c r="Z805" s="277"/>
      <c r="AA805" s="277"/>
      <c r="AB805" s="274"/>
      <c r="AC805" s="296"/>
      <c r="AD805" s="287"/>
      <c r="AE805" s="287"/>
      <c r="AF805" s="288"/>
      <c r="AG805" s="286"/>
      <c r="AH805" s="276"/>
      <c r="AI805" s="276"/>
      <c r="AJ805" s="274" t="s">
        <v>203</v>
      </c>
      <c r="AK805" s="274" t="s">
        <v>190</v>
      </c>
      <c r="AL805" s="274" t="s">
        <v>190</v>
      </c>
      <c r="AM805" s="260" t="s">
        <v>4764</v>
      </c>
      <c r="AN805" s="22">
        <v>182</v>
      </c>
      <c r="AO805" s="22">
        <v>0</v>
      </c>
      <c r="AP805" s="22">
        <v>20</v>
      </c>
      <c r="AQ805" s="22">
        <v>0</v>
      </c>
      <c r="AR805" s="22">
        <v>0</v>
      </c>
      <c r="AS805" s="22">
        <v>7</v>
      </c>
      <c r="AT805" s="22">
        <v>10</v>
      </c>
      <c r="AU805" s="316">
        <f t="shared" si="133"/>
        <v>219</v>
      </c>
      <c r="AV805" s="22">
        <v>190</v>
      </c>
      <c r="AW805" s="22">
        <v>0</v>
      </c>
      <c r="AX805" s="22">
        <v>20</v>
      </c>
      <c r="AY805" s="22">
        <v>0</v>
      </c>
      <c r="AZ805" s="22">
        <v>0</v>
      </c>
      <c r="BA805" s="22">
        <v>7</v>
      </c>
      <c r="BB805" s="22">
        <v>10</v>
      </c>
      <c r="BC805" s="316">
        <f t="shared" si="134"/>
        <v>227</v>
      </c>
      <c r="BD805" s="58">
        <f t="shared" si="135"/>
        <v>8</v>
      </c>
      <c r="BE805" s="58">
        <f t="shared" si="136"/>
        <v>0</v>
      </c>
      <c r="BF805" s="58">
        <f t="shared" si="137"/>
        <v>0</v>
      </c>
      <c r="BG805" s="58">
        <f t="shared" si="138"/>
        <v>0</v>
      </c>
      <c r="BH805" s="58">
        <f t="shared" si="139"/>
        <v>0</v>
      </c>
      <c r="BI805" s="58">
        <f t="shared" si="140"/>
        <v>0</v>
      </c>
      <c r="BJ805" s="58">
        <f t="shared" si="141"/>
        <v>0</v>
      </c>
      <c r="BK805" s="58">
        <f t="shared" si="142"/>
        <v>8</v>
      </c>
    </row>
    <row r="806" spans="1:63" ht="27" customHeight="1">
      <c r="A806" s="238">
        <f t="shared" si="143"/>
        <v>804</v>
      </c>
      <c r="B806" s="239"/>
      <c r="C806" s="266">
        <v>3517</v>
      </c>
      <c r="D806" s="241" t="s">
        <v>4765</v>
      </c>
      <c r="E806" s="267" t="s">
        <v>4766</v>
      </c>
      <c r="F806" s="268" t="s">
        <v>3197</v>
      </c>
      <c r="G806" s="269" t="s">
        <v>4767</v>
      </c>
      <c r="H806" s="245" t="s">
        <v>4768</v>
      </c>
      <c r="I806" s="246" t="s">
        <v>824</v>
      </c>
      <c r="J806" s="270" t="s">
        <v>178</v>
      </c>
      <c r="K806" s="271">
        <v>34035</v>
      </c>
      <c r="L806" s="249" t="s">
        <v>179</v>
      </c>
      <c r="M806" s="272">
        <v>43747</v>
      </c>
      <c r="N806" s="272"/>
      <c r="O806" s="240" t="s">
        <v>4181</v>
      </c>
      <c r="P806" s="238" t="s">
        <v>282</v>
      </c>
      <c r="Q806" s="238" t="s">
        <v>249</v>
      </c>
      <c r="R806" s="240" t="s">
        <v>182</v>
      </c>
      <c r="S806" s="240" t="s">
        <v>228</v>
      </c>
      <c r="T806" s="251"/>
      <c r="U806" s="273"/>
      <c r="V806" s="274" t="s">
        <v>184</v>
      </c>
      <c r="W806" s="274" t="s">
        <v>184</v>
      </c>
      <c r="X806" s="275">
        <v>3</v>
      </c>
      <c r="Y806" s="267" t="s">
        <v>4769</v>
      </c>
      <c r="Z806" s="277" t="s">
        <v>186</v>
      </c>
      <c r="AA806" s="277"/>
      <c r="AB806" s="274"/>
      <c r="AC806" s="296"/>
      <c r="AD806" s="287"/>
      <c r="AE806" s="287"/>
      <c r="AF806" s="288"/>
      <c r="AG806" s="286"/>
      <c r="AH806" s="276"/>
      <c r="AI806" s="276"/>
      <c r="AJ806" s="274" t="s">
        <v>203</v>
      </c>
      <c r="AK806" s="274" t="s">
        <v>190</v>
      </c>
      <c r="AL806" s="274" t="s">
        <v>190</v>
      </c>
      <c r="AM806" s="260" t="s">
        <v>3859</v>
      </c>
      <c r="AN806" s="22">
        <v>182</v>
      </c>
      <c r="AO806" s="22">
        <v>0</v>
      </c>
      <c r="AP806" s="22">
        <v>20</v>
      </c>
      <c r="AQ806" s="22">
        <v>0</v>
      </c>
      <c r="AR806" s="22">
        <v>0</v>
      </c>
      <c r="AS806" s="22">
        <v>7</v>
      </c>
      <c r="AT806" s="22">
        <v>10</v>
      </c>
      <c r="AU806" s="316">
        <f t="shared" si="133"/>
        <v>219</v>
      </c>
      <c r="AV806" s="22">
        <v>190</v>
      </c>
      <c r="AW806" s="22">
        <v>0</v>
      </c>
      <c r="AX806" s="22">
        <v>20</v>
      </c>
      <c r="AY806" s="22">
        <v>0</v>
      </c>
      <c r="AZ806" s="22">
        <v>0</v>
      </c>
      <c r="BA806" s="22">
        <v>7</v>
      </c>
      <c r="BB806" s="22">
        <v>10</v>
      </c>
      <c r="BC806" s="316">
        <f t="shared" si="134"/>
        <v>227</v>
      </c>
      <c r="BD806" s="58">
        <f t="shared" si="135"/>
        <v>8</v>
      </c>
      <c r="BE806" s="58">
        <f t="shared" si="136"/>
        <v>0</v>
      </c>
      <c r="BF806" s="58">
        <f t="shared" si="137"/>
        <v>0</v>
      </c>
      <c r="BG806" s="58">
        <f t="shared" si="138"/>
        <v>0</v>
      </c>
      <c r="BH806" s="58">
        <f t="shared" si="139"/>
        <v>0</v>
      </c>
      <c r="BI806" s="58">
        <f t="shared" si="140"/>
        <v>0</v>
      </c>
      <c r="BJ806" s="58">
        <f t="shared" si="141"/>
        <v>0</v>
      </c>
      <c r="BK806" s="58">
        <f t="shared" si="142"/>
        <v>8</v>
      </c>
    </row>
    <row r="807" spans="1:63" ht="27" customHeight="1">
      <c r="A807" s="238">
        <f t="shared" si="143"/>
        <v>805</v>
      </c>
      <c r="B807" s="239"/>
      <c r="C807" s="266">
        <v>3502</v>
      </c>
      <c r="D807" s="280" t="s">
        <v>4770</v>
      </c>
      <c r="E807" s="267" t="s">
        <v>4771</v>
      </c>
      <c r="F807" s="268" t="s">
        <v>4772</v>
      </c>
      <c r="G807" s="269" t="s">
        <v>4773</v>
      </c>
      <c r="H807" s="245" t="s">
        <v>4774</v>
      </c>
      <c r="I807" s="246" t="s">
        <v>1933</v>
      </c>
      <c r="J807" s="270" t="s">
        <v>178</v>
      </c>
      <c r="K807" s="271">
        <v>33330</v>
      </c>
      <c r="L807" s="249" t="s">
        <v>179</v>
      </c>
      <c r="M807" s="272">
        <v>43746</v>
      </c>
      <c r="N807" s="272"/>
      <c r="O807" s="240" t="s">
        <v>3965</v>
      </c>
      <c r="P807" s="238" t="s">
        <v>3785</v>
      </c>
      <c r="Q807" s="238" t="s">
        <v>249</v>
      </c>
      <c r="R807" s="240" t="s">
        <v>182</v>
      </c>
      <c r="S807" s="240" t="s">
        <v>228</v>
      </c>
      <c r="T807" s="251"/>
      <c r="U807" s="273"/>
      <c r="V807" s="274" t="s">
        <v>184</v>
      </c>
      <c r="W807" s="274" t="s">
        <v>184</v>
      </c>
      <c r="X807" s="275">
        <v>4</v>
      </c>
      <c r="Y807" s="267" t="s">
        <v>4775</v>
      </c>
      <c r="Z807" s="277"/>
      <c r="AA807" s="277" t="s">
        <v>186</v>
      </c>
      <c r="AB807" s="274"/>
      <c r="AC807" s="296"/>
      <c r="AD807" s="287"/>
      <c r="AE807" s="287"/>
      <c r="AF807" s="287"/>
      <c r="AG807" s="286"/>
      <c r="AH807" s="276"/>
      <c r="AI807" s="276"/>
      <c r="AJ807" s="274" t="s">
        <v>203</v>
      </c>
      <c r="AK807" s="274" t="s">
        <v>190</v>
      </c>
      <c r="AL807" s="274" t="s">
        <v>190</v>
      </c>
      <c r="AM807" s="260" t="s">
        <v>241</v>
      </c>
      <c r="AN807" s="22">
        <v>182</v>
      </c>
      <c r="AO807" s="22">
        <v>0</v>
      </c>
      <c r="AP807" s="22">
        <v>0</v>
      </c>
      <c r="AQ807" s="22">
        <v>0</v>
      </c>
      <c r="AR807" s="22">
        <v>0</v>
      </c>
      <c r="AS807" s="22">
        <v>7</v>
      </c>
      <c r="AT807" s="22">
        <v>10</v>
      </c>
      <c r="AU807" s="316">
        <f t="shared" si="133"/>
        <v>199</v>
      </c>
      <c r="AV807" s="22">
        <v>190</v>
      </c>
      <c r="AW807" s="22">
        <v>0</v>
      </c>
      <c r="AX807" s="22">
        <v>0</v>
      </c>
      <c r="AY807" s="22">
        <v>0</v>
      </c>
      <c r="AZ807" s="22">
        <v>0</v>
      </c>
      <c r="BA807" s="22">
        <v>7</v>
      </c>
      <c r="BB807" s="22">
        <v>10</v>
      </c>
      <c r="BC807" s="316">
        <f t="shared" si="134"/>
        <v>207</v>
      </c>
      <c r="BD807" s="58">
        <f t="shared" si="135"/>
        <v>8</v>
      </c>
      <c r="BE807" s="58">
        <f t="shared" si="136"/>
        <v>0</v>
      </c>
      <c r="BF807" s="58">
        <f t="shared" si="137"/>
        <v>0</v>
      </c>
      <c r="BG807" s="58">
        <f t="shared" si="138"/>
        <v>0</v>
      </c>
      <c r="BH807" s="58">
        <f t="shared" si="139"/>
        <v>0</v>
      </c>
      <c r="BI807" s="58">
        <f t="shared" si="140"/>
        <v>0</v>
      </c>
      <c r="BJ807" s="58">
        <f t="shared" si="141"/>
        <v>0</v>
      </c>
      <c r="BK807" s="58">
        <f t="shared" si="142"/>
        <v>8</v>
      </c>
    </row>
    <row r="808" spans="1:63" ht="27" customHeight="1">
      <c r="A808" s="238">
        <f t="shared" si="143"/>
        <v>806</v>
      </c>
      <c r="B808" s="239"/>
      <c r="C808" s="266">
        <v>3307</v>
      </c>
      <c r="D808" s="280" t="s">
        <v>4776</v>
      </c>
      <c r="E808" s="267" t="s">
        <v>4777</v>
      </c>
      <c r="F808" s="268" t="s">
        <v>1863</v>
      </c>
      <c r="G808" s="269" t="s">
        <v>4778</v>
      </c>
      <c r="H808" s="245" t="s">
        <v>4779</v>
      </c>
      <c r="I808" s="246" t="s">
        <v>4780</v>
      </c>
      <c r="J808" s="270" t="s">
        <v>209</v>
      </c>
      <c r="K808" s="271">
        <v>35978</v>
      </c>
      <c r="L808" s="249" t="s">
        <v>179</v>
      </c>
      <c r="M808" s="272">
        <v>43740</v>
      </c>
      <c r="N808" s="272"/>
      <c r="O808" s="240" t="s">
        <v>3983</v>
      </c>
      <c r="P808" s="238" t="s">
        <v>3833</v>
      </c>
      <c r="Q808" s="238" t="s">
        <v>249</v>
      </c>
      <c r="R808" s="240" t="s">
        <v>182</v>
      </c>
      <c r="S808" s="240" t="s">
        <v>331</v>
      </c>
      <c r="T808" s="251"/>
      <c r="U808" s="273"/>
      <c r="V808" s="274" t="s">
        <v>184</v>
      </c>
      <c r="W808" s="274" t="s">
        <v>184</v>
      </c>
      <c r="X808" s="275">
        <v>7</v>
      </c>
      <c r="Y808" s="267" t="s">
        <v>4781</v>
      </c>
      <c r="Z808" s="277" t="s">
        <v>186</v>
      </c>
      <c r="AA808" s="277"/>
      <c r="AB808" s="274"/>
      <c r="AC808" s="296"/>
      <c r="AD808" s="287"/>
      <c r="AE808" s="287"/>
      <c r="AF808" s="288"/>
      <c r="AG808" s="286"/>
      <c r="AH808" s="276"/>
      <c r="AI808" s="276"/>
      <c r="AJ808" s="274" t="s">
        <v>203</v>
      </c>
      <c r="AK808" s="274" t="s">
        <v>190</v>
      </c>
      <c r="AL808" s="274" t="s">
        <v>190</v>
      </c>
      <c r="AM808" s="260" t="s">
        <v>3859</v>
      </c>
      <c r="AN808" s="22">
        <v>182</v>
      </c>
      <c r="AO808" s="22">
        <v>0</v>
      </c>
      <c r="AP808" s="22">
        <v>20</v>
      </c>
      <c r="AQ808" s="22">
        <v>0</v>
      </c>
      <c r="AR808" s="22">
        <v>0</v>
      </c>
      <c r="AS808" s="22">
        <v>7</v>
      </c>
      <c r="AT808" s="22">
        <v>10</v>
      </c>
      <c r="AU808" s="316">
        <f t="shared" si="133"/>
        <v>219</v>
      </c>
      <c r="AV808" s="22">
        <v>190</v>
      </c>
      <c r="AW808" s="22">
        <v>0</v>
      </c>
      <c r="AX808" s="22">
        <v>20</v>
      </c>
      <c r="AY808" s="22">
        <v>0</v>
      </c>
      <c r="AZ808" s="22">
        <v>0</v>
      </c>
      <c r="BA808" s="22">
        <v>7</v>
      </c>
      <c r="BB808" s="22">
        <v>10</v>
      </c>
      <c r="BC808" s="316">
        <f t="shared" si="134"/>
        <v>227</v>
      </c>
      <c r="BD808" s="58">
        <f t="shared" si="135"/>
        <v>8</v>
      </c>
      <c r="BE808" s="58">
        <f t="shared" si="136"/>
        <v>0</v>
      </c>
      <c r="BF808" s="58">
        <f t="shared" si="137"/>
        <v>0</v>
      </c>
      <c r="BG808" s="58">
        <f t="shared" si="138"/>
        <v>0</v>
      </c>
      <c r="BH808" s="58">
        <f t="shared" si="139"/>
        <v>0</v>
      </c>
      <c r="BI808" s="58">
        <f t="shared" si="140"/>
        <v>0</v>
      </c>
      <c r="BJ808" s="58">
        <f t="shared" si="141"/>
        <v>0</v>
      </c>
      <c r="BK808" s="58">
        <f t="shared" si="142"/>
        <v>8</v>
      </c>
    </row>
    <row r="809" spans="1:63" ht="27" customHeight="1">
      <c r="A809" s="238">
        <f t="shared" si="143"/>
        <v>807</v>
      </c>
      <c r="B809" s="239"/>
      <c r="C809" s="266">
        <v>3287</v>
      </c>
      <c r="D809" s="241" t="s">
        <v>4782</v>
      </c>
      <c r="E809" s="267" t="s">
        <v>4783</v>
      </c>
      <c r="F809" s="268" t="s">
        <v>1917</v>
      </c>
      <c r="G809" s="269" t="s">
        <v>4784</v>
      </c>
      <c r="H809" s="245" t="s">
        <v>1918</v>
      </c>
      <c r="I809" s="246" t="s">
        <v>4785</v>
      </c>
      <c r="J809" s="270" t="s">
        <v>178</v>
      </c>
      <c r="K809" s="271">
        <v>30807</v>
      </c>
      <c r="L809" s="249" t="s">
        <v>179</v>
      </c>
      <c r="M809" s="272">
        <v>43746</v>
      </c>
      <c r="N809" s="272"/>
      <c r="O809" s="240" t="s">
        <v>4004</v>
      </c>
      <c r="P809" s="238" t="s">
        <v>3833</v>
      </c>
      <c r="Q809" s="238" t="s">
        <v>249</v>
      </c>
      <c r="R809" s="240" t="s">
        <v>182</v>
      </c>
      <c r="S809" s="240" t="s">
        <v>228</v>
      </c>
      <c r="T809" s="251"/>
      <c r="U809" s="273"/>
      <c r="V809" s="274" t="s">
        <v>184</v>
      </c>
      <c r="W809" s="274" t="s">
        <v>184</v>
      </c>
      <c r="X809" s="275">
        <v>6</v>
      </c>
      <c r="Y809" s="267" t="s">
        <v>4786</v>
      </c>
      <c r="Z809" s="277"/>
      <c r="AA809" s="277" t="s">
        <v>186</v>
      </c>
      <c r="AB809" s="274"/>
      <c r="AC809" s="296"/>
      <c r="AD809" s="287"/>
      <c r="AE809" s="287"/>
      <c r="AF809" s="288"/>
      <c r="AG809" s="286"/>
      <c r="AH809" s="276"/>
      <c r="AI809" s="276"/>
      <c r="AJ809" s="274" t="s">
        <v>203</v>
      </c>
      <c r="AK809" s="274" t="s">
        <v>190</v>
      </c>
      <c r="AL809" s="274" t="s">
        <v>190</v>
      </c>
      <c r="AM809" s="260" t="s">
        <v>3859</v>
      </c>
      <c r="AN809" s="22">
        <v>182</v>
      </c>
      <c r="AO809" s="22">
        <v>0</v>
      </c>
      <c r="AP809" s="22">
        <v>20</v>
      </c>
      <c r="AQ809" s="22">
        <v>0</v>
      </c>
      <c r="AR809" s="22">
        <v>0</v>
      </c>
      <c r="AS809" s="22">
        <v>7</v>
      </c>
      <c r="AT809" s="22">
        <v>10</v>
      </c>
      <c r="AU809" s="316">
        <f t="shared" si="133"/>
        <v>219</v>
      </c>
      <c r="AV809" s="22">
        <v>190</v>
      </c>
      <c r="AW809" s="22">
        <v>0</v>
      </c>
      <c r="AX809" s="22">
        <v>20</v>
      </c>
      <c r="AY809" s="22">
        <v>0</v>
      </c>
      <c r="AZ809" s="22">
        <v>0</v>
      </c>
      <c r="BA809" s="22">
        <v>7</v>
      </c>
      <c r="BB809" s="22">
        <v>10</v>
      </c>
      <c r="BC809" s="316">
        <f t="shared" si="134"/>
        <v>227</v>
      </c>
      <c r="BD809" s="58">
        <f t="shared" si="135"/>
        <v>8</v>
      </c>
      <c r="BE809" s="58">
        <f t="shared" si="136"/>
        <v>0</v>
      </c>
      <c r="BF809" s="58">
        <f t="shared" si="137"/>
        <v>0</v>
      </c>
      <c r="BG809" s="58">
        <f t="shared" si="138"/>
        <v>0</v>
      </c>
      <c r="BH809" s="58">
        <f t="shared" si="139"/>
        <v>0</v>
      </c>
      <c r="BI809" s="58">
        <f t="shared" si="140"/>
        <v>0</v>
      </c>
      <c r="BJ809" s="58">
        <f t="shared" si="141"/>
        <v>0</v>
      </c>
      <c r="BK809" s="58">
        <f t="shared" si="142"/>
        <v>8</v>
      </c>
    </row>
    <row r="810" spans="1:63" ht="27" customHeight="1">
      <c r="A810" s="238">
        <f t="shared" si="143"/>
        <v>808</v>
      </c>
      <c r="B810" s="239"/>
      <c r="C810" s="266">
        <v>3304</v>
      </c>
      <c r="D810" s="280" t="s">
        <v>4787</v>
      </c>
      <c r="E810" s="267" t="s">
        <v>4788</v>
      </c>
      <c r="F810" s="268" t="s">
        <v>2449</v>
      </c>
      <c r="G810" s="269" t="s">
        <v>4789</v>
      </c>
      <c r="H810" s="245" t="s">
        <v>4790</v>
      </c>
      <c r="I810" s="246" t="s">
        <v>4791</v>
      </c>
      <c r="J810" s="270" t="s">
        <v>178</v>
      </c>
      <c r="K810" s="271">
        <v>34443</v>
      </c>
      <c r="L810" s="249" t="s">
        <v>179</v>
      </c>
      <c r="M810" s="272">
        <v>43746</v>
      </c>
      <c r="N810" s="272"/>
      <c r="O810" s="240" t="s">
        <v>4024</v>
      </c>
      <c r="P810" s="238" t="s">
        <v>3833</v>
      </c>
      <c r="Q810" s="238" t="s">
        <v>249</v>
      </c>
      <c r="R810" s="240" t="s">
        <v>182</v>
      </c>
      <c r="S810" s="240" t="s">
        <v>256</v>
      </c>
      <c r="T810" s="251"/>
      <c r="U810" s="273"/>
      <c r="V810" s="274" t="s">
        <v>184</v>
      </c>
      <c r="W810" s="274" t="s">
        <v>184</v>
      </c>
      <c r="X810" s="275">
        <v>11</v>
      </c>
      <c r="Y810" s="267" t="s">
        <v>4792</v>
      </c>
      <c r="Z810" s="277"/>
      <c r="AA810" s="277"/>
      <c r="AB810" s="274"/>
      <c r="AC810" s="296"/>
      <c r="AD810" s="287"/>
      <c r="AE810" s="287"/>
      <c r="AF810" s="288"/>
      <c r="AG810" s="286"/>
      <c r="AH810" s="276"/>
      <c r="AI810" s="276"/>
      <c r="AJ810" s="274" t="s">
        <v>203</v>
      </c>
      <c r="AK810" s="274" t="s">
        <v>190</v>
      </c>
      <c r="AL810" s="274" t="s">
        <v>190</v>
      </c>
      <c r="AM810" s="260" t="s">
        <v>3859</v>
      </c>
      <c r="AN810" s="22">
        <v>182</v>
      </c>
      <c r="AO810" s="22">
        <v>0</v>
      </c>
      <c r="AP810" s="22">
        <v>0</v>
      </c>
      <c r="AQ810" s="22">
        <v>0</v>
      </c>
      <c r="AR810" s="22">
        <v>0</v>
      </c>
      <c r="AS810" s="22">
        <v>7</v>
      </c>
      <c r="AT810" s="22">
        <v>10</v>
      </c>
      <c r="AU810" s="316">
        <f t="shared" si="133"/>
        <v>199</v>
      </c>
      <c r="AV810" s="22">
        <v>190</v>
      </c>
      <c r="AW810" s="22">
        <v>0</v>
      </c>
      <c r="AX810" s="22">
        <v>0</v>
      </c>
      <c r="AY810" s="22">
        <v>0</v>
      </c>
      <c r="AZ810" s="22">
        <v>0</v>
      </c>
      <c r="BA810" s="22">
        <v>7</v>
      </c>
      <c r="BB810" s="22">
        <v>10</v>
      </c>
      <c r="BC810" s="316">
        <f t="shared" si="134"/>
        <v>207</v>
      </c>
      <c r="BD810" s="58">
        <f t="shared" si="135"/>
        <v>8</v>
      </c>
      <c r="BE810" s="58">
        <f t="shared" si="136"/>
        <v>0</v>
      </c>
      <c r="BF810" s="58">
        <f t="shared" si="137"/>
        <v>0</v>
      </c>
      <c r="BG810" s="58">
        <f t="shared" si="138"/>
        <v>0</v>
      </c>
      <c r="BH810" s="58">
        <f t="shared" si="139"/>
        <v>0</v>
      </c>
      <c r="BI810" s="58">
        <f t="shared" si="140"/>
        <v>0</v>
      </c>
      <c r="BJ810" s="58">
        <f t="shared" si="141"/>
        <v>0</v>
      </c>
      <c r="BK810" s="58">
        <f t="shared" si="142"/>
        <v>8</v>
      </c>
    </row>
    <row r="811" spans="1:63" ht="27" customHeight="1">
      <c r="A811" s="238">
        <f t="shared" si="143"/>
        <v>809</v>
      </c>
      <c r="B811" s="239"/>
      <c r="C811" s="266">
        <v>3297</v>
      </c>
      <c r="D811" s="284">
        <v>0</v>
      </c>
      <c r="E811" s="267" t="s">
        <v>4793</v>
      </c>
      <c r="F811" s="268" t="s">
        <v>2196</v>
      </c>
      <c r="G811" s="269" t="s">
        <v>4794</v>
      </c>
      <c r="H811" s="245" t="s">
        <v>3533</v>
      </c>
      <c r="I811" s="246" t="s">
        <v>4795</v>
      </c>
      <c r="J811" s="270" t="s">
        <v>178</v>
      </c>
      <c r="K811" s="271">
        <v>32510</v>
      </c>
      <c r="L811" s="249" t="s">
        <v>179</v>
      </c>
      <c r="M811" s="272">
        <v>43746</v>
      </c>
      <c r="N811" s="272"/>
      <c r="O811" s="240" t="s">
        <v>3965</v>
      </c>
      <c r="P811" s="238" t="s">
        <v>3785</v>
      </c>
      <c r="Q811" s="238" t="s">
        <v>249</v>
      </c>
      <c r="R811" s="240" t="s">
        <v>182</v>
      </c>
      <c r="S811" s="240" t="s">
        <v>533</v>
      </c>
      <c r="T811" s="251"/>
      <c r="U811" s="273"/>
      <c r="V811" s="274" t="s">
        <v>184</v>
      </c>
      <c r="W811" s="274" t="s">
        <v>184</v>
      </c>
      <c r="X811" s="282">
        <v>9</v>
      </c>
      <c r="Y811" s="267" t="s">
        <v>4796</v>
      </c>
      <c r="Z811" s="277"/>
      <c r="AA811" s="277"/>
      <c r="AB811" s="274"/>
      <c r="AC811" s="296"/>
      <c r="AD811" s="287"/>
      <c r="AE811" s="287"/>
      <c r="AF811" s="288"/>
      <c r="AG811" s="286"/>
      <c r="AH811" s="276"/>
      <c r="AI811" s="276"/>
      <c r="AJ811" s="274" t="s">
        <v>203</v>
      </c>
      <c r="AK811" s="274" t="s">
        <v>190</v>
      </c>
      <c r="AL811" s="274" t="s">
        <v>190</v>
      </c>
      <c r="AM811" s="260" t="s">
        <v>4797</v>
      </c>
      <c r="AN811" s="22">
        <v>182</v>
      </c>
      <c r="AO811" s="22">
        <v>0</v>
      </c>
      <c r="AP811" s="22">
        <v>20</v>
      </c>
      <c r="AQ811" s="22">
        <v>0</v>
      </c>
      <c r="AR811" s="22">
        <v>0</v>
      </c>
      <c r="AS811" s="22">
        <v>7</v>
      </c>
      <c r="AT811" s="22">
        <v>10</v>
      </c>
      <c r="AU811" s="316">
        <f t="shared" si="133"/>
        <v>219</v>
      </c>
      <c r="AV811" s="22">
        <v>190</v>
      </c>
      <c r="AW811" s="22">
        <v>0</v>
      </c>
      <c r="AX811" s="22">
        <v>20</v>
      </c>
      <c r="AY811" s="22">
        <v>0</v>
      </c>
      <c r="AZ811" s="22">
        <v>0</v>
      </c>
      <c r="BA811" s="22">
        <v>7</v>
      </c>
      <c r="BB811" s="22">
        <v>10</v>
      </c>
      <c r="BC811" s="316">
        <f t="shared" si="134"/>
        <v>227</v>
      </c>
      <c r="BD811" s="58">
        <f t="shared" si="135"/>
        <v>8</v>
      </c>
      <c r="BE811" s="58">
        <f t="shared" si="136"/>
        <v>0</v>
      </c>
      <c r="BF811" s="58">
        <f t="shared" si="137"/>
        <v>0</v>
      </c>
      <c r="BG811" s="58">
        <f t="shared" si="138"/>
        <v>0</v>
      </c>
      <c r="BH811" s="58">
        <f t="shared" si="139"/>
        <v>0</v>
      </c>
      <c r="BI811" s="58">
        <f t="shared" si="140"/>
        <v>0</v>
      </c>
      <c r="BJ811" s="58">
        <f t="shared" si="141"/>
        <v>0</v>
      </c>
      <c r="BK811" s="58">
        <f t="shared" si="142"/>
        <v>8</v>
      </c>
    </row>
    <row r="812" spans="1:63" ht="27" customHeight="1">
      <c r="A812" s="238">
        <f t="shared" si="143"/>
        <v>810</v>
      </c>
      <c r="B812" s="239"/>
      <c r="C812" s="266">
        <v>3557</v>
      </c>
      <c r="D812" s="241" t="s">
        <v>4798</v>
      </c>
      <c r="E812" s="267" t="s">
        <v>4799</v>
      </c>
      <c r="F812" s="268" t="s">
        <v>2653</v>
      </c>
      <c r="G812" s="269" t="s">
        <v>2970</v>
      </c>
      <c r="H812" s="245" t="s">
        <v>4800</v>
      </c>
      <c r="I812" s="246" t="s">
        <v>4801</v>
      </c>
      <c r="J812" s="270" t="s">
        <v>178</v>
      </c>
      <c r="K812" s="271">
        <v>35864</v>
      </c>
      <c r="L812" s="249" t="s">
        <v>179</v>
      </c>
      <c r="M812" s="272">
        <v>43748</v>
      </c>
      <c r="N812" s="272"/>
      <c r="O812" s="240" t="s">
        <v>4076</v>
      </c>
      <c r="P812" s="238" t="s">
        <v>1385</v>
      </c>
      <c r="Q812" s="238" t="s">
        <v>249</v>
      </c>
      <c r="R812" s="240" t="s">
        <v>182</v>
      </c>
      <c r="S812" s="240" t="s">
        <v>256</v>
      </c>
      <c r="T812" s="251"/>
      <c r="U812" s="273"/>
      <c r="V812" s="274" t="s">
        <v>184</v>
      </c>
      <c r="W812" s="274" t="s">
        <v>184</v>
      </c>
      <c r="X812" s="275">
        <v>5</v>
      </c>
      <c r="Y812" s="267" t="s">
        <v>4802</v>
      </c>
      <c r="Z812" s="277"/>
      <c r="AA812" s="277" t="s">
        <v>186</v>
      </c>
      <c r="AB812" s="274"/>
      <c r="AC812" s="296"/>
      <c r="AD812" s="287"/>
      <c r="AE812" s="287"/>
      <c r="AF812" s="288"/>
      <c r="AG812" s="286"/>
      <c r="AH812" s="276"/>
      <c r="AI812" s="276"/>
      <c r="AJ812" s="274" t="s">
        <v>190</v>
      </c>
      <c r="AK812" s="274" t="s">
        <v>190</v>
      </c>
      <c r="AL812" s="274" t="s">
        <v>190</v>
      </c>
      <c r="AM812" s="289" t="s">
        <v>3967</v>
      </c>
      <c r="AN812" s="22">
        <v>182</v>
      </c>
      <c r="AO812" s="22">
        <v>0</v>
      </c>
      <c r="AP812" s="22">
        <v>0</v>
      </c>
      <c r="AQ812" s="22">
        <v>0</v>
      </c>
      <c r="AR812" s="22">
        <v>0</v>
      </c>
      <c r="AS812" s="22">
        <v>7</v>
      </c>
      <c r="AT812" s="22">
        <v>10</v>
      </c>
      <c r="AU812" s="316">
        <f t="shared" si="133"/>
        <v>199</v>
      </c>
      <c r="AV812" s="22">
        <v>190</v>
      </c>
      <c r="AW812" s="22">
        <v>0</v>
      </c>
      <c r="AX812" s="22">
        <v>0</v>
      </c>
      <c r="AY812" s="22">
        <v>0</v>
      </c>
      <c r="AZ812" s="22">
        <v>0</v>
      </c>
      <c r="BA812" s="22">
        <v>7</v>
      </c>
      <c r="BB812" s="22">
        <v>10</v>
      </c>
      <c r="BC812" s="316">
        <f t="shared" si="134"/>
        <v>207</v>
      </c>
      <c r="BD812" s="58">
        <f t="shared" si="135"/>
        <v>8</v>
      </c>
      <c r="BE812" s="58">
        <f t="shared" si="136"/>
        <v>0</v>
      </c>
      <c r="BF812" s="58">
        <f t="shared" si="137"/>
        <v>0</v>
      </c>
      <c r="BG812" s="58">
        <f t="shared" si="138"/>
        <v>0</v>
      </c>
      <c r="BH812" s="58">
        <f t="shared" si="139"/>
        <v>0</v>
      </c>
      <c r="BI812" s="58">
        <f t="shared" si="140"/>
        <v>0</v>
      </c>
      <c r="BJ812" s="58">
        <f t="shared" si="141"/>
        <v>0</v>
      </c>
      <c r="BK812" s="58">
        <f t="shared" si="142"/>
        <v>8</v>
      </c>
    </row>
    <row r="813" spans="1:63" ht="27" customHeight="1">
      <c r="A813" s="238">
        <f t="shared" si="143"/>
        <v>811</v>
      </c>
      <c r="B813" s="239"/>
      <c r="C813" s="266">
        <v>3224</v>
      </c>
      <c r="D813" s="241" t="s">
        <v>4803</v>
      </c>
      <c r="E813" s="267" t="s">
        <v>4804</v>
      </c>
      <c r="F813" s="268" t="s">
        <v>573</v>
      </c>
      <c r="G813" s="269" t="s">
        <v>1724</v>
      </c>
      <c r="H813" s="245" t="s">
        <v>542</v>
      </c>
      <c r="I813" s="246" t="s">
        <v>4080</v>
      </c>
      <c r="J813" s="270" t="s">
        <v>178</v>
      </c>
      <c r="K813" s="271">
        <v>32874</v>
      </c>
      <c r="L813" s="249" t="s">
        <v>179</v>
      </c>
      <c r="M813" s="272">
        <v>43742</v>
      </c>
      <c r="N813" s="272"/>
      <c r="O813" s="240" t="s">
        <v>3965</v>
      </c>
      <c r="P813" s="238" t="s">
        <v>3785</v>
      </c>
      <c r="Q813" s="238" t="s">
        <v>249</v>
      </c>
      <c r="R813" s="240" t="s">
        <v>182</v>
      </c>
      <c r="S813" s="240" t="s">
        <v>219</v>
      </c>
      <c r="T813" s="251"/>
      <c r="U813" s="273"/>
      <c r="V813" s="274" t="s">
        <v>184</v>
      </c>
      <c r="W813" s="274" t="s">
        <v>184</v>
      </c>
      <c r="X813" s="282">
        <v>5</v>
      </c>
      <c r="Y813" s="267" t="s">
        <v>4805</v>
      </c>
      <c r="Z813" s="277"/>
      <c r="AA813" s="277" t="s">
        <v>186</v>
      </c>
      <c r="AB813" s="274"/>
      <c r="AC813" s="296"/>
      <c r="AD813" s="287"/>
      <c r="AE813" s="287"/>
      <c r="AF813" s="288"/>
      <c r="AG813" s="286"/>
      <c r="AH813" s="276"/>
      <c r="AI813" s="276"/>
      <c r="AJ813" s="274" t="s">
        <v>203</v>
      </c>
      <c r="AK813" s="274" t="s">
        <v>190</v>
      </c>
      <c r="AL813" s="274" t="s">
        <v>190</v>
      </c>
      <c r="AM813" s="260" t="s">
        <v>3859</v>
      </c>
      <c r="AN813" s="22">
        <v>182</v>
      </c>
      <c r="AO813" s="22">
        <v>0</v>
      </c>
      <c r="AP813" s="22">
        <v>20</v>
      </c>
      <c r="AQ813" s="22">
        <v>0</v>
      </c>
      <c r="AR813" s="22">
        <v>0</v>
      </c>
      <c r="AS813" s="22">
        <v>7</v>
      </c>
      <c r="AT813" s="22">
        <v>10</v>
      </c>
      <c r="AU813" s="316">
        <f t="shared" si="133"/>
        <v>219</v>
      </c>
      <c r="AV813" s="22">
        <v>190</v>
      </c>
      <c r="AW813" s="22">
        <v>0</v>
      </c>
      <c r="AX813" s="22">
        <v>20</v>
      </c>
      <c r="AY813" s="22">
        <v>0</v>
      </c>
      <c r="AZ813" s="22">
        <v>0</v>
      </c>
      <c r="BA813" s="22">
        <v>7</v>
      </c>
      <c r="BB813" s="22">
        <v>10</v>
      </c>
      <c r="BC813" s="316">
        <f t="shared" si="134"/>
        <v>227</v>
      </c>
      <c r="BD813" s="58">
        <f t="shared" si="135"/>
        <v>8</v>
      </c>
      <c r="BE813" s="58">
        <f t="shared" si="136"/>
        <v>0</v>
      </c>
      <c r="BF813" s="58">
        <f t="shared" si="137"/>
        <v>0</v>
      </c>
      <c r="BG813" s="58">
        <f t="shared" si="138"/>
        <v>0</v>
      </c>
      <c r="BH813" s="58">
        <f t="shared" si="139"/>
        <v>0</v>
      </c>
      <c r="BI813" s="58">
        <f t="shared" si="140"/>
        <v>0</v>
      </c>
      <c r="BJ813" s="58">
        <f t="shared" si="141"/>
        <v>0</v>
      </c>
      <c r="BK813" s="58">
        <f t="shared" si="142"/>
        <v>8</v>
      </c>
    </row>
    <row r="814" spans="1:63" ht="27" customHeight="1">
      <c r="A814" s="238">
        <f t="shared" si="143"/>
        <v>812</v>
      </c>
      <c r="B814" s="239"/>
      <c r="C814" s="266">
        <v>3213</v>
      </c>
      <c r="D814" s="241" t="s">
        <v>4806</v>
      </c>
      <c r="E814" s="267" t="s">
        <v>4807</v>
      </c>
      <c r="F814" s="268" t="s">
        <v>4808</v>
      </c>
      <c r="G814" s="269" t="s">
        <v>853</v>
      </c>
      <c r="H814" s="245" t="s">
        <v>4809</v>
      </c>
      <c r="I814" s="246" t="s">
        <v>4810</v>
      </c>
      <c r="J814" s="270" t="s">
        <v>178</v>
      </c>
      <c r="K814" s="271">
        <v>29317</v>
      </c>
      <c r="L814" s="249" t="s">
        <v>179</v>
      </c>
      <c r="M814" s="272">
        <v>43742</v>
      </c>
      <c r="N814" s="272"/>
      <c r="O814" s="240" t="s">
        <v>3965</v>
      </c>
      <c r="P814" s="238" t="s">
        <v>3785</v>
      </c>
      <c r="Q814" s="238" t="s">
        <v>249</v>
      </c>
      <c r="R814" s="240" t="s">
        <v>182</v>
      </c>
      <c r="S814" s="240" t="s">
        <v>219</v>
      </c>
      <c r="T814" s="251"/>
      <c r="U814" s="273"/>
      <c r="V814" s="274" t="s">
        <v>184</v>
      </c>
      <c r="W814" s="274" t="s">
        <v>184</v>
      </c>
      <c r="X814" s="282">
        <v>5</v>
      </c>
      <c r="Y814" s="267" t="s">
        <v>4811</v>
      </c>
      <c r="Z814" s="277"/>
      <c r="AA814" s="277" t="s">
        <v>186</v>
      </c>
      <c r="AB814" s="274"/>
      <c r="AC814" s="296"/>
      <c r="AD814" s="287"/>
      <c r="AE814" s="287"/>
      <c r="AF814" s="288"/>
      <c r="AG814" s="286"/>
      <c r="AH814" s="276"/>
      <c r="AI814" s="276"/>
      <c r="AJ814" s="274" t="s">
        <v>203</v>
      </c>
      <c r="AK814" s="274" t="s">
        <v>190</v>
      </c>
      <c r="AL814" s="274" t="s">
        <v>190</v>
      </c>
      <c r="AM814" s="260" t="s">
        <v>3859</v>
      </c>
      <c r="AN814" s="22">
        <v>182</v>
      </c>
      <c r="AO814" s="22">
        <v>0</v>
      </c>
      <c r="AP814" s="22">
        <v>20</v>
      </c>
      <c r="AQ814" s="22">
        <v>0</v>
      </c>
      <c r="AR814" s="22">
        <v>0</v>
      </c>
      <c r="AS814" s="22">
        <v>7</v>
      </c>
      <c r="AT814" s="22">
        <v>10</v>
      </c>
      <c r="AU814" s="316">
        <f t="shared" si="133"/>
        <v>219</v>
      </c>
      <c r="AV814" s="22">
        <v>190</v>
      </c>
      <c r="AW814" s="22">
        <v>0</v>
      </c>
      <c r="AX814" s="22">
        <v>20</v>
      </c>
      <c r="AY814" s="22">
        <v>0</v>
      </c>
      <c r="AZ814" s="22">
        <v>0</v>
      </c>
      <c r="BA814" s="22">
        <v>7</v>
      </c>
      <c r="BB814" s="22">
        <v>10</v>
      </c>
      <c r="BC814" s="316">
        <f t="shared" si="134"/>
        <v>227</v>
      </c>
      <c r="BD814" s="58">
        <f t="shared" si="135"/>
        <v>8</v>
      </c>
      <c r="BE814" s="58">
        <f t="shared" si="136"/>
        <v>0</v>
      </c>
      <c r="BF814" s="58">
        <f t="shared" si="137"/>
        <v>0</v>
      </c>
      <c r="BG814" s="58">
        <f t="shared" si="138"/>
        <v>0</v>
      </c>
      <c r="BH814" s="58">
        <f t="shared" si="139"/>
        <v>0</v>
      </c>
      <c r="BI814" s="58">
        <f t="shared" si="140"/>
        <v>0</v>
      </c>
      <c r="BJ814" s="58">
        <f t="shared" si="141"/>
        <v>0</v>
      </c>
      <c r="BK814" s="58">
        <f t="shared" si="142"/>
        <v>8</v>
      </c>
    </row>
    <row r="815" spans="1:63" ht="27" customHeight="1">
      <c r="A815" s="238">
        <f t="shared" si="143"/>
        <v>813</v>
      </c>
      <c r="B815" s="239"/>
      <c r="C815" s="266">
        <v>3518</v>
      </c>
      <c r="D815" s="284">
        <v>0</v>
      </c>
      <c r="E815" s="267" t="s">
        <v>4812</v>
      </c>
      <c r="F815" s="268" t="s">
        <v>2990</v>
      </c>
      <c r="G815" s="269" t="s">
        <v>4813</v>
      </c>
      <c r="H815" s="245" t="s">
        <v>4814</v>
      </c>
      <c r="I815" s="246" t="s">
        <v>4815</v>
      </c>
      <c r="J815" s="270" t="s">
        <v>178</v>
      </c>
      <c r="K815" s="271">
        <v>35499</v>
      </c>
      <c r="L815" s="249" t="s">
        <v>179</v>
      </c>
      <c r="M815" s="272">
        <v>43746</v>
      </c>
      <c r="N815" s="272"/>
      <c r="O815" s="240" t="s">
        <v>3978</v>
      </c>
      <c r="P815" s="238" t="s">
        <v>3754</v>
      </c>
      <c r="Q815" s="238" t="s">
        <v>249</v>
      </c>
      <c r="R815" s="240" t="s">
        <v>182</v>
      </c>
      <c r="S815" s="240" t="s">
        <v>228</v>
      </c>
      <c r="T815" s="251"/>
      <c r="U815" s="273"/>
      <c r="V815" s="274" t="s">
        <v>184</v>
      </c>
      <c r="W815" s="274" t="s">
        <v>184</v>
      </c>
      <c r="X815" s="275">
        <v>0</v>
      </c>
      <c r="Y815" s="267" t="s">
        <v>4816</v>
      </c>
      <c r="Z815" s="277" t="s">
        <v>186</v>
      </c>
      <c r="AA815" s="277"/>
      <c r="AB815" s="274"/>
      <c r="AC815" s="296"/>
      <c r="AD815" s="287"/>
      <c r="AE815" s="287"/>
      <c r="AF815" s="288"/>
      <c r="AG815" s="286"/>
      <c r="AH815" s="276"/>
      <c r="AI815" s="276"/>
      <c r="AJ815" s="274" t="s">
        <v>203</v>
      </c>
      <c r="AK815" s="274" t="s">
        <v>190</v>
      </c>
      <c r="AL815" s="274" t="s">
        <v>190</v>
      </c>
      <c r="AM815" s="260" t="s">
        <v>3859</v>
      </c>
      <c r="AN815" s="22">
        <v>182</v>
      </c>
      <c r="AO815" s="22">
        <v>0</v>
      </c>
      <c r="AP815" s="22">
        <v>20</v>
      </c>
      <c r="AQ815" s="22">
        <v>0</v>
      </c>
      <c r="AR815" s="22">
        <v>0</v>
      </c>
      <c r="AS815" s="22">
        <v>7</v>
      </c>
      <c r="AT815" s="22">
        <v>10</v>
      </c>
      <c r="AU815" s="316">
        <f t="shared" si="133"/>
        <v>219</v>
      </c>
      <c r="AV815" s="22">
        <v>190</v>
      </c>
      <c r="AW815" s="22">
        <v>0</v>
      </c>
      <c r="AX815" s="22">
        <v>20</v>
      </c>
      <c r="AY815" s="22">
        <v>0</v>
      </c>
      <c r="AZ815" s="22">
        <v>0</v>
      </c>
      <c r="BA815" s="22">
        <v>7</v>
      </c>
      <c r="BB815" s="22">
        <v>10</v>
      </c>
      <c r="BC815" s="316">
        <f t="shared" si="134"/>
        <v>227</v>
      </c>
      <c r="BD815" s="58">
        <f t="shared" si="135"/>
        <v>8</v>
      </c>
      <c r="BE815" s="58">
        <f t="shared" si="136"/>
        <v>0</v>
      </c>
      <c r="BF815" s="58">
        <f t="shared" si="137"/>
        <v>0</v>
      </c>
      <c r="BG815" s="58">
        <f t="shared" si="138"/>
        <v>0</v>
      </c>
      <c r="BH815" s="58">
        <f t="shared" si="139"/>
        <v>0</v>
      </c>
      <c r="BI815" s="58">
        <f t="shared" si="140"/>
        <v>0</v>
      </c>
      <c r="BJ815" s="58">
        <f t="shared" si="141"/>
        <v>0</v>
      </c>
      <c r="BK815" s="58">
        <f t="shared" si="142"/>
        <v>8</v>
      </c>
    </row>
    <row r="816" spans="1:63" ht="27" customHeight="1">
      <c r="A816" s="238">
        <f t="shared" si="143"/>
        <v>814</v>
      </c>
      <c r="B816" s="239"/>
      <c r="C816" s="266">
        <v>3226</v>
      </c>
      <c r="D816" s="280" t="s">
        <v>4817</v>
      </c>
      <c r="E816" s="267" t="s">
        <v>296</v>
      </c>
      <c r="F816" s="268" t="s">
        <v>4818</v>
      </c>
      <c r="G816" s="269" t="s">
        <v>1253</v>
      </c>
      <c r="H816" s="245" t="s">
        <v>4819</v>
      </c>
      <c r="I816" s="246" t="s">
        <v>1255</v>
      </c>
      <c r="J816" s="270" t="s">
        <v>178</v>
      </c>
      <c r="K816" s="271">
        <v>30083</v>
      </c>
      <c r="L816" s="249" t="s">
        <v>179</v>
      </c>
      <c r="M816" s="272">
        <v>43740</v>
      </c>
      <c r="N816" s="272"/>
      <c r="O816" s="240" t="s">
        <v>4024</v>
      </c>
      <c r="P816" s="238" t="s">
        <v>3775</v>
      </c>
      <c r="Q816" s="238" t="s">
        <v>249</v>
      </c>
      <c r="R816" s="240" t="s">
        <v>182</v>
      </c>
      <c r="S816" s="240" t="s">
        <v>219</v>
      </c>
      <c r="T816" s="251"/>
      <c r="U816" s="273"/>
      <c r="V816" s="274" t="s">
        <v>184</v>
      </c>
      <c r="W816" s="274" t="s">
        <v>184</v>
      </c>
      <c r="X816" s="275">
        <v>6</v>
      </c>
      <c r="Y816" s="267" t="s">
        <v>4820</v>
      </c>
      <c r="Z816" s="277"/>
      <c r="AA816" s="277" t="s">
        <v>186</v>
      </c>
      <c r="AB816" s="274"/>
      <c r="AC816" s="296"/>
      <c r="AD816" s="287"/>
      <c r="AE816" s="287"/>
      <c r="AF816" s="288"/>
      <c r="AG816" s="286"/>
      <c r="AH816" s="276"/>
      <c r="AI816" s="276"/>
      <c r="AJ816" s="274" t="s">
        <v>203</v>
      </c>
      <c r="AK816" s="274" t="s">
        <v>190</v>
      </c>
      <c r="AL816" s="274" t="s">
        <v>190</v>
      </c>
      <c r="AM816" s="260" t="s">
        <v>3859</v>
      </c>
      <c r="AN816" s="22">
        <v>182</v>
      </c>
      <c r="AO816" s="22">
        <v>0</v>
      </c>
      <c r="AP816" s="22">
        <v>20</v>
      </c>
      <c r="AQ816" s="22">
        <v>0</v>
      </c>
      <c r="AR816" s="22">
        <v>0</v>
      </c>
      <c r="AS816" s="22">
        <v>7</v>
      </c>
      <c r="AT816" s="22">
        <v>10</v>
      </c>
      <c r="AU816" s="316">
        <f t="shared" si="133"/>
        <v>219</v>
      </c>
      <c r="AV816" s="22">
        <v>190</v>
      </c>
      <c r="AW816" s="22">
        <v>0</v>
      </c>
      <c r="AX816" s="22">
        <v>20</v>
      </c>
      <c r="AY816" s="22">
        <v>0</v>
      </c>
      <c r="AZ816" s="22">
        <v>0</v>
      </c>
      <c r="BA816" s="22">
        <v>7</v>
      </c>
      <c r="BB816" s="22">
        <v>10</v>
      </c>
      <c r="BC816" s="316">
        <f t="shared" si="134"/>
        <v>227</v>
      </c>
      <c r="BD816" s="58">
        <f t="shared" si="135"/>
        <v>8</v>
      </c>
      <c r="BE816" s="58">
        <f t="shared" si="136"/>
        <v>0</v>
      </c>
      <c r="BF816" s="58">
        <f t="shared" si="137"/>
        <v>0</v>
      </c>
      <c r="BG816" s="58">
        <f t="shared" si="138"/>
        <v>0</v>
      </c>
      <c r="BH816" s="58">
        <f t="shared" si="139"/>
        <v>0</v>
      </c>
      <c r="BI816" s="58">
        <f t="shared" si="140"/>
        <v>0</v>
      </c>
      <c r="BJ816" s="58">
        <f t="shared" si="141"/>
        <v>0</v>
      </c>
      <c r="BK816" s="58">
        <f t="shared" si="142"/>
        <v>8</v>
      </c>
    </row>
    <row r="817" spans="1:63" ht="27" customHeight="1">
      <c r="A817" s="238">
        <f t="shared" si="143"/>
        <v>815</v>
      </c>
      <c r="B817" s="239"/>
      <c r="C817" s="266">
        <v>3273</v>
      </c>
      <c r="D817" s="241" t="s">
        <v>4821</v>
      </c>
      <c r="E817" s="267" t="s">
        <v>4822</v>
      </c>
      <c r="F817" s="268" t="s">
        <v>649</v>
      </c>
      <c r="G817" s="269" t="s">
        <v>3290</v>
      </c>
      <c r="H817" s="245" t="s">
        <v>1536</v>
      </c>
      <c r="I817" s="246" t="s">
        <v>4823</v>
      </c>
      <c r="J817" s="270" t="s">
        <v>178</v>
      </c>
      <c r="K817" s="271">
        <v>35499</v>
      </c>
      <c r="L817" s="249" t="s">
        <v>179</v>
      </c>
      <c r="M817" s="272">
        <v>43743</v>
      </c>
      <c r="N817" s="272"/>
      <c r="O817" s="240" t="s">
        <v>4090</v>
      </c>
      <c r="P817" s="238" t="s">
        <v>3775</v>
      </c>
      <c r="Q817" s="238" t="s">
        <v>249</v>
      </c>
      <c r="R817" s="240" t="s">
        <v>182</v>
      </c>
      <c r="S817" s="240" t="s">
        <v>1118</v>
      </c>
      <c r="T817" s="251"/>
      <c r="U817" s="273"/>
      <c r="V817" s="274" t="s">
        <v>184</v>
      </c>
      <c r="W817" s="274" t="s">
        <v>184</v>
      </c>
      <c r="X817" s="275">
        <v>9</v>
      </c>
      <c r="Y817" s="267" t="s">
        <v>4824</v>
      </c>
      <c r="Z817" s="277" t="s">
        <v>186</v>
      </c>
      <c r="AA817" s="277"/>
      <c r="AB817" s="274"/>
      <c r="AC817" s="296"/>
      <c r="AD817" s="287"/>
      <c r="AE817" s="287"/>
      <c r="AF817" s="288"/>
      <c r="AG817" s="286"/>
      <c r="AH817" s="276"/>
      <c r="AI817" s="276"/>
      <c r="AJ817" s="274" t="s">
        <v>190</v>
      </c>
      <c r="AK817" s="274" t="s">
        <v>190</v>
      </c>
      <c r="AL817" s="274" t="s">
        <v>190</v>
      </c>
      <c r="AM817" s="289" t="s">
        <v>3967</v>
      </c>
      <c r="AN817" s="22">
        <v>182</v>
      </c>
      <c r="AO817" s="22">
        <v>0</v>
      </c>
      <c r="AP817" s="22">
        <v>20</v>
      </c>
      <c r="AQ817" s="22">
        <v>0</v>
      </c>
      <c r="AR817" s="22">
        <v>0</v>
      </c>
      <c r="AS817" s="22">
        <v>7</v>
      </c>
      <c r="AT817" s="22">
        <v>10</v>
      </c>
      <c r="AU817" s="316">
        <f t="shared" si="133"/>
        <v>219</v>
      </c>
      <c r="AV817" s="22">
        <v>190</v>
      </c>
      <c r="AW817" s="22">
        <v>0</v>
      </c>
      <c r="AX817" s="22">
        <v>20</v>
      </c>
      <c r="AY817" s="22">
        <v>0</v>
      </c>
      <c r="AZ817" s="22">
        <v>0</v>
      </c>
      <c r="BA817" s="22">
        <v>7</v>
      </c>
      <c r="BB817" s="22">
        <v>10</v>
      </c>
      <c r="BC817" s="316">
        <f t="shared" si="134"/>
        <v>227</v>
      </c>
      <c r="BD817" s="58">
        <f t="shared" si="135"/>
        <v>8</v>
      </c>
      <c r="BE817" s="58">
        <f t="shared" si="136"/>
        <v>0</v>
      </c>
      <c r="BF817" s="58">
        <f t="shared" si="137"/>
        <v>0</v>
      </c>
      <c r="BG817" s="58">
        <f t="shared" si="138"/>
        <v>0</v>
      </c>
      <c r="BH817" s="58">
        <f t="shared" si="139"/>
        <v>0</v>
      </c>
      <c r="BI817" s="58">
        <f t="shared" si="140"/>
        <v>0</v>
      </c>
      <c r="BJ817" s="58">
        <f t="shared" si="141"/>
        <v>0</v>
      </c>
      <c r="BK817" s="58">
        <f t="shared" si="142"/>
        <v>8</v>
      </c>
    </row>
    <row r="818" spans="1:63" ht="27" customHeight="1">
      <c r="A818" s="238">
        <f t="shared" si="143"/>
        <v>816</v>
      </c>
      <c r="B818" s="239"/>
      <c r="C818" s="266">
        <v>3505</v>
      </c>
      <c r="D818" s="241" t="s">
        <v>4825</v>
      </c>
      <c r="E818" s="267" t="s">
        <v>4826</v>
      </c>
      <c r="F818" s="268" t="s">
        <v>3673</v>
      </c>
      <c r="G818" s="269" t="s">
        <v>4827</v>
      </c>
      <c r="H818" s="245" t="s">
        <v>3997</v>
      </c>
      <c r="I818" s="246" t="s">
        <v>4828</v>
      </c>
      <c r="J818" s="270" t="s">
        <v>178</v>
      </c>
      <c r="K818" s="271">
        <v>35857</v>
      </c>
      <c r="L818" s="249" t="s">
        <v>179</v>
      </c>
      <c r="M818" s="272">
        <v>43747</v>
      </c>
      <c r="N818" s="272"/>
      <c r="O818" s="240" t="s">
        <v>3978</v>
      </c>
      <c r="P818" s="238" t="s">
        <v>3754</v>
      </c>
      <c r="Q818" s="238" t="s">
        <v>249</v>
      </c>
      <c r="R818" s="240" t="s">
        <v>182</v>
      </c>
      <c r="S818" s="240" t="s">
        <v>183</v>
      </c>
      <c r="T818" s="251"/>
      <c r="U818" s="273"/>
      <c r="V818" s="274" t="s">
        <v>184</v>
      </c>
      <c r="W818" s="274" t="s">
        <v>184</v>
      </c>
      <c r="X818" s="275">
        <v>10</v>
      </c>
      <c r="Y818" s="267" t="s">
        <v>4829</v>
      </c>
      <c r="Z818" s="277"/>
      <c r="AA818" s="277" t="s">
        <v>186</v>
      </c>
      <c r="AB818" s="274"/>
      <c r="AC818" s="296"/>
      <c r="AD818" s="288"/>
      <c r="AE818" s="287"/>
      <c r="AF818" s="287"/>
      <c r="AG818" s="286"/>
      <c r="AH818" s="276"/>
      <c r="AI818" s="276"/>
      <c r="AJ818" s="274" t="s">
        <v>203</v>
      </c>
      <c r="AK818" s="274" t="s">
        <v>190</v>
      </c>
      <c r="AL818" s="274" t="s">
        <v>190</v>
      </c>
      <c r="AM818" s="260" t="s">
        <v>4830</v>
      </c>
      <c r="AN818" s="22">
        <v>182</v>
      </c>
      <c r="AO818" s="22">
        <v>0</v>
      </c>
      <c r="AP818" s="22">
        <v>20</v>
      </c>
      <c r="AQ818" s="22">
        <v>0</v>
      </c>
      <c r="AR818" s="22">
        <v>0</v>
      </c>
      <c r="AS818" s="22">
        <v>7</v>
      </c>
      <c r="AT818" s="22">
        <v>10</v>
      </c>
      <c r="AU818" s="316">
        <f t="shared" si="133"/>
        <v>219</v>
      </c>
      <c r="AV818" s="22">
        <v>190</v>
      </c>
      <c r="AW818" s="22">
        <v>0</v>
      </c>
      <c r="AX818" s="22">
        <v>20</v>
      </c>
      <c r="AY818" s="22">
        <v>0</v>
      </c>
      <c r="AZ818" s="22">
        <v>0</v>
      </c>
      <c r="BA818" s="22">
        <v>7</v>
      </c>
      <c r="BB818" s="22">
        <v>10</v>
      </c>
      <c r="BC818" s="316">
        <f t="shared" si="134"/>
        <v>227</v>
      </c>
      <c r="BD818" s="58">
        <f t="shared" si="135"/>
        <v>8</v>
      </c>
      <c r="BE818" s="58">
        <f t="shared" si="136"/>
        <v>0</v>
      </c>
      <c r="BF818" s="58">
        <f t="shared" si="137"/>
        <v>0</v>
      </c>
      <c r="BG818" s="58">
        <f t="shared" si="138"/>
        <v>0</v>
      </c>
      <c r="BH818" s="58">
        <f t="shared" si="139"/>
        <v>0</v>
      </c>
      <c r="BI818" s="58">
        <f t="shared" si="140"/>
        <v>0</v>
      </c>
      <c r="BJ818" s="58">
        <f t="shared" si="141"/>
        <v>0</v>
      </c>
      <c r="BK818" s="58">
        <f t="shared" si="142"/>
        <v>8</v>
      </c>
    </row>
    <row r="819" spans="1:63" ht="27" customHeight="1">
      <c r="A819" s="238">
        <f t="shared" si="143"/>
        <v>817</v>
      </c>
      <c r="B819" s="239"/>
      <c r="C819" s="266">
        <v>3235</v>
      </c>
      <c r="D819" s="241" t="s">
        <v>4831</v>
      </c>
      <c r="E819" s="267" t="s">
        <v>4832</v>
      </c>
      <c r="F819" s="268" t="s">
        <v>3328</v>
      </c>
      <c r="G819" s="269" t="s">
        <v>4833</v>
      </c>
      <c r="H819" s="245" t="s">
        <v>4834</v>
      </c>
      <c r="I819" s="246" t="s">
        <v>4835</v>
      </c>
      <c r="J819" s="270" t="s">
        <v>209</v>
      </c>
      <c r="K819" s="271">
        <v>36755</v>
      </c>
      <c r="L819" s="249" t="s">
        <v>179</v>
      </c>
      <c r="M819" s="272">
        <v>43741</v>
      </c>
      <c r="N819" s="272"/>
      <c r="O819" s="240" t="s">
        <v>4037</v>
      </c>
      <c r="P819" s="238" t="s">
        <v>3770</v>
      </c>
      <c r="Q819" s="238" t="s">
        <v>249</v>
      </c>
      <c r="R819" s="240" t="s">
        <v>182</v>
      </c>
      <c r="S819" s="240" t="s">
        <v>219</v>
      </c>
      <c r="T819" s="251"/>
      <c r="U819" s="273"/>
      <c r="V819" s="274" t="s">
        <v>184</v>
      </c>
      <c r="W819" s="274" t="s">
        <v>184</v>
      </c>
      <c r="X819" s="275">
        <v>7</v>
      </c>
      <c r="Y819" s="267" t="s">
        <v>4172</v>
      </c>
      <c r="Z819" s="277" t="s">
        <v>186</v>
      </c>
      <c r="AA819" s="277"/>
      <c r="AB819" s="274"/>
      <c r="AC819" s="296"/>
      <c r="AD819" s="287"/>
      <c r="AE819" s="287"/>
      <c r="AF819" s="288"/>
      <c r="AG819" s="286"/>
      <c r="AH819" s="276"/>
      <c r="AI819" s="276"/>
      <c r="AJ819" s="274" t="s">
        <v>190</v>
      </c>
      <c r="AK819" s="274" t="s">
        <v>190</v>
      </c>
      <c r="AL819" s="274" t="s">
        <v>190</v>
      </c>
      <c r="AM819" s="289" t="s">
        <v>3967</v>
      </c>
      <c r="AN819" s="22">
        <v>182</v>
      </c>
      <c r="AO819" s="22">
        <v>0</v>
      </c>
      <c r="AP819" s="22">
        <v>20</v>
      </c>
      <c r="AQ819" s="22">
        <v>0</v>
      </c>
      <c r="AR819" s="22">
        <v>0</v>
      </c>
      <c r="AS819" s="22">
        <v>7</v>
      </c>
      <c r="AT819" s="22">
        <v>10</v>
      </c>
      <c r="AU819" s="316">
        <f t="shared" si="133"/>
        <v>219</v>
      </c>
      <c r="AV819" s="22">
        <v>190</v>
      </c>
      <c r="AW819" s="22">
        <v>0</v>
      </c>
      <c r="AX819" s="22">
        <v>20</v>
      </c>
      <c r="AY819" s="22">
        <v>0</v>
      </c>
      <c r="AZ819" s="22">
        <v>0</v>
      </c>
      <c r="BA819" s="22">
        <v>7</v>
      </c>
      <c r="BB819" s="22">
        <v>10</v>
      </c>
      <c r="BC819" s="316">
        <f t="shared" si="134"/>
        <v>227</v>
      </c>
      <c r="BD819" s="58">
        <f t="shared" si="135"/>
        <v>8</v>
      </c>
      <c r="BE819" s="58">
        <f t="shared" si="136"/>
        <v>0</v>
      </c>
      <c r="BF819" s="58">
        <f t="shared" si="137"/>
        <v>0</v>
      </c>
      <c r="BG819" s="58">
        <f t="shared" si="138"/>
        <v>0</v>
      </c>
      <c r="BH819" s="58">
        <f t="shared" si="139"/>
        <v>0</v>
      </c>
      <c r="BI819" s="58">
        <f t="shared" si="140"/>
        <v>0</v>
      </c>
      <c r="BJ819" s="58">
        <f t="shared" si="141"/>
        <v>0</v>
      </c>
      <c r="BK819" s="58">
        <f t="shared" si="142"/>
        <v>8</v>
      </c>
    </row>
    <row r="820" spans="1:63" ht="27" customHeight="1">
      <c r="A820" s="238">
        <f t="shared" si="143"/>
        <v>818</v>
      </c>
      <c r="B820" s="239"/>
      <c r="C820" s="266">
        <v>3221</v>
      </c>
      <c r="D820" s="284">
        <v>0</v>
      </c>
      <c r="E820" s="267" t="s">
        <v>4836</v>
      </c>
      <c r="F820" s="268" t="s">
        <v>4837</v>
      </c>
      <c r="G820" s="269" t="s">
        <v>4833</v>
      </c>
      <c r="H820" s="245" t="s">
        <v>644</v>
      </c>
      <c r="I820" s="246" t="s">
        <v>4835</v>
      </c>
      <c r="J820" s="270" t="s">
        <v>209</v>
      </c>
      <c r="K820" s="271">
        <v>36758</v>
      </c>
      <c r="L820" s="249" t="s">
        <v>179</v>
      </c>
      <c r="M820" s="272">
        <v>43742</v>
      </c>
      <c r="N820" s="272"/>
      <c r="O820" s="240" t="s">
        <v>3983</v>
      </c>
      <c r="P820" s="238" t="s">
        <v>2821</v>
      </c>
      <c r="Q820" s="238" t="s">
        <v>249</v>
      </c>
      <c r="R820" s="240" t="s">
        <v>182</v>
      </c>
      <c r="S820" s="240" t="s">
        <v>256</v>
      </c>
      <c r="T820" s="251"/>
      <c r="U820" s="273"/>
      <c r="V820" s="274" t="s">
        <v>184</v>
      </c>
      <c r="W820" s="274" t="s">
        <v>184</v>
      </c>
      <c r="X820" s="275">
        <v>7</v>
      </c>
      <c r="Y820" s="267" t="s">
        <v>4838</v>
      </c>
      <c r="Z820" s="277" t="s">
        <v>186</v>
      </c>
      <c r="AA820" s="277"/>
      <c r="AB820" s="274"/>
      <c r="AC820" s="296"/>
      <c r="AD820" s="287"/>
      <c r="AE820" s="287"/>
      <c r="AF820" s="288"/>
      <c r="AG820" s="286"/>
      <c r="AH820" s="276"/>
      <c r="AI820" s="276"/>
      <c r="AJ820" s="274" t="s">
        <v>203</v>
      </c>
      <c r="AK820" s="274" t="s">
        <v>190</v>
      </c>
      <c r="AL820" s="274" t="s">
        <v>190</v>
      </c>
      <c r="AM820" s="260" t="s">
        <v>3916</v>
      </c>
      <c r="AN820" s="22">
        <v>182</v>
      </c>
      <c r="AO820" s="22">
        <v>0</v>
      </c>
      <c r="AP820" s="22">
        <v>20</v>
      </c>
      <c r="AQ820" s="22">
        <v>0</v>
      </c>
      <c r="AR820" s="22">
        <v>0</v>
      </c>
      <c r="AS820" s="22">
        <v>7</v>
      </c>
      <c r="AT820" s="22">
        <v>10</v>
      </c>
      <c r="AU820" s="316">
        <f t="shared" si="133"/>
        <v>219</v>
      </c>
      <c r="AV820" s="22">
        <v>190</v>
      </c>
      <c r="AW820" s="22">
        <v>0</v>
      </c>
      <c r="AX820" s="22">
        <v>20</v>
      </c>
      <c r="AY820" s="22">
        <v>0</v>
      </c>
      <c r="AZ820" s="22">
        <v>0</v>
      </c>
      <c r="BA820" s="22">
        <v>7</v>
      </c>
      <c r="BB820" s="22">
        <v>10</v>
      </c>
      <c r="BC820" s="316">
        <f t="shared" si="134"/>
        <v>227</v>
      </c>
      <c r="BD820" s="58">
        <f t="shared" si="135"/>
        <v>8</v>
      </c>
      <c r="BE820" s="58">
        <f t="shared" si="136"/>
        <v>0</v>
      </c>
      <c r="BF820" s="58">
        <f t="shared" si="137"/>
        <v>0</v>
      </c>
      <c r="BG820" s="58">
        <f t="shared" si="138"/>
        <v>0</v>
      </c>
      <c r="BH820" s="58">
        <f t="shared" si="139"/>
        <v>0</v>
      </c>
      <c r="BI820" s="58">
        <f t="shared" si="140"/>
        <v>0</v>
      </c>
      <c r="BJ820" s="58">
        <f t="shared" si="141"/>
        <v>0</v>
      </c>
      <c r="BK820" s="58">
        <f t="shared" si="142"/>
        <v>8</v>
      </c>
    </row>
    <row r="821" spans="1:63" ht="27" customHeight="1">
      <c r="A821" s="238">
        <f t="shared" si="143"/>
        <v>819</v>
      </c>
      <c r="B821" s="239"/>
      <c r="C821" s="266">
        <v>3222</v>
      </c>
      <c r="D821" s="280" t="s">
        <v>4839</v>
      </c>
      <c r="E821" s="267" t="s">
        <v>4840</v>
      </c>
      <c r="F821" s="268" t="s">
        <v>2990</v>
      </c>
      <c r="G821" s="269" t="s">
        <v>3696</v>
      </c>
      <c r="H821" s="245" t="s">
        <v>4814</v>
      </c>
      <c r="I821" s="246" t="s">
        <v>4841</v>
      </c>
      <c r="J821" s="270" t="s">
        <v>209</v>
      </c>
      <c r="K821" s="271">
        <v>36220</v>
      </c>
      <c r="L821" s="249" t="s">
        <v>179</v>
      </c>
      <c r="M821" s="272">
        <v>43742</v>
      </c>
      <c r="N821" s="272"/>
      <c r="O821" s="240" t="s">
        <v>3983</v>
      </c>
      <c r="P821" s="238" t="s">
        <v>2821</v>
      </c>
      <c r="Q821" s="238" t="s">
        <v>249</v>
      </c>
      <c r="R821" s="240" t="s">
        <v>182</v>
      </c>
      <c r="S821" s="240" t="s">
        <v>228</v>
      </c>
      <c r="T821" s="251"/>
      <c r="U821" s="273"/>
      <c r="V821" s="274" t="s">
        <v>184</v>
      </c>
      <c r="W821" s="274" t="s">
        <v>184</v>
      </c>
      <c r="X821" s="275">
        <v>9</v>
      </c>
      <c r="Y821" s="267" t="s">
        <v>4842</v>
      </c>
      <c r="Z821" s="277"/>
      <c r="AA821" s="277" t="s">
        <v>186</v>
      </c>
      <c r="AB821" s="274"/>
      <c r="AC821" s="296"/>
      <c r="AD821" s="287"/>
      <c r="AE821" s="287"/>
      <c r="AF821" s="288"/>
      <c r="AG821" s="286"/>
      <c r="AH821" s="276"/>
      <c r="AI821" s="276"/>
      <c r="AJ821" s="274" t="s">
        <v>203</v>
      </c>
      <c r="AK821" s="274" t="s">
        <v>190</v>
      </c>
      <c r="AL821" s="274" t="s">
        <v>190</v>
      </c>
      <c r="AM821" s="260" t="s">
        <v>3859</v>
      </c>
      <c r="AN821" s="22">
        <v>182</v>
      </c>
      <c r="AO821" s="22">
        <v>0</v>
      </c>
      <c r="AP821" s="22">
        <v>20</v>
      </c>
      <c r="AQ821" s="22">
        <v>0</v>
      </c>
      <c r="AR821" s="22">
        <v>0</v>
      </c>
      <c r="AS821" s="22">
        <v>7</v>
      </c>
      <c r="AT821" s="22">
        <v>10</v>
      </c>
      <c r="AU821" s="316">
        <f t="shared" si="133"/>
        <v>219</v>
      </c>
      <c r="AV821" s="22">
        <v>190</v>
      </c>
      <c r="AW821" s="22">
        <v>0</v>
      </c>
      <c r="AX821" s="22">
        <v>20</v>
      </c>
      <c r="AY821" s="22">
        <v>0</v>
      </c>
      <c r="AZ821" s="22">
        <v>0</v>
      </c>
      <c r="BA821" s="22">
        <v>7</v>
      </c>
      <c r="BB821" s="22">
        <v>10</v>
      </c>
      <c r="BC821" s="316">
        <f t="shared" si="134"/>
        <v>227</v>
      </c>
      <c r="BD821" s="58">
        <f t="shared" si="135"/>
        <v>8</v>
      </c>
      <c r="BE821" s="58">
        <f t="shared" si="136"/>
        <v>0</v>
      </c>
      <c r="BF821" s="58">
        <f t="shared" si="137"/>
        <v>0</v>
      </c>
      <c r="BG821" s="58">
        <f t="shared" si="138"/>
        <v>0</v>
      </c>
      <c r="BH821" s="58">
        <f t="shared" si="139"/>
        <v>0</v>
      </c>
      <c r="BI821" s="58">
        <f t="shared" si="140"/>
        <v>0</v>
      </c>
      <c r="BJ821" s="58">
        <f t="shared" si="141"/>
        <v>0</v>
      </c>
      <c r="BK821" s="58">
        <f t="shared" si="142"/>
        <v>8</v>
      </c>
    </row>
    <row r="822" spans="1:63" ht="27" customHeight="1">
      <c r="A822" s="238">
        <f t="shared" si="143"/>
        <v>820</v>
      </c>
      <c r="B822" s="239"/>
      <c r="C822" s="266">
        <v>3218</v>
      </c>
      <c r="D822" s="241" t="s">
        <v>4843</v>
      </c>
      <c r="E822" s="267" t="s">
        <v>4844</v>
      </c>
      <c r="F822" s="268" t="s">
        <v>896</v>
      </c>
      <c r="G822" s="269" t="s">
        <v>4845</v>
      </c>
      <c r="H822" s="245" t="s">
        <v>898</v>
      </c>
      <c r="I822" s="246" t="s">
        <v>868</v>
      </c>
      <c r="J822" s="270" t="s">
        <v>209</v>
      </c>
      <c r="K822" s="271">
        <v>34616</v>
      </c>
      <c r="L822" s="249" t="s">
        <v>179</v>
      </c>
      <c r="M822" s="272">
        <v>43741</v>
      </c>
      <c r="N822" s="272"/>
      <c r="O822" s="240" t="s">
        <v>4024</v>
      </c>
      <c r="P822" s="238" t="s">
        <v>2821</v>
      </c>
      <c r="Q822" s="238" t="s">
        <v>249</v>
      </c>
      <c r="R822" s="240" t="s">
        <v>182</v>
      </c>
      <c r="S822" s="240" t="s">
        <v>211</v>
      </c>
      <c r="T822" s="251"/>
      <c r="U822" s="273"/>
      <c r="V822" s="274" t="s">
        <v>184</v>
      </c>
      <c r="W822" s="274" t="s">
        <v>184</v>
      </c>
      <c r="X822" s="275">
        <v>5</v>
      </c>
      <c r="Y822" s="267" t="s">
        <v>4846</v>
      </c>
      <c r="Z822" s="277"/>
      <c r="AA822" s="277" t="s">
        <v>186</v>
      </c>
      <c r="AB822" s="274"/>
      <c r="AC822" s="296"/>
      <c r="AD822" s="287"/>
      <c r="AE822" s="287"/>
      <c r="AF822" s="288"/>
      <c r="AG822" s="286"/>
      <c r="AH822" s="276"/>
      <c r="AI822" s="276"/>
      <c r="AJ822" s="274" t="s">
        <v>203</v>
      </c>
      <c r="AK822" s="274" t="s">
        <v>190</v>
      </c>
      <c r="AL822" s="274" t="s">
        <v>190</v>
      </c>
      <c r="AM822" s="260" t="s">
        <v>3859</v>
      </c>
      <c r="AN822" s="22">
        <v>182</v>
      </c>
      <c r="AO822" s="22">
        <v>0</v>
      </c>
      <c r="AP822" s="22">
        <v>20</v>
      </c>
      <c r="AQ822" s="22">
        <v>0</v>
      </c>
      <c r="AR822" s="22">
        <v>0</v>
      </c>
      <c r="AS822" s="22">
        <v>7</v>
      </c>
      <c r="AT822" s="22">
        <v>10</v>
      </c>
      <c r="AU822" s="316">
        <f t="shared" si="133"/>
        <v>219</v>
      </c>
      <c r="AV822" s="22">
        <v>190</v>
      </c>
      <c r="AW822" s="22">
        <v>0</v>
      </c>
      <c r="AX822" s="22">
        <v>20</v>
      </c>
      <c r="AY822" s="22">
        <v>0</v>
      </c>
      <c r="AZ822" s="22">
        <v>0</v>
      </c>
      <c r="BA822" s="22">
        <v>7</v>
      </c>
      <c r="BB822" s="22">
        <v>10</v>
      </c>
      <c r="BC822" s="316">
        <f t="shared" si="134"/>
        <v>227</v>
      </c>
      <c r="BD822" s="58">
        <f t="shared" si="135"/>
        <v>8</v>
      </c>
      <c r="BE822" s="58">
        <f t="shared" si="136"/>
        <v>0</v>
      </c>
      <c r="BF822" s="58">
        <f t="shared" si="137"/>
        <v>0</v>
      </c>
      <c r="BG822" s="58">
        <f t="shared" si="138"/>
        <v>0</v>
      </c>
      <c r="BH822" s="58">
        <f t="shared" si="139"/>
        <v>0</v>
      </c>
      <c r="BI822" s="58">
        <f t="shared" si="140"/>
        <v>0</v>
      </c>
      <c r="BJ822" s="58">
        <f t="shared" si="141"/>
        <v>0</v>
      </c>
      <c r="BK822" s="58">
        <f t="shared" si="142"/>
        <v>8</v>
      </c>
    </row>
    <row r="823" spans="1:63" ht="27" customHeight="1">
      <c r="A823" s="238">
        <f t="shared" si="143"/>
        <v>821</v>
      </c>
      <c r="B823" s="239"/>
      <c r="C823" s="266">
        <v>3591</v>
      </c>
      <c r="D823" s="241" t="s">
        <v>4847</v>
      </c>
      <c r="E823" s="267" t="s">
        <v>4848</v>
      </c>
      <c r="F823" s="268" t="s">
        <v>4849</v>
      </c>
      <c r="G823" s="269" t="s">
        <v>1862</v>
      </c>
      <c r="H823" s="245" t="s">
        <v>4726</v>
      </c>
      <c r="I823" s="246" t="s">
        <v>1864</v>
      </c>
      <c r="J823" s="270" t="s">
        <v>178</v>
      </c>
      <c r="K823" s="271">
        <v>37140</v>
      </c>
      <c r="L823" s="249" t="s">
        <v>179</v>
      </c>
      <c r="M823" s="272">
        <v>43749</v>
      </c>
      <c r="N823" s="272"/>
      <c r="O823" s="240"/>
      <c r="P823" s="238" t="s">
        <v>3634</v>
      </c>
      <c r="Q823" s="238" t="s">
        <v>249</v>
      </c>
      <c r="R823" s="240" t="s">
        <v>182</v>
      </c>
      <c r="S823" s="240" t="s">
        <v>4202</v>
      </c>
      <c r="T823" s="251"/>
      <c r="U823" s="273"/>
      <c r="V823" s="274" t="s">
        <v>184</v>
      </c>
      <c r="W823" s="274" t="s">
        <v>184</v>
      </c>
      <c r="X823" s="275">
        <v>5</v>
      </c>
      <c r="Y823" s="267" t="s">
        <v>4850</v>
      </c>
      <c r="Z823" s="277" t="s">
        <v>186</v>
      </c>
      <c r="AA823" s="277"/>
      <c r="AB823" s="274"/>
      <c r="AC823" s="296"/>
      <c r="AD823" s="287"/>
      <c r="AE823" s="287"/>
      <c r="AF823" s="288"/>
      <c r="AG823" s="286"/>
      <c r="AH823" s="276"/>
      <c r="AI823" s="276"/>
      <c r="AJ823" s="274" t="s">
        <v>203</v>
      </c>
      <c r="AK823" s="274" t="s">
        <v>190</v>
      </c>
      <c r="AL823" s="274" t="s">
        <v>190</v>
      </c>
      <c r="AM823" s="260" t="s">
        <v>3859</v>
      </c>
      <c r="AN823" s="22">
        <v>182</v>
      </c>
      <c r="AO823" s="22">
        <v>0</v>
      </c>
      <c r="AP823" s="22">
        <v>20</v>
      </c>
      <c r="AQ823" s="22">
        <v>0</v>
      </c>
      <c r="AR823" s="22">
        <v>0</v>
      </c>
      <c r="AS823" s="22">
        <v>7</v>
      </c>
      <c r="AT823" s="22">
        <v>10</v>
      </c>
      <c r="AU823" s="316">
        <f t="shared" si="133"/>
        <v>219</v>
      </c>
      <c r="AV823" s="22">
        <v>190</v>
      </c>
      <c r="AW823" s="22">
        <v>0</v>
      </c>
      <c r="AX823" s="22">
        <v>20</v>
      </c>
      <c r="AY823" s="22">
        <v>0</v>
      </c>
      <c r="AZ823" s="22">
        <v>0</v>
      </c>
      <c r="BA823" s="22">
        <v>7</v>
      </c>
      <c r="BB823" s="22">
        <v>10</v>
      </c>
      <c r="BC823" s="316">
        <f t="shared" si="134"/>
        <v>227</v>
      </c>
      <c r="BD823" s="58">
        <f t="shared" si="135"/>
        <v>8</v>
      </c>
      <c r="BE823" s="58">
        <f t="shared" si="136"/>
        <v>0</v>
      </c>
      <c r="BF823" s="58">
        <f t="shared" si="137"/>
        <v>0</v>
      </c>
      <c r="BG823" s="58">
        <f t="shared" si="138"/>
        <v>0</v>
      </c>
      <c r="BH823" s="58">
        <f t="shared" si="139"/>
        <v>0</v>
      </c>
      <c r="BI823" s="58">
        <f t="shared" si="140"/>
        <v>0</v>
      </c>
      <c r="BJ823" s="58">
        <f t="shared" si="141"/>
        <v>0</v>
      </c>
      <c r="BK823" s="58">
        <f t="shared" si="142"/>
        <v>8</v>
      </c>
    </row>
    <row r="824" spans="1:63" ht="27" customHeight="1">
      <c r="A824" s="238">
        <f t="shared" si="143"/>
        <v>822</v>
      </c>
      <c r="B824" s="239"/>
      <c r="C824" s="266">
        <v>3527</v>
      </c>
      <c r="D824" s="241" t="s">
        <v>4851</v>
      </c>
      <c r="E824" s="267" t="s">
        <v>296</v>
      </c>
      <c r="F824" s="268" t="s">
        <v>1796</v>
      </c>
      <c r="G824" s="269" t="s">
        <v>4852</v>
      </c>
      <c r="H824" s="245" t="s">
        <v>1798</v>
      </c>
      <c r="I824" s="246" t="s">
        <v>4853</v>
      </c>
      <c r="J824" s="270" t="s">
        <v>209</v>
      </c>
      <c r="K824" s="271">
        <v>37173</v>
      </c>
      <c r="L824" s="249" t="s">
        <v>179</v>
      </c>
      <c r="M824" s="272">
        <v>43745</v>
      </c>
      <c r="N824" s="272"/>
      <c r="O824" s="240" t="s">
        <v>3958</v>
      </c>
      <c r="P824" s="238" t="s">
        <v>3959</v>
      </c>
      <c r="Q824" s="238" t="s">
        <v>249</v>
      </c>
      <c r="R824" s="240" t="s">
        <v>3960</v>
      </c>
      <c r="S824" s="240" t="s">
        <v>256</v>
      </c>
      <c r="T824" s="251" t="s">
        <v>4854</v>
      </c>
      <c r="U824" s="273">
        <v>43789</v>
      </c>
      <c r="V824" s="274" t="s">
        <v>184</v>
      </c>
      <c r="W824" s="274" t="s">
        <v>184</v>
      </c>
      <c r="X824" s="275">
        <v>9</v>
      </c>
      <c r="Y824" s="267" t="s">
        <v>4855</v>
      </c>
      <c r="Z824" s="277" t="s">
        <v>186</v>
      </c>
      <c r="AA824" s="277"/>
      <c r="AB824" s="274"/>
      <c r="AC824" s="296"/>
      <c r="AD824" s="287"/>
      <c r="AE824" s="287"/>
      <c r="AF824" s="288"/>
      <c r="AG824" s="286"/>
      <c r="AH824" s="276"/>
      <c r="AI824" s="276"/>
      <c r="AJ824" s="274" t="s">
        <v>203</v>
      </c>
      <c r="AK824" s="274" t="s">
        <v>190</v>
      </c>
      <c r="AL824" s="274" t="s">
        <v>190</v>
      </c>
      <c r="AM824" s="260" t="s">
        <v>3859</v>
      </c>
      <c r="AN824" s="22">
        <v>182</v>
      </c>
      <c r="AO824" s="22">
        <v>0</v>
      </c>
      <c r="AP824" s="22">
        <v>0</v>
      </c>
      <c r="AQ824" s="22">
        <v>0</v>
      </c>
      <c r="AR824" s="22">
        <v>0</v>
      </c>
      <c r="AS824" s="22">
        <v>7</v>
      </c>
      <c r="AT824" s="22">
        <v>10</v>
      </c>
      <c r="AU824" s="316">
        <f t="shared" si="133"/>
        <v>199</v>
      </c>
      <c r="AV824" s="22">
        <v>190</v>
      </c>
      <c r="AW824" s="22">
        <v>0</v>
      </c>
      <c r="AX824" s="22">
        <v>0</v>
      </c>
      <c r="AY824" s="22">
        <v>0</v>
      </c>
      <c r="AZ824" s="22">
        <v>0</v>
      </c>
      <c r="BA824" s="22">
        <v>7</v>
      </c>
      <c r="BB824" s="22">
        <v>10</v>
      </c>
      <c r="BC824" s="316">
        <f t="shared" si="134"/>
        <v>207</v>
      </c>
      <c r="BD824" s="58">
        <f t="shared" si="135"/>
        <v>8</v>
      </c>
      <c r="BE824" s="58">
        <f t="shared" si="136"/>
        <v>0</v>
      </c>
      <c r="BF824" s="58">
        <f t="shared" si="137"/>
        <v>0</v>
      </c>
      <c r="BG824" s="58">
        <f t="shared" si="138"/>
        <v>0</v>
      </c>
      <c r="BH824" s="58">
        <f t="shared" si="139"/>
        <v>0</v>
      </c>
      <c r="BI824" s="58">
        <f t="shared" si="140"/>
        <v>0</v>
      </c>
      <c r="BJ824" s="58">
        <f t="shared" si="141"/>
        <v>0</v>
      </c>
      <c r="BK824" s="58">
        <f t="shared" si="142"/>
        <v>8</v>
      </c>
    </row>
    <row r="825" spans="1:63" ht="27" customHeight="1">
      <c r="A825" s="238">
        <f t="shared" si="143"/>
        <v>823</v>
      </c>
      <c r="B825" s="239"/>
      <c r="C825" s="266">
        <v>3528</v>
      </c>
      <c r="D825" s="241" t="s">
        <v>4856</v>
      </c>
      <c r="E825" s="267" t="s">
        <v>4857</v>
      </c>
      <c r="F825" s="268" t="s">
        <v>4858</v>
      </c>
      <c r="G825" s="269" t="s">
        <v>4859</v>
      </c>
      <c r="H825" s="245" t="s">
        <v>4860</v>
      </c>
      <c r="I825" s="246" t="s">
        <v>4861</v>
      </c>
      <c r="J825" s="270" t="s">
        <v>209</v>
      </c>
      <c r="K825" s="271">
        <v>36555</v>
      </c>
      <c r="L825" s="249" t="s">
        <v>179</v>
      </c>
      <c r="M825" s="272">
        <v>43745</v>
      </c>
      <c r="N825" s="272"/>
      <c r="O825" s="240" t="s">
        <v>4024</v>
      </c>
      <c r="P825" s="238" t="s">
        <v>3775</v>
      </c>
      <c r="Q825" s="238" t="s">
        <v>249</v>
      </c>
      <c r="R825" s="240" t="s">
        <v>182</v>
      </c>
      <c r="S825" s="240" t="s">
        <v>228</v>
      </c>
      <c r="T825" s="251"/>
      <c r="U825" s="273"/>
      <c r="V825" s="274" t="s">
        <v>184</v>
      </c>
      <c r="W825" s="274" t="s">
        <v>184</v>
      </c>
      <c r="X825" s="275">
        <v>9</v>
      </c>
      <c r="Y825" s="267" t="s">
        <v>4855</v>
      </c>
      <c r="Z825" s="277" t="s">
        <v>186</v>
      </c>
      <c r="AA825" s="277"/>
      <c r="AB825" s="274"/>
      <c r="AC825" s="296"/>
      <c r="AD825" s="287"/>
      <c r="AE825" s="287"/>
      <c r="AF825" s="288"/>
      <c r="AG825" s="286"/>
      <c r="AH825" s="276"/>
      <c r="AI825" s="276"/>
      <c r="AJ825" s="274" t="s">
        <v>203</v>
      </c>
      <c r="AK825" s="274" t="s">
        <v>190</v>
      </c>
      <c r="AL825" s="274" t="s">
        <v>190</v>
      </c>
      <c r="AM825" s="260" t="s">
        <v>3859</v>
      </c>
      <c r="AN825" s="22">
        <v>182</v>
      </c>
      <c r="AO825" s="22">
        <v>0</v>
      </c>
      <c r="AP825" s="22">
        <v>0</v>
      </c>
      <c r="AQ825" s="22">
        <v>0</v>
      </c>
      <c r="AR825" s="22">
        <v>0</v>
      </c>
      <c r="AS825" s="22">
        <v>7</v>
      </c>
      <c r="AT825" s="22">
        <v>10</v>
      </c>
      <c r="AU825" s="316">
        <f t="shared" si="133"/>
        <v>199</v>
      </c>
      <c r="AV825" s="22">
        <v>190</v>
      </c>
      <c r="AW825" s="22">
        <v>0</v>
      </c>
      <c r="AX825" s="22">
        <v>0</v>
      </c>
      <c r="AY825" s="22">
        <v>0</v>
      </c>
      <c r="AZ825" s="22">
        <v>0</v>
      </c>
      <c r="BA825" s="22">
        <v>7</v>
      </c>
      <c r="BB825" s="22">
        <v>10</v>
      </c>
      <c r="BC825" s="316">
        <f t="shared" si="134"/>
        <v>207</v>
      </c>
      <c r="BD825" s="58">
        <f t="shared" si="135"/>
        <v>8</v>
      </c>
      <c r="BE825" s="58">
        <f t="shared" si="136"/>
        <v>0</v>
      </c>
      <c r="BF825" s="58">
        <f t="shared" si="137"/>
        <v>0</v>
      </c>
      <c r="BG825" s="58">
        <f t="shared" si="138"/>
        <v>0</v>
      </c>
      <c r="BH825" s="58">
        <f t="shared" si="139"/>
        <v>0</v>
      </c>
      <c r="BI825" s="58">
        <f t="shared" si="140"/>
        <v>0</v>
      </c>
      <c r="BJ825" s="58">
        <f t="shared" si="141"/>
        <v>0</v>
      </c>
      <c r="BK825" s="58">
        <f t="shared" si="142"/>
        <v>8</v>
      </c>
    </row>
    <row r="826" spans="1:63" ht="27" customHeight="1">
      <c r="A826" s="238">
        <f t="shared" si="143"/>
        <v>824</v>
      </c>
      <c r="B826" s="239"/>
      <c r="C826" s="266">
        <v>3313</v>
      </c>
      <c r="D826" s="280" t="s">
        <v>4862</v>
      </c>
      <c r="E826" s="267" t="s">
        <v>4863</v>
      </c>
      <c r="F826" s="268" t="s">
        <v>1828</v>
      </c>
      <c r="G826" s="269" t="s">
        <v>3117</v>
      </c>
      <c r="H826" s="245" t="s">
        <v>1829</v>
      </c>
      <c r="I826" s="246" t="s">
        <v>3982</v>
      </c>
      <c r="J826" s="270" t="s">
        <v>178</v>
      </c>
      <c r="K826" s="271">
        <v>29313</v>
      </c>
      <c r="L826" s="249" t="s">
        <v>179</v>
      </c>
      <c r="M826" s="272">
        <v>43746</v>
      </c>
      <c r="N826" s="272"/>
      <c r="O826" s="240" t="s">
        <v>3978</v>
      </c>
      <c r="P826" s="238" t="s">
        <v>282</v>
      </c>
      <c r="Q826" s="238" t="s">
        <v>249</v>
      </c>
      <c r="R826" s="240" t="s">
        <v>182</v>
      </c>
      <c r="S826" s="240" t="s">
        <v>219</v>
      </c>
      <c r="T826" s="251"/>
      <c r="U826" s="273"/>
      <c r="V826" s="274" t="s">
        <v>184</v>
      </c>
      <c r="W826" s="274" t="s">
        <v>184</v>
      </c>
      <c r="X826" s="275">
        <v>1</v>
      </c>
      <c r="Y826" s="267" t="s">
        <v>4864</v>
      </c>
      <c r="Z826" s="277"/>
      <c r="AA826" s="277" t="s">
        <v>186</v>
      </c>
      <c r="AB826" s="277"/>
      <c r="AC826" s="296"/>
      <c r="AD826" s="287"/>
      <c r="AE826" s="287"/>
      <c r="AF826" s="288"/>
      <c r="AG826" s="286"/>
      <c r="AH826" s="276"/>
      <c r="AI826" s="276"/>
      <c r="AJ826" s="274" t="s">
        <v>190</v>
      </c>
      <c r="AK826" s="274" t="s">
        <v>190</v>
      </c>
      <c r="AL826" s="274" t="s">
        <v>190</v>
      </c>
      <c r="AM826" s="289" t="s">
        <v>3967</v>
      </c>
      <c r="AN826" s="22">
        <v>182</v>
      </c>
      <c r="AO826" s="22">
        <v>0</v>
      </c>
      <c r="AP826" s="22">
        <v>20</v>
      </c>
      <c r="AQ826" s="22">
        <v>0</v>
      </c>
      <c r="AR826" s="22">
        <v>0</v>
      </c>
      <c r="AS826" s="22">
        <v>7</v>
      </c>
      <c r="AT826" s="22">
        <v>10</v>
      </c>
      <c r="AU826" s="316">
        <f t="shared" si="133"/>
        <v>219</v>
      </c>
      <c r="AV826" s="22">
        <v>190</v>
      </c>
      <c r="AW826" s="22">
        <v>0</v>
      </c>
      <c r="AX826" s="22">
        <v>20</v>
      </c>
      <c r="AY826" s="22">
        <v>0</v>
      </c>
      <c r="AZ826" s="22">
        <v>0</v>
      </c>
      <c r="BA826" s="22">
        <v>7</v>
      </c>
      <c r="BB826" s="22">
        <v>10</v>
      </c>
      <c r="BC826" s="316">
        <f t="shared" si="134"/>
        <v>227</v>
      </c>
      <c r="BD826" s="58">
        <f t="shared" si="135"/>
        <v>8</v>
      </c>
      <c r="BE826" s="58">
        <f t="shared" si="136"/>
        <v>0</v>
      </c>
      <c r="BF826" s="58">
        <f t="shared" si="137"/>
        <v>0</v>
      </c>
      <c r="BG826" s="58">
        <f t="shared" si="138"/>
        <v>0</v>
      </c>
      <c r="BH826" s="58">
        <f t="shared" si="139"/>
        <v>0</v>
      </c>
      <c r="BI826" s="58">
        <f t="shared" si="140"/>
        <v>0</v>
      </c>
      <c r="BJ826" s="58">
        <f t="shared" si="141"/>
        <v>0</v>
      </c>
      <c r="BK826" s="58">
        <f t="shared" si="142"/>
        <v>8</v>
      </c>
    </row>
    <row r="827" spans="1:63" ht="27" customHeight="1">
      <c r="A827" s="238">
        <f t="shared" si="143"/>
        <v>825</v>
      </c>
      <c r="B827" s="239"/>
      <c r="C827" s="266">
        <v>3501</v>
      </c>
      <c r="D827" s="280" t="s">
        <v>4865</v>
      </c>
      <c r="E827" s="267" t="s">
        <v>4866</v>
      </c>
      <c r="F827" s="268" t="s">
        <v>4734</v>
      </c>
      <c r="G827" s="269" t="s">
        <v>4867</v>
      </c>
      <c r="H827" s="245" t="s">
        <v>4735</v>
      </c>
      <c r="I827" s="246" t="s">
        <v>4868</v>
      </c>
      <c r="J827" s="270" t="s">
        <v>209</v>
      </c>
      <c r="K827" s="271">
        <v>36824</v>
      </c>
      <c r="L827" s="249" t="s">
        <v>179</v>
      </c>
      <c r="M827" s="272">
        <v>43747</v>
      </c>
      <c r="N827" s="272"/>
      <c r="O827" s="240" t="s">
        <v>3978</v>
      </c>
      <c r="P827" s="238" t="s">
        <v>3634</v>
      </c>
      <c r="Q827" s="238" t="s">
        <v>249</v>
      </c>
      <c r="R827" s="240" t="s">
        <v>182</v>
      </c>
      <c r="S827" s="240" t="s">
        <v>256</v>
      </c>
      <c r="T827" s="251"/>
      <c r="U827" s="273"/>
      <c r="V827" s="274" t="s">
        <v>184</v>
      </c>
      <c r="W827" s="274" t="s">
        <v>184</v>
      </c>
      <c r="X827" s="275">
        <v>7</v>
      </c>
      <c r="Y827" s="267" t="s">
        <v>4869</v>
      </c>
      <c r="Z827" s="277" t="s">
        <v>186</v>
      </c>
      <c r="AA827" s="277"/>
      <c r="AB827" s="274"/>
      <c r="AC827" s="296"/>
      <c r="AD827" s="287"/>
      <c r="AE827" s="287"/>
      <c r="AF827" s="288"/>
      <c r="AG827" s="286"/>
      <c r="AH827" s="276"/>
      <c r="AI827" s="276"/>
      <c r="AJ827" s="274" t="s">
        <v>203</v>
      </c>
      <c r="AK827" s="274" t="s">
        <v>190</v>
      </c>
      <c r="AL827" s="274" t="s">
        <v>190</v>
      </c>
      <c r="AM827" s="260" t="s">
        <v>3916</v>
      </c>
      <c r="AN827" s="22">
        <v>182</v>
      </c>
      <c r="AO827" s="22">
        <v>0</v>
      </c>
      <c r="AP827" s="22">
        <v>0</v>
      </c>
      <c r="AQ827" s="22">
        <v>0</v>
      </c>
      <c r="AR827" s="22">
        <v>0</v>
      </c>
      <c r="AS827" s="22">
        <v>7</v>
      </c>
      <c r="AT827" s="22">
        <v>10</v>
      </c>
      <c r="AU827" s="316">
        <f t="shared" si="133"/>
        <v>199</v>
      </c>
      <c r="AV827" s="22">
        <v>190</v>
      </c>
      <c r="AW827" s="22">
        <v>0</v>
      </c>
      <c r="AX827" s="22">
        <v>0</v>
      </c>
      <c r="AY827" s="22">
        <v>0</v>
      </c>
      <c r="AZ827" s="22">
        <v>0</v>
      </c>
      <c r="BA827" s="22">
        <v>7</v>
      </c>
      <c r="BB827" s="22">
        <v>10</v>
      </c>
      <c r="BC827" s="316">
        <f t="shared" si="134"/>
        <v>207</v>
      </c>
      <c r="BD827" s="58">
        <f t="shared" si="135"/>
        <v>8</v>
      </c>
      <c r="BE827" s="58">
        <f t="shared" si="136"/>
        <v>0</v>
      </c>
      <c r="BF827" s="58">
        <f t="shared" si="137"/>
        <v>0</v>
      </c>
      <c r="BG827" s="58">
        <f t="shared" si="138"/>
        <v>0</v>
      </c>
      <c r="BH827" s="58">
        <f t="shared" si="139"/>
        <v>0</v>
      </c>
      <c r="BI827" s="58">
        <f t="shared" si="140"/>
        <v>0</v>
      </c>
      <c r="BJ827" s="58">
        <f t="shared" si="141"/>
        <v>0</v>
      </c>
      <c r="BK827" s="58">
        <f t="shared" si="142"/>
        <v>8</v>
      </c>
    </row>
    <row r="828" spans="1:63" ht="27" customHeight="1">
      <c r="A828" s="238">
        <f t="shared" si="143"/>
        <v>826</v>
      </c>
      <c r="B828" s="239"/>
      <c r="C828" s="266">
        <v>3530</v>
      </c>
      <c r="D828" s="241" t="s">
        <v>4870</v>
      </c>
      <c r="E828" s="267" t="s">
        <v>4871</v>
      </c>
      <c r="F828" s="268" t="s">
        <v>1090</v>
      </c>
      <c r="G828" s="269" t="s">
        <v>4872</v>
      </c>
      <c r="H828" s="245" t="s">
        <v>4873</v>
      </c>
      <c r="I828" s="246" t="s">
        <v>4874</v>
      </c>
      <c r="J828" s="270" t="s">
        <v>178</v>
      </c>
      <c r="K828" s="271">
        <v>34070</v>
      </c>
      <c r="L828" s="249" t="s">
        <v>179</v>
      </c>
      <c r="M828" s="272">
        <v>43746</v>
      </c>
      <c r="N828" s="272"/>
      <c r="O828" s="240" t="s">
        <v>4004</v>
      </c>
      <c r="P828" s="238" t="s">
        <v>3833</v>
      </c>
      <c r="Q828" s="238" t="s">
        <v>249</v>
      </c>
      <c r="R828" s="240" t="s">
        <v>182</v>
      </c>
      <c r="S828" s="240" t="s">
        <v>4202</v>
      </c>
      <c r="T828" s="251"/>
      <c r="U828" s="273"/>
      <c r="V828" s="274" t="s">
        <v>184</v>
      </c>
      <c r="W828" s="274" t="s">
        <v>184</v>
      </c>
      <c r="X828" s="275">
        <v>7</v>
      </c>
      <c r="Y828" s="267" t="s">
        <v>4875</v>
      </c>
      <c r="Z828" s="277" t="s">
        <v>186</v>
      </c>
      <c r="AA828" s="277"/>
      <c r="AB828" s="274"/>
      <c r="AC828" s="296"/>
      <c r="AD828" s="287"/>
      <c r="AE828" s="287"/>
      <c r="AF828" s="288"/>
      <c r="AG828" s="286"/>
      <c r="AH828" s="276"/>
      <c r="AI828" s="276"/>
      <c r="AJ828" s="274" t="s">
        <v>203</v>
      </c>
      <c r="AK828" s="274" t="s">
        <v>190</v>
      </c>
      <c r="AL828" s="274" t="s">
        <v>190</v>
      </c>
      <c r="AM828" s="260" t="s">
        <v>3859</v>
      </c>
      <c r="AN828" s="22">
        <v>182</v>
      </c>
      <c r="AO828" s="22">
        <v>0</v>
      </c>
      <c r="AP828" s="22">
        <v>20</v>
      </c>
      <c r="AQ828" s="22">
        <v>0</v>
      </c>
      <c r="AR828" s="22">
        <v>0</v>
      </c>
      <c r="AS828" s="22">
        <v>7</v>
      </c>
      <c r="AT828" s="22">
        <v>10</v>
      </c>
      <c r="AU828" s="316">
        <f t="shared" si="133"/>
        <v>219</v>
      </c>
      <c r="AV828" s="22">
        <v>190</v>
      </c>
      <c r="AW828" s="22">
        <v>0</v>
      </c>
      <c r="AX828" s="22">
        <v>20</v>
      </c>
      <c r="AY828" s="22">
        <v>0</v>
      </c>
      <c r="AZ828" s="22">
        <v>0</v>
      </c>
      <c r="BA828" s="22">
        <v>7</v>
      </c>
      <c r="BB828" s="22">
        <v>10</v>
      </c>
      <c r="BC828" s="316">
        <f t="shared" si="134"/>
        <v>227</v>
      </c>
      <c r="BD828" s="58">
        <f t="shared" si="135"/>
        <v>8</v>
      </c>
      <c r="BE828" s="58">
        <f t="shared" si="136"/>
        <v>0</v>
      </c>
      <c r="BF828" s="58">
        <f t="shared" si="137"/>
        <v>0</v>
      </c>
      <c r="BG828" s="58">
        <f t="shared" si="138"/>
        <v>0</v>
      </c>
      <c r="BH828" s="58">
        <f t="shared" si="139"/>
        <v>0</v>
      </c>
      <c r="BI828" s="58">
        <f t="shared" si="140"/>
        <v>0</v>
      </c>
      <c r="BJ828" s="58">
        <f t="shared" si="141"/>
        <v>0</v>
      </c>
      <c r="BK828" s="58">
        <f t="shared" si="142"/>
        <v>8</v>
      </c>
    </row>
    <row r="829" spans="1:63" ht="27" customHeight="1">
      <c r="A829" s="238">
        <f t="shared" si="143"/>
        <v>827</v>
      </c>
      <c r="B829" s="239"/>
      <c r="C829" s="266">
        <v>3519</v>
      </c>
      <c r="D829" s="241" t="s">
        <v>4876</v>
      </c>
      <c r="E829" s="267" t="s">
        <v>4877</v>
      </c>
      <c r="F829" s="268" t="s">
        <v>807</v>
      </c>
      <c r="G829" s="269" t="s">
        <v>1021</v>
      </c>
      <c r="H829" s="245" t="s">
        <v>4878</v>
      </c>
      <c r="I829" s="246" t="s">
        <v>4879</v>
      </c>
      <c r="J829" s="270" t="s">
        <v>178</v>
      </c>
      <c r="K829" s="271">
        <v>33380</v>
      </c>
      <c r="L829" s="249" t="s">
        <v>179</v>
      </c>
      <c r="M829" s="272">
        <v>43743</v>
      </c>
      <c r="N829" s="272"/>
      <c r="O829" s="240" t="s">
        <v>4024</v>
      </c>
      <c r="P829" s="238" t="s">
        <v>3649</v>
      </c>
      <c r="Q829" s="238" t="s">
        <v>249</v>
      </c>
      <c r="R829" s="240" t="s">
        <v>182</v>
      </c>
      <c r="S829" s="240" t="s">
        <v>727</v>
      </c>
      <c r="T829" s="251"/>
      <c r="U829" s="273"/>
      <c r="V829" s="274" t="s">
        <v>184</v>
      </c>
      <c r="W829" s="274" t="s">
        <v>184</v>
      </c>
      <c r="X829" s="275"/>
      <c r="Y829" s="267" t="s">
        <v>4880</v>
      </c>
      <c r="Z829" s="277"/>
      <c r="AA829" s="277" t="s">
        <v>186</v>
      </c>
      <c r="AB829" s="274"/>
      <c r="AC829" s="296"/>
      <c r="AD829" s="287"/>
      <c r="AE829" s="287"/>
      <c r="AF829" s="288"/>
      <c r="AG829" s="286"/>
      <c r="AH829" s="276"/>
      <c r="AI829" s="276"/>
      <c r="AJ829" s="274" t="s">
        <v>203</v>
      </c>
      <c r="AK829" s="274" t="s">
        <v>190</v>
      </c>
      <c r="AL829" s="274" t="s">
        <v>190</v>
      </c>
      <c r="AM829" s="260" t="s">
        <v>4830</v>
      </c>
      <c r="AN829" s="22">
        <v>182</v>
      </c>
      <c r="AO829" s="22">
        <v>0</v>
      </c>
      <c r="AP829" s="22">
        <v>20</v>
      </c>
      <c r="AQ829" s="22">
        <v>0</v>
      </c>
      <c r="AR829" s="22">
        <v>0</v>
      </c>
      <c r="AS829" s="22">
        <v>7</v>
      </c>
      <c r="AT829" s="22">
        <v>10</v>
      </c>
      <c r="AU829" s="316">
        <f t="shared" si="133"/>
        <v>219</v>
      </c>
      <c r="AV829" s="22">
        <v>190</v>
      </c>
      <c r="AW829" s="22">
        <v>0</v>
      </c>
      <c r="AX829" s="22">
        <v>20</v>
      </c>
      <c r="AY829" s="22">
        <v>0</v>
      </c>
      <c r="AZ829" s="22">
        <v>0</v>
      </c>
      <c r="BA829" s="22">
        <v>7</v>
      </c>
      <c r="BB829" s="22">
        <v>10</v>
      </c>
      <c r="BC829" s="316">
        <f t="shared" si="134"/>
        <v>227</v>
      </c>
      <c r="BD829" s="58">
        <f t="shared" si="135"/>
        <v>8</v>
      </c>
      <c r="BE829" s="58">
        <f t="shared" si="136"/>
        <v>0</v>
      </c>
      <c r="BF829" s="58">
        <f t="shared" si="137"/>
        <v>0</v>
      </c>
      <c r="BG829" s="58">
        <f t="shared" si="138"/>
        <v>0</v>
      </c>
      <c r="BH829" s="58">
        <f t="shared" si="139"/>
        <v>0</v>
      </c>
      <c r="BI829" s="58">
        <f t="shared" si="140"/>
        <v>0</v>
      </c>
      <c r="BJ829" s="58">
        <f t="shared" si="141"/>
        <v>0</v>
      </c>
      <c r="BK829" s="58">
        <f t="shared" si="142"/>
        <v>8</v>
      </c>
    </row>
    <row r="830" spans="1:63" ht="27" customHeight="1">
      <c r="A830" s="238">
        <f t="shared" si="143"/>
        <v>828</v>
      </c>
      <c r="B830" s="239"/>
      <c r="C830" s="266">
        <v>3534</v>
      </c>
      <c r="D830" s="280" t="s">
        <v>4881</v>
      </c>
      <c r="E830" s="267" t="s">
        <v>4882</v>
      </c>
      <c r="F830" s="268" t="s">
        <v>4883</v>
      </c>
      <c r="G830" s="269" t="s">
        <v>4884</v>
      </c>
      <c r="H830" s="245" t="s">
        <v>4885</v>
      </c>
      <c r="I830" s="246" t="s">
        <v>4886</v>
      </c>
      <c r="J830" s="270" t="s">
        <v>178</v>
      </c>
      <c r="K830" s="271">
        <v>36927</v>
      </c>
      <c r="L830" s="249" t="s">
        <v>179</v>
      </c>
      <c r="M830" s="272">
        <v>43745</v>
      </c>
      <c r="N830" s="272"/>
      <c r="O830" s="240" t="s">
        <v>4090</v>
      </c>
      <c r="P830" s="238" t="s">
        <v>3775</v>
      </c>
      <c r="Q830" s="238" t="s">
        <v>249</v>
      </c>
      <c r="R830" s="240" t="s">
        <v>182</v>
      </c>
      <c r="S830" s="240" t="s">
        <v>183</v>
      </c>
      <c r="T830" s="251"/>
      <c r="U830" s="273"/>
      <c r="V830" s="274" t="s">
        <v>184</v>
      </c>
      <c r="W830" s="274" t="s">
        <v>184</v>
      </c>
      <c r="X830" s="275">
        <v>9</v>
      </c>
      <c r="Y830" s="267" t="s">
        <v>4527</v>
      </c>
      <c r="Z830" s="277"/>
      <c r="AA830" s="277"/>
      <c r="AB830" s="274"/>
      <c r="AC830" s="296"/>
      <c r="AD830" s="287"/>
      <c r="AE830" s="287"/>
      <c r="AF830" s="288"/>
      <c r="AG830" s="286"/>
      <c r="AH830" s="276"/>
      <c r="AI830" s="276"/>
      <c r="AJ830" s="274" t="s">
        <v>203</v>
      </c>
      <c r="AK830" s="274" t="s">
        <v>190</v>
      </c>
      <c r="AL830" s="274" t="s">
        <v>190</v>
      </c>
      <c r="AM830" s="260" t="s">
        <v>241</v>
      </c>
      <c r="AN830" s="22">
        <v>182</v>
      </c>
      <c r="AO830" s="22">
        <v>0</v>
      </c>
      <c r="AP830" s="22">
        <v>20</v>
      </c>
      <c r="AQ830" s="22">
        <v>0</v>
      </c>
      <c r="AR830" s="22">
        <v>0</v>
      </c>
      <c r="AS830" s="22">
        <v>7</v>
      </c>
      <c r="AT830" s="22">
        <v>10</v>
      </c>
      <c r="AU830" s="316">
        <f t="shared" si="133"/>
        <v>219</v>
      </c>
      <c r="AV830" s="22">
        <v>190</v>
      </c>
      <c r="AW830" s="22">
        <v>0</v>
      </c>
      <c r="AX830" s="22">
        <v>20</v>
      </c>
      <c r="AY830" s="22">
        <v>0</v>
      </c>
      <c r="AZ830" s="22">
        <v>0</v>
      </c>
      <c r="BA830" s="22">
        <v>7</v>
      </c>
      <c r="BB830" s="22">
        <v>10</v>
      </c>
      <c r="BC830" s="316">
        <f t="shared" si="134"/>
        <v>227</v>
      </c>
      <c r="BD830" s="58">
        <f t="shared" si="135"/>
        <v>8</v>
      </c>
      <c r="BE830" s="58">
        <f t="shared" si="136"/>
        <v>0</v>
      </c>
      <c r="BF830" s="58">
        <f t="shared" si="137"/>
        <v>0</v>
      </c>
      <c r="BG830" s="58">
        <f t="shared" si="138"/>
        <v>0</v>
      </c>
      <c r="BH830" s="58">
        <f t="shared" si="139"/>
        <v>0</v>
      </c>
      <c r="BI830" s="58">
        <f t="shared" si="140"/>
        <v>0</v>
      </c>
      <c r="BJ830" s="58">
        <f t="shared" si="141"/>
        <v>0</v>
      </c>
      <c r="BK830" s="58">
        <f t="shared" si="142"/>
        <v>8</v>
      </c>
    </row>
    <row r="831" spans="1:63" ht="27" customHeight="1">
      <c r="A831" s="238">
        <f t="shared" si="143"/>
        <v>829</v>
      </c>
      <c r="B831" s="239"/>
      <c r="C831" s="266">
        <v>3575</v>
      </c>
      <c r="D831" s="280" t="s">
        <v>4887</v>
      </c>
      <c r="E831" s="267" t="s">
        <v>4888</v>
      </c>
      <c r="F831" s="268" t="s">
        <v>1123</v>
      </c>
      <c r="G831" s="269" t="s">
        <v>209</v>
      </c>
      <c r="H831" s="245" t="s">
        <v>1125</v>
      </c>
      <c r="I831" s="246" t="s">
        <v>4889</v>
      </c>
      <c r="J831" s="270" t="s">
        <v>209</v>
      </c>
      <c r="K831" s="271">
        <v>33158</v>
      </c>
      <c r="L831" s="249" t="s">
        <v>179</v>
      </c>
      <c r="M831" s="272">
        <v>43746</v>
      </c>
      <c r="N831" s="272"/>
      <c r="O831" s="240" t="s">
        <v>3978</v>
      </c>
      <c r="P831" s="238" t="s">
        <v>3634</v>
      </c>
      <c r="Q831" s="238" t="s">
        <v>249</v>
      </c>
      <c r="R831" s="240" t="s">
        <v>182</v>
      </c>
      <c r="S831" s="240" t="s">
        <v>228</v>
      </c>
      <c r="T831" s="251"/>
      <c r="U831" s="273"/>
      <c r="V831" s="274" t="s">
        <v>184</v>
      </c>
      <c r="W831" s="274" t="s">
        <v>184</v>
      </c>
      <c r="X831" s="275">
        <v>9</v>
      </c>
      <c r="Y831" s="267" t="s">
        <v>4890</v>
      </c>
      <c r="Z831" s="277" t="s">
        <v>186</v>
      </c>
      <c r="AA831" s="277"/>
      <c r="AB831" s="274"/>
      <c r="AC831" s="296"/>
      <c r="AD831" s="287"/>
      <c r="AE831" s="287"/>
      <c r="AF831" s="288"/>
      <c r="AG831" s="286"/>
      <c r="AH831" s="276"/>
      <c r="AI831" s="276"/>
      <c r="AJ831" s="274" t="s">
        <v>190</v>
      </c>
      <c r="AK831" s="274" t="s">
        <v>190</v>
      </c>
      <c r="AL831" s="274" t="s">
        <v>190</v>
      </c>
      <c r="AM831" s="289" t="s">
        <v>3967</v>
      </c>
      <c r="AN831" s="22">
        <v>182</v>
      </c>
      <c r="AO831" s="22">
        <v>0</v>
      </c>
      <c r="AP831" s="22">
        <v>20</v>
      </c>
      <c r="AQ831" s="22">
        <v>0</v>
      </c>
      <c r="AR831" s="22">
        <v>0</v>
      </c>
      <c r="AS831" s="22">
        <v>7</v>
      </c>
      <c r="AT831" s="22">
        <v>10</v>
      </c>
      <c r="AU831" s="316">
        <f t="shared" si="133"/>
        <v>219</v>
      </c>
      <c r="AV831" s="22">
        <v>190</v>
      </c>
      <c r="AW831" s="22">
        <v>0</v>
      </c>
      <c r="AX831" s="22">
        <v>20</v>
      </c>
      <c r="AY831" s="22">
        <v>0</v>
      </c>
      <c r="AZ831" s="22">
        <v>0</v>
      </c>
      <c r="BA831" s="22">
        <v>7</v>
      </c>
      <c r="BB831" s="22">
        <v>10</v>
      </c>
      <c r="BC831" s="316">
        <f t="shared" si="134"/>
        <v>227</v>
      </c>
      <c r="BD831" s="58">
        <f t="shared" si="135"/>
        <v>8</v>
      </c>
      <c r="BE831" s="58">
        <f t="shared" si="136"/>
        <v>0</v>
      </c>
      <c r="BF831" s="58">
        <f t="shared" si="137"/>
        <v>0</v>
      </c>
      <c r="BG831" s="58">
        <f t="shared" si="138"/>
        <v>0</v>
      </c>
      <c r="BH831" s="58">
        <f t="shared" si="139"/>
        <v>0</v>
      </c>
      <c r="BI831" s="58">
        <f t="shared" si="140"/>
        <v>0</v>
      </c>
      <c r="BJ831" s="58">
        <f t="shared" si="141"/>
        <v>0</v>
      </c>
      <c r="BK831" s="58">
        <f t="shared" si="142"/>
        <v>8</v>
      </c>
    </row>
    <row r="832" spans="1:63" ht="27" customHeight="1">
      <c r="A832" s="238">
        <f t="shared" si="143"/>
        <v>830</v>
      </c>
      <c r="B832" s="239"/>
      <c r="C832" s="266">
        <v>3531</v>
      </c>
      <c r="D832" s="241" t="s">
        <v>4891</v>
      </c>
      <c r="E832" s="267" t="s">
        <v>4892</v>
      </c>
      <c r="F832" s="268" t="s">
        <v>3197</v>
      </c>
      <c r="G832" s="269" t="s">
        <v>4893</v>
      </c>
      <c r="H832" s="245" t="s">
        <v>4894</v>
      </c>
      <c r="I832" s="246" t="s">
        <v>4895</v>
      </c>
      <c r="J832" s="270" t="s">
        <v>209</v>
      </c>
      <c r="K832" s="271">
        <v>35735</v>
      </c>
      <c r="L832" s="249" t="s">
        <v>179</v>
      </c>
      <c r="M832" s="272">
        <v>43746</v>
      </c>
      <c r="N832" s="272"/>
      <c r="O832" s="240" t="s">
        <v>4024</v>
      </c>
      <c r="P832" s="238" t="s">
        <v>3940</v>
      </c>
      <c r="Q832" s="238" t="s">
        <v>249</v>
      </c>
      <c r="R832" s="240" t="s">
        <v>182</v>
      </c>
      <c r="S832" s="240" t="s">
        <v>4202</v>
      </c>
      <c r="T832" s="251"/>
      <c r="U832" s="273"/>
      <c r="V832" s="274" t="s">
        <v>184</v>
      </c>
      <c r="W832" s="274" t="s">
        <v>184</v>
      </c>
      <c r="X832" s="275">
        <v>4</v>
      </c>
      <c r="Y832" s="267" t="s">
        <v>4896</v>
      </c>
      <c r="Z832" s="277"/>
      <c r="AA832" s="277" t="s">
        <v>186</v>
      </c>
      <c r="AB832" s="274"/>
      <c r="AC832" s="296"/>
      <c r="AD832" s="287"/>
      <c r="AE832" s="287"/>
      <c r="AF832" s="288"/>
      <c r="AG832" s="286"/>
      <c r="AH832" s="276"/>
      <c r="AI832" s="276"/>
      <c r="AJ832" s="274" t="s">
        <v>203</v>
      </c>
      <c r="AK832" s="274" t="s">
        <v>190</v>
      </c>
      <c r="AL832" s="274" t="s">
        <v>190</v>
      </c>
      <c r="AM832" s="260" t="s">
        <v>3859</v>
      </c>
      <c r="AN832" s="22">
        <v>182</v>
      </c>
      <c r="AO832" s="22">
        <v>0</v>
      </c>
      <c r="AP832" s="22">
        <v>20</v>
      </c>
      <c r="AQ832" s="22">
        <v>0</v>
      </c>
      <c r="AR832" s="22">
        <v>0</v>
      </c>
      <c r="AS832" s="22">
        <v>7</v>
      </c>
      <c r="AT832" s="22">
        <v>10</v>
      </c>
      <c r="AU832" s="316">
        <f t="shared" si="133"/>
        <v>219</v>
      </c>
      <c r="AV832" s="22">
        <v>190</v>
      </c>
      <c r="AW832" s="22">
        <v>0</v>
      </c>
      <c r="AX832" s="22">
        <v>20</v>
      </c>
      <c r="AY832" s="22">
        <v>0</v>
      </c>
      <c r="AZ832" s="22">
        <v>0</v>
      </c>
      <c r="BA832" s="22">
        <v>7</v>
      </c>
      <c r="BB832" s="22">
        <v>10</v>
      </c>
      <c r="BC832" s="316">
        <f t="shared" si="134"/>
        <v>227</v>
      </c>
      <c r="BD832" s="58">
        <f t="shared" si="135"/>
        <v>8</v>
      </c>
      <c r="BE832" s="58">
        <f t="shared" si="136"/>
        <v>0</v>
      </c>
      <c r="BF832" s="58">
        <f t="shared" si="137"/>
        <v>0</v>
      </c>
      <c r="BG832" s="58">
        <f t="shared" si="138"/>
        <v>0</v>
      </c>
      <c r="BH832" s="58">
        <f t="shared" si="139"/>
        <v>0</v>
      </c>
      <c r="BI832" s="58">
        <f t="shared" si="140"/>
        <v>0</v>
      </c>
      <c r="BJ832" s="58">
        <f t="shared" si="141"/>
        <v>0</v>
      </c>
      <c r="BK832" s="58">
        <f t="shared" si="142"/>
        <v>8</v>
      </c>
    </row>
    <row r="833" spans="1:63" ht="27" customHeight="1">
      <c r="A833" s="238">
        <f t="shared" si="143"/>
        <v>831</v>
      </c>
      <c r="B833" s="239"/>
      <c r="C833" s="266">
        <v>3504</v>
      </c>
      <c r="D833" s="241" t="s">
        <v>4897</v>
      </c>
      <c r="E833" s="267" t="s">
        <v>4898</v>
      </c>
      <c r="F833" s="268" t="s">
        <v>527</v>
      </c>
      <c r="G833" s="269" t="s">
        <v>4899</v>
      </c>
      <c r="H833" s="245" t="s">
        <v>529</v>
      </c>
      <c r="I833" s="246" t="s">
        <v>4900</v>
      </c>
      <c r="J833" s="270" t="s">
        <v>209</v>
      </c>
      <c r="K833" s="271">
        <v>35271</v>
      </c>
      <c r="L833" s="249" t="s">
        <v>179</v>
      </c>
      <c r="M833" s="272">
        <v>43742</v>
      </c>
      <c r="N833" s="272"/>
      <c r="O833" s="240" t="s">
        <v>3978</v>
      </c>
      <c r="P833" s="238" t="s">
        <v>3950</v>
      </c>
      <c r="Q833" s="238" t="s">
        <v>249</v>
      </c>
      <c r="R833" s="240" t="s">
        <v>182</v>
      </c>
      <c r="S833" s="240" t="s">
        <v>1206</v>
      </c>
      <c r="T833" s="251"/>
      <c r="U833" s="273"/>
      <c r="V833" s="274" t="s">
        <v>184</v>
      </c>
      <c r="W833" s="274" t="s">
        <v>184</v>
      </c>
      <c r="X833" s="275">
        <v>1</v>
      </c>
      <c r="Y833" s="267" t="s">
        <v>4901</v>
      </c>
      <c r="Z833" s="277" t="s">
        <v>186</v>
      </c>
      <c r="AA833" s="277"/>
      <c r="AB833" s="274"/>
      <c r="AC833" s="296"/>
      <c r="AD833" s="287"/>
      <c r="AE833" s="287"/>
      <c r="AF833" s="288"/>
      <c r="AG833" s="286"/>
      <c r="AH833" s="276"/>
      <c r="AI833" s="276"/>
      <c r="AJ833" s="274" t="s">
        <v>203</v>
      </c>
      <c r="AK833" s="274" t="s">
        <v>190</v>
      </c>
      <c r="AL833" s="274" t="s">
        <v>190</v>
      </c>
      <c r="AM833" s="260" t="s">
        <v>3859</v>
      </c>
      <c r="AN833" s="22">
        <v>182</v>
      </c>
      <c r="AO833" s="22">
        <v>0</v>
      </c>
      <c r="AP833" s="22">
        <v>20</v>
      </c>
      <c r="AQ833" s="22">
        <v>0</v>
      </c>
      <c r="AR833" s="22">
        <v>0</v>
      </c>
      <c r="AS833" s="22">
        <v>7</v>
      </c>
      <c r="AT833" s="22">
        <v>10</v>
      </c>
      <c r="AU833" s="316">
        <f t="shared" si="133"/>
        <v>219</v>
      </c>
      <c r="AV833" s="22">
        <v>190</v>
      </c>
      <c r="AW833" s="22">
        <v>0</v>
      </c>
      <c r="AX833" s="22">
        <v>20</v>
      </c>
      <c r="AY833" s="22">
        <v>0</v>
      </c>
      <c r="AZ833" s="22">
        <v>0</v>
      </c>
      <c r="BA833" s="22">
        <v>7</v>
      </c>
      <c r="BB833" s="22">
        <v>10</v>
      </c>
      <c r="BC833" s="316">
        <f t="shared" si="134"/>
        <v>227</v>
      </c>
      <c r="BD833" s="58">
        <f t="shared" si="135"/>
        <v>8</v>
      </c>
      <c r="BE833" s="58">
        <f t="shared" si="136"/>
        <v>0</v>
      </c>
      <c r="BF833" s="58">
        <f t="shared" si="137"/>
        <v>0</v>
      </c>
      <c r="BG833" s="58">
        <f t="shared" si="138"/>
        <v>0</v>
      </c>
      <c r="BH833" s="58">
        <f t="shared" si="139"/>
        <v>0</v>
      </c>
      <c r="BI833" s="58">
        <f t="shared" si="140"/>
        <v>0</v>
      </c>
      <c r="BJ833" s="58">
        <f t="shared" si="141"/>
        <v>0</v>
      </c>
      <c r="BK833" s="58">
        <f t="shared" si="142"/>
        <v>8</v>
      </c>
    </row>
    <row r="834" spans="1:63" ht="27" customHeight="1">
      <c r="A834" s="238">
        <f t="shared" si="143"/>
        <v>832</v>
      </c>
      <c r="B834" s="239"/>
      <c r="C834" s="266">
        <v>3513</v>
      </c>
      <c r="D834" s="241" t="s">
        <v>4902</v>
      </c>
      <c r="E834" s="267" t="s">
        <v>4903</v>
      </c>
      <c r="F834" s="268" t="s">
        <v>1842</v>
      </c>
      <c r="G834" s="269" t="s">
        <v>3804</v>
      </c>
      <c r="H834" s="245" t="s">
        <v>1844</v>
      </c>
      <c r="I834" s="246" t="s">
        <v>4904</v>
      </c>
      <c r="J834" s="270" t="s">
        <v>178</v>
      </c>
      <c r="K834" s="271">
        <v>36055</v>
      </c>
      <c r="L834" s="249" t="s">
        <v>179</v>
      </c>
      <c r="M834" s="272">
        <v>43747</v>
      </c>
      <c r="N834" s="272"/>
      <c r="O834" s="240" t="s">
        <v>4201</v>
      </c>
      <c r="P834" s="238" t="s">
        <v>3634</v>
      </c>
      <c r="Q834" s="238" t="s">
        <v>249</v>
      </c>
      <c r="R834" s="240" t="s">
        <v>3960</v>
      </c>
      <c r="S834" s="240" t="s">
        <v>183</v>
      </c>
      <c r="T834" s="251" t="s">
        <v>163</v>
      </c>
      <c r="U834" s="273">
        <v>43789</v>
      </c>
      <c r="V834" s="274" t="s">
        <v>4905</v>
      </c>
      <c r="W834" s="274" t="s">
        <v>184</v>
      </c>
      <c r="X834" s="275">
        <v>9</v>
      </c>
      <c r="Y834" s="267" t="s">
        <v>4906</v>
      </c>
      <c r="Z834" s="277"/>
      <c r="AA834" s="277"/>
      <c r="AB834" s="274"/>
      <c r="AC834" s="296"/>
      <c r="AD834" s="287"/>
      <c r="AE834" s="287"/>
      <c r="AF834" s="288"/>
      <c r="AG834" s="286"/>
      <c r="AH834" s="276"/>
      <c r="AI834" s="276"/>
      <c r="AJ834" s="274" t="s">
        <v>190</v>
      </c>
      <c r="AK834" s="274" t="s">
        <v>190</v>
      </c>
      <c r="AL834" s="274" t="s">
        <v>190</v>
      </c>
      <c r="AM834" s="289" t="s">
        <v>3967</v>
      </c>
      <c r="AN834" s="22">
        <v>182</v>
      </c>
      <c r="AO834" s="22">
        <v>0</v>
      </c>
      <c r="AP834" s="22">
        <v>0</v>
      </c>
      <c r="AQ834" s="22">
        <v>0</v>
      </c>
      <c r="AR834" s="22">
        <v>0</v>
      </c>
      <c r="AS834" s="22">
        <v>7</v>
      </c>
      <c r="AT834" s="22">
        <v>10</v>
      </c>
      <c r="AU834" s="316">
        <f t="shared" si="133"/>
        <v>199</v>
      </c>
      <c r="AV834" s="22">
        <v>190</v>
      </c>
      <c r="AW834" s="22">
        <v>0</v>
      </c>
      <c r="AX834" s="22">
        <v>0</v>
      </c>
      <c r="AY834" s="22">
        <v>0</v>
      </c>
      <c r="AZ834" s="22">
        <v>0</v>
      </c>
      <c r="BA834" s="22">
        <v>7</v>
      </c>
      <c r="BB834" s="22">
        <v>10</v>
      </c>
      <c r="BC834" s="316">
        <f t="shared" si="134"/>
        <v>207</v>
      </c>
      <c r="BD834" s="58">
        <f t="shared" si="135"/>
        <v>8</v>
      </c>
      <c r="BE834" s="58">
        <f t="shared" si="136"/>
        <v>0</v>
      </c>
      <c r="BF834" s="58">
        <f t="shared" si="137"/>
        <v>0</v>
      </c>
      <c r="BG834" s="58">
        <f t="shared" si="138"/>
        <v>0</v>
      </c>
      <c r="BH834" s="58">
        <f t="shared" si="139"/>
        <v>0</v>
      </c>
      <c r="BI834" s="58">
        <f t="shared" si="140"/>
        <v>0</v>
      </c>
      <c r="BJ834" s="58">
        <f t="shared" si="141"/>
        <v>0</v>
      </c>
      <c r="BK834" s="58">
        <f t="shared" si="142"/>
        <v>8</v>
      </c>
    </row>
    <row r="835" spans="1:63" ht="27" customHeight="1">
      <c r="A835" s="238">
        <f t="shared" si="143"/>
        <v>833</v>
      </c>
      <c r="B835" s="239"/>
      <c r="C835" s="266">
        <v>3284</v>
      </c>
      <c r="D835" s="241" t="s">
        <v>4907</v>
      </c>
      <c r="E835" s="267" t="s">
        <v>4908</v>
      </c>
      <c r="F835" s="268" t="s">
        <v>500</v>
      </c>
      <c r="G835" s="269" t="s">
        <v>4909</v>
      </c>
      <c r="H835" s="245" t="s">
        <v>677</v>
      </c>
      <c r="I835" s="246" t="s">
        <v>4910</v>
      </c>
      <c r="J835" s="270" t="s">
        <v>209</v>
      </c>
      <c r="K835" s="271">
        <v>32123</v>
      </c>
      <c r="L835" s="249" t="s">
        <v>179</v>
      </c>
      <c r="M835" s="272">
        <v>43743</v>
      </c>
      <c r="N835" s="272"/>
      <c r="O835" s="240" t="s">
        <v>4004</v>
      </c>
      <c r="P835" s="238" t="s">
        <v>3833</v>
      </c>
      <c r="Q835" s="238" t="s">
        <v>249</v>
      </c>
      <c r="R835" s="240" t="s">
        <v>182</v>
      </c>
      <c r="S835" s="240" t="s">
        <v>256</v>
      </c>
      <c r="T835" s="251"/>
      <c r="U835" s="273"/>
      <c r="V835" s="274" t="s">
        <v>184</v>
      </c>
      <c r="W835" s="274" t="s">
        <v>184</v>
      </c>
      <c r="X835" s="275">
        <v>8</v>
      </c>
      <c r="Y835" s="267" t="s">
        <v>4911</v>
      </c>
      <c r="Z835" s="277"/>
      <c r="AA835" s="277" t="s">
        <v>186</v>
      </c>
      <c r="AB835" s="274"/>
      <c r="AC835" s="296"/>
      <c r="AD835" s="287"/>
      <c r="AE835" s="287"/>
      <c r="AF835" s="288"/>
      <c r="AG835" s="286"/>
      <c r="AH835" s="276"/>
      <c r="AI835" s="276"/>
      <c r="AJ835" s="274" t="s">
        <v>203</v>
      </c>
      <c r="AK835" s="274" t="s">
        <v>190</v>
      </c>
      <c r="AL835" s="274" t="s">
        <v>190</v>
      </c>
      <c r="AM835" s="260" t="s">
        <v>3859</v>
      </c>
      <c r="AN835" s="22">
        <v>182</v>
      </c>
      <c r="AO835" s="22">
        <v>0</v>
      </c>
      <c r="AP835" s="22">
        <v>20</v>
      </c>
      <c r="AQ835" s="22">
        <v>0</v>
      </c>
      <c r="AR835" s="22">
        <v>0</v>
      </c>
      <c r="AS835" s="22">
        <v>7</v>
      </c>
      <c r="AT835" s="22">
        <v>10</v>
      </c>
      <c r="AU835" s="316">
        <f t="shared" si="133"/>
        <v>219</v>
      </c>
      <c r="AV835" s="22">
        <v>190</v>
      </c>
      <c r="AW835" s="22">
        <v>0</v>
      </c>
      <c r="AX835" s="22">
        <v>20</v>
      </c>
      <c r="AY835" s="22">
        <v>0</v>
      </c>
      <c r="AZ835" s="22">
        <v>0</v>
      </c>
      <c r="BA835" s="22">
        <v>7</v>
      </c>
      <c r="BB835" s="22">
        <v>10</v>
      </c>
      <c r="BC835" s="316">
        <f t="shared" si="134"/>
        <v>227</v>
      </c>
      <c r="BD835" s="58">
        <f t="shared" si="135"/>
        <v>8</v>
      </c>
      <c r="BE835" s="58">
        <f t="shared" si="136"/>
        <v>0</v>
      </c>
      <c r="BF835" s="58">
        <f t="shared" si="137"/>
        <v>0</v>
      </c>
      <c r="BG835" s="58">
        <f t="shared" si="138"/>
        <v>0</v>
      </c>
      <c r="BH835" s="58">
        <f t="shared" si="139"/>
        <v>0</v>
      </c>
      <c r="BI835" s="58">
        <f t="shared" si="140"/>
        <v>0</v>
      </c>
      <c r="BJ835" s="58">
        <f t="shared" si="141"/>
        <v>0</v>
      </c>
      <c r="BK835" s="58">
        <f t="shared" si="142"/>
        <v>8</v>
      </c>
    </row>
    <row r="836" spans="1:63" ht="27" customHeight="1">
      <c r="A836" s="238">
        <f t="shared" si="143"/>
        <v>834</v>
      </c>
      <c r="B836" s="239"/>
      <c r="C836" s="266">
        <v>3622</v>
      </c>
      <c r="D836" s="241" t="s">
        <v>4912</v>
      </c>
      <c r="E836" s="267" t="s">
        <v>4913</v>
      </c>
      <c r="F836" s="268" t="s">
        <v>904</v>
      </c>
      <c r="G836" s="269" t="s">
        <v>4914</v>
      </c>
      <c r="H836" s="245" t="s">
        <v>906</v>
      </c>
      <c r="I836" s="246" t="s">
        <v>4915</v>
      </c>
      <c r="J836" s="270" t="s">
        <v>209</v>
      </c>
      <c r="K836" s="271">
        <v>34201</v>
      </c>
      <c r="L836" s="249" t="s">
        <v>179</v>
      </c>
      <c r="M836" s="272">
        <v>43753</v>
      </c>
      <c r="N836" s="272"/>
      <c r="O836" s="240"/>
      <c r="P836" s="238" t="s">
        <v>282</v>
      </c>
      <c r="Q836" s="238" t="s">
        <v>249</v>
      </c>
      <c r="R836" s="240" t="s">
        <v>182</v>
      </c>
      <c r="S836" s="240" t="s">
        <v>228</v>
      </c>
      <c r="T836" s="251"/>
      <c r="U836" s="273"/>
      <c r="V836" s="274" t="s">
        <v>184</v>
      </c>
      <c r="W836" s="274" t="s">
        <v>184</v>
      </c>
      <c r="X836" s="275">
        <v>9</v>
      </c>
      <c r="Y836" s="267" t="s">
        <v>4916</v>
      </c>
      <c r="Z836" s="277" t="s">
        <v>186</v>
      </c>
      <c r="AA836" s="277"/>
      <c r="AB836" s="274"/>
      <c r="AC836" s="296"/>
      <c r="AD836" s="287"/>
      <c r="AE836" s="287"/>
      <c r="AF836" s="288"/>
      <c r="AG836" s="286"/>
      <c r="AH836" s="276"/>
      <c r="AI836" s="276"/>
      <c r="AJ836" s="274" t="s">
        <v>203</v>
      </c>
      <c r="AK836" s="274" t="s">
        <v>190</v>
      </c>
      <c r="AL836" s="274" t="s">
        <v>190</v>
      </c>
      <c r="AM836" s="260" t="s">
        <v>3859</v>
      </c>
      <c r="AN836" s="22">
        <v>182</v>
      </c>
      <c r="AO836" s="22">
        <v>0</v>
      </c>
      <c r="AP836" s="22">
        <v>20</v>
      </c>
      <c r="AQ836" s="22">
        <v>0</v>
      </c>
      <c r="AR836" s="22">
        <v>0</v>
      </c>
      <c r="AS836" s="22">
        <v>7</v>
      </c>
      <c r="AT836" s="22">
        <v>10</v>
      </c>
      <c r="AU836" s="316">
        <f t="shared" ref="AU836:AU899" si="144">SUM(AN836:AT836)</f>
        <v>219</v>
      </c>
      <c r="AV836" s="22">
        <v>190</v>
      </c>
      <c r="AW836" s="22">
        <v>0</v>
      </c>
      <c r="AX836" s="22">
        <v>20</v>
      </c>
      <c r="AY836" s="22">
        <v>0</v>
      </c>
      <c r="AZ836" s="22">
        <v>0</v>
      </c>
      <c r="BA836" s="22">
        <v>7</v>
      </c>
      <c r="BB836" s="22">
        <v>10</v>
      </c>
      <c r="BC836" s="316">
        <f t="shared" ref="BC836:BC899" si="145">SUM(AV836:BB836)</f>
        <v>227</v>
      </c>
      <c r="BD836" s="58">
        <f t="shared" ref="BD836:BD899" si="146">AV836-AN836</f>
        <v>8</v>
      </c>
      <c r="BE836" s="58">
        <f t="shared" ref="BE836:BE899" si="147">AW836-AO836</f>
        <v>0</v>
      </c>
      <c r="BF836" s="58">
        <f t="shared" ref="BF836:BF899" si="148">AX836-AP836</f>
        <v>0</v>
      </c>
      <c r="BG836" s="58">
        <f t="shared" ref="BG836:BG899" si="149">AY836-AQ836</f>
        <v>0</v>
      </c>
      <c r="BH836" s="58">
        <f t="shared" ref="BH836:BH899" si="150">AZ836-AR836</f>
        <v>0</v>
      </c>
      <c r="BI836" s="58">
        <f t="shared" ref="BI836:BI899" si="151">BA836-AS836</f>
        <v>0</v>
      </c>
      <c r="BJ836" s="58">
        <f t="shared" ref="BJ836:BJ899" si="152">BB836-AT836</f>
        <v>0</v>
      </c>
      <c r="BK836" s="58">
        <f t="shared" ref="BK836:BK899" si="153">BC836-AU836</f>
        <v>8</v>
      </c>
    </row>
    <row r="837" spans="1:63" ht="27" customHeight="1">
      <c r="A837" s="238">
        <f t="shared" ref="A837:A900" si="154">1+A836</f>
        <v>835</v>
      </c>
      <c r="B837" s="239"/>
      <c r="C837" s="266">
        <v>3171</v>
      </c>
      <c r="D837" s="241" t="s">
        <v>4917</v>
      </c>
      <c r="E837" s="267" t="s">
        <v>4918</v>
      </c>
      <c r="F837" s="268" t="s">
        <v>540</v>
      </c>
      <c r="G837" s="269" t="s">
        <v>4919</v>
      </c>
      <c r="H837" s="245" t="s">
        <v>542</v>
      </c>
      <c r="I837" s="246" t="s">
        <v>4920</v>
      </c>
      <c r="J837" s="270" t="s">
        <v>178</v>
      </c>
      <c r="K837" s="271">
        <v>29325</v>
      </c>
      <c r="L837" s="249" t="s">
        <v>179</v>
      </c>
      <c r="M837" s="272">
        <v>43740</v>
      </c>
      <c r="N837" s="272"/>
      <c r="O837" s="240" t="s">
        <v>4081</v>
      </c>
      <c r="P837" s="238" t="s">
        <v>318</v>
      </c>
      <c r="Q837" s="238" t="s">
        <v>249</v>
      </c>
      <c r="R837" s="240" t="s">
        <v>182</v>
      </c>
      <c r="S837" s="240" t="s">
        <v>256</v>
      </c>
      <c r="T837" s="251"/>
      <c r="U837" s="273"/>
      <c r="V837" s="274" t="s">
        <v>200</v>
      </c>
      <c r="W837" s="274" t="s">
        <v>184</v>
      </c>
      <c r="X837" s="275">
        <v>5</v>
      </c>
      <c r="Y837" s="267" t="s">
        <v>4921</v>
      </c>
      <c r="Z837" s="277"/>
      <c r="AA837" s="277" t="s">
        <v>186</v>
      </c>
      <c r="AB837" s="277"/>
      <c r="AC837" s="296"/>
      <c r="AD837" s="287"/>
      <c r="AE837" s="287"/>
      <c r="AF837" s="288"/>
      <c r="AG837" s="286"/>
      <c r="AH837" s="276"/>
      <c r="AI837" s="276"/>
      <c r="AJ837" s="274" t="s">
        <v>203</v>
      </c>
      <c r="AK837" s="274" t="s">
        <v>190</v>
      </c>
      <c r="AL837" s="274" t="s">
        <v>190</v>
      </c>
      <c r="AM837" s="260" t="s">
        <v>3859</v>
      </c>
      <c r="AN837" s="22">
        <v>182</v>
      </c>
      <c r="AO837" s="22">
        <v>0</v>
      </c>
      <c r="AP837" s="22">
        <v>20</v>
      </c>
      <c r="AQ837" s="22">
        <v>0</v>
      </c>
      <c r="AR837" s="22">
        <v>0</v>
      </c>
      <c r="AS837" s="22">
        <v>7</v>
      </c>
      <c r="AT837" s="22">
        <v>10</v>
      </c>
      <c r="AU837" s="316">
        <f t="shared" si="144"/>
        <v>219</v>
      </c>
      <c r="AV837" s="22">
        <v>190</v>
      </c>
      <c r="AW837" s="22">
        <v>0</v>
      </c>
      <c r="AX837" s="22">
        <v>20</v>
      </c>
      <c r="AY837" s="22">
        <v>0</v>
      </c>
      <c r="AZ837" s="22">
        <v>0</v>
      </c>
      <c r="BA837" s="22">
        <v>7</v>
      </c>
      <c r="BB837" s="22">
        <v>10</v>
      </c>
      <c r="BC837" s="316">
        <f t="shared" si="145"/>
        <v>227</v>
      </c>
      <c r="BD837" s="58">
        <f t="shared" si="146"/>
        <v>8</v>
      </c>
      <c r="BE837" s="58">
        <f t="shared" si="147"/>
        <v>0</v>
      </c>
      <c r="BF837" s="58">
        <f t="shared" si="148"/>
        <v>0</v>
      </c>
      <c r="BG837" s="58">
        <f t="shared" si="149"/>
        <v>0</v>
      </c>
      <c r="BH837" s="58">
        <f t="shared" si="150"/>
        <v>0</v>
      </c>
      <c r="BI837" s="58">
        <f t="shared" si="151"/>
        <v>0</v>
      </c>
      <c r="BJ837" s="58">
        <f t="shared" si="152"/>
        <v>0</v>
      </c>
      <c r="BK837" s="58">
        <f t="shared" si="153"/>
        <v>8</v>
      </c>
    </row>
    <row r="838" spans="1:63" ht="27" customHeight="1">
      <c r="A838" s="238">
        <f t="shared" si="154"/>
        <v>836</v>
      </c>
      <c r="B838" s="239"/>
      <c r="C838" s="266">
        <v>3652</v>
      </c>
      <c r="D838" s="241" t="s">
        <v>4922</v>
      </c>
      <c r="E838" s="267" t="s">
        <v>4923</v>
      </c>
      <c r="F838" s="268" t="s">
        <v>4924</v>
      </c>
      <c r="G838" s="269" t="s">
        <v>4925</v>
      </c>
      <c r="H838" s="245" t="s">
        <v>4688</v>
      </c>
      <c r="I838" s="246" t="s">
        <v>1994</v>
      </c>
      <c r="J838" s="270" t="s">
        <v>178</v>
      </c>
      <c r="K838" s="271">
        <v>32174</v>
      </c>
      <c r="L838" s="249" t="s">
        <v>179</v>
      </c>
      <c r="M838" s="272">
        <v>43756</v>
      </c>
      <c r="N838" s="272"/>
      <c r="O838" s="240"/>
      <c r="P838" s="238" t="s">
        <v>282</v>
      </c>
      <c r="Q838" s="238" t="s">
        <v>249</v>
      </c>
      <c r="R838" s="240" t="s">
        <v>182</v>
      </c>
      <c r="S838" s="240" t="s">
        <v>219</v>
      </c>
      <c r="T838" s="251"/>
      <c r="U838" s="273"/>
      <c r="V838" s="274" t="s">
        <v>184</v>
      </c>
      <c r="W838" s="274" t="s">
        <v>184</v>
      </c>
      <c r="X838" s="275">
        <v>5</v>
      </c>
      <c r="Y838" s="267" t="s">
        <v>4926</v>
      </c>
      <c r="Z838" s="277"/>
      <c r="AA838" s="277" t="s">
        <v>186</v>
      </c>
      <c r="AB838" s="277"/>
      <c r="AC838" s="296"/>
      <c r="AD838" s="287"/>
      <c r="AE838" s="287"/>
      <c r="AF838" s="288"/>
      <c r="AG838" s="286"/>
      <c r="AH838" s="276"/>
      <c r="AI838" s="276"/>
      <c r="AJ838" s="274" t="s">
        <v>190</v>
      </c>
      <c r="AK838" s="274" t="s">
        <v>190</v>
      </c>
      <c r="AL838" s="274" t="s">
        <v>190</v>
      </c>
      <c r="AM838" s="289" t="s">
        <v>3967</v>
      </c>
      <c r="AN838" s="22">
        <v>182</v>
      </c>
      <c r="AO838" s="22">
        <v>0</v>
      </c>
      <c r="AP838" s="22">
        <v>20</v>
      </c>
      <c r="AQ838" s="22">
        <v>0</v>
      </c>
      <c r="AR838" s="22">
        <v>0</v>
      </c>
      <c r="AS838" s="22">
        <v>7</v>
      </c>
      <c r="AT838" s="22">
        <v>10</v>
      </c>
      <c r="AU838" s="316">
        <f t="shared" si="144"/>
        <v>219</v>
      </c>
      <c r="AV838" s="22">
        <v>190</v>
      </c>
      <c r="AW838" s="22">
        <v>0</v>
      </c>
      <c r="AX838" s="22">
        <v>20</v>
      </c>
      <c r="AY838" s="22">
        <v>0</v>
      </c>
      <c r="AZ838" s="22">
        <v>0</v>
      </c>
      <c r="BA838" s="22">
        <v>7</v>
      </c>
      <c r="BB838" s="22">
        <v>10</v>
      </c>
      <c r="BC838" s="316">
        <f t="shared" si="145"/>
        <v>227</v>
      </c>
      <c r="BD838" s="58">
        <f t="shared" si="146"/>
        <v>8</v>
      </c>
      <c r="BE838" s="58">
        <f t="shared" si="147"/>
        <v>0</v>
      </c>
      <c r="BF838" s="58">
        <f t="shared" si="148"/>
        <v>0</v>
      </c>
      <c r="BG838" s="58">
        <f t="shared" si="149"/>
        <v>0</v>
      </c>
      <c r="BH838" s="58">
        <f t="shared" si="150"/>
        <v>0</v>
      </c>
      <c r="BI838" s="58">
        <f t="shared" si="151"/>
        <v>0</v>
      </c>
      <c r="BJ838" s="58">
        <f t="shared" si="152"/>
        <v>0</v>
      </c>
      <c r="BK838" s="58">
        <f t="shared" si="153"/>
        <v>8</v>
      </c>
    </row>
    <row r="839" spans="1:63" ht="27" customHeight="1">
      <c r="A839" s="238">
        <f t="shared" si="154"/>
        <v>837</v>
      </c>
      <c r="B839" s="239"/>
      <c r="C839" s="266">
        <v>3180</v>
      </c>
      <c r="D839" s="241" t="s">
        <v>4927</v>
      </c>
      <c r="E839" s="267" t="s">
        <v>4928</v>
      </c>
      <c r="F839" s="268" t="s">
        <v>1123</v>
      </c>
      <c r="G839" s="269" t="s">
        <v>4929</v>
      </c>
      <c r="H839" s="245" t="s">
        <v>1125</v>
      </c>
      <c r="I839" s="246" t="s">
        <v>4930</v>
      </c>
      <c r="J839" s="270" t="s">
        <v>209</v>
      </c>
      <c r="K839" s="271">
        <v>31327</v>
      </c>
      <c r="L839" s="249" t="s">
        <v>179</v>
      </c>
      <c r="M839" s="272">
        <v>43740</v>
      </c>
      <c r="N839" s="272"/>
      <c r="O839" s="240" t="s">
        <v>4236</v>
      </c>
      <c r="P839" s="238" t="s">
        <v>3770</v>
      </c>
      <c r="Q839" s="238" t="s">
        <v>249</v>
      </c>
      <c r="R839" s="240" t="s">
        <v>182</v>
      </c>
      <c r="S839" s="240" t="s">
        <v>183</v>
      </c>
      <c r="T839" s="251"/>
      <c r="U839" s="273"/>
      <c r="V839" s="274" t="s">
        <v>184</v>
      </c>
      <c r="W839" s="274" t="s">
        <v>184</v>
      </c>
      <c r="X839" s="275">
        <v>6</v>
      </c>
      <c r="Y839" s="267" t="s">
        <v>4931</v>
      </c>
      <c r="Z839" s="277"/>
      <c r="AA839" s="277"/>
      <c r="AB839" s="277"/>
      <c r="AC839" s="296"/>
      <c r="AD839" s="287"/>
      <c r="AE839" s="287"/>
      <c r="AF839" s="288"/>
      <c r="AG839" s="286"/>
      <c r="AH839" s="276"/>
      <c r="AI839" s="276"/>
      <c r="AJ839" s="274" t="s">
        <v>190</v>
      </c>
      <c r="AK839" s="274" t="s">
        <v>190</v>
      </c>
      <c r="AL839" s="274" t="s">
        <v>190</v>
      </c>
      <c r="AM839" s="289" t="s">
        <v>3967</v>
      </c>
      <c r="AN839" s="22">
        <v>182</v>
      </c>
      <c r="AO839" s="22">
        <v>0</v>
      </c>
      <c r="AP839" s="22">
        <v>35</v>
      </c>
      <c r="AQ839" s="22">
        <v>0</v>
      </c>
      <c r="AR839" s="22">
        <v>0</v>
      </c>
      <c r="AS839" s="22">
        <v>7</v>
      </c>
      <c r="AT839" s="22">
        <v>10</v>
      </c>
      <c r="AU839" s="316">
        <f t="shared" si="144"/>
        <v>234</v>
      </c>
      <c r="AV839" s="22">
        <v>190</v>
      </c>
      <c r="AW839" s="22">
        <v>0</v>
      </c>
      <c r="AX839" s="22">
        <v>35</v>
      </c>
      <c r="AY839" s="22">
        <v>0</v>
      </c>
      <c r="AZ839" s="22">
        <v>0</v>
      </c>
      <c r="BA839" s="22">
        <v>7</v>
      </c>
      <c r="BB839" s="22">
        <v>10</v>
      </c>
      <c r="BC839" s="316">
        <f t="shared" si="145"/>
        <v>242</v>
      </c>
      <c r="BD839" s="58">
        <f t="shared" si="146"/>
        <v>8</v>
      </c>
      <c r="BE839" s="58">
        <f t="shared" si="147"/>
        <v>0</v>
      </c>
      <c r="BF839" s="58">
        <f t="shared" si="148"/>
        <v>0</v>
      </c>
      <c r="BG839" s="58">
        <f t="shared" si="149"/>
        <v>0</v>
      </c>
      <c r="BH839" s="58">
        <f t="shared" si="150"/>
        <v>0</v>
      </c>
      <c r="BI839" s="58">
        <f t="shared" si="151"/>
        <v>0</v>
      </c>
      <c r="BJ839" s="58">
        <f t="shared" si="152"/>
        <v>0</v>
      </c>
      <c r="BK839" s="58">
        <f t="shared" si="153"/>
        <v>8</v>
      </c>
    </row>
    <row r="840" spans="1:63" ht="27" customHeight="1">
      <c r="A840" s="238">
        <f t="shared" si="154"/>
        <v>838</v>
      </c>
      <c r="B840" s="239"/>
      <c r="C840" s="266">
        <v>3232</v>
      </c>
      <c r="D840" s="241" t="s">
        <v>4932</v>
      </c>
      <c r="E840" s="267" t="s">
        <v>4933</v>
      </c>
      <c r="F840" s="268" t="s">
        <v>4934</v>
      </c>
      <c r="G840" s="269" t="s">
        <v>4935</v>
      </c>
      <c r="H840" s="245" t="s">
        <v>4936</v>
      </c>
      <c r="I840" s="246" t="s">
        <v>4937</v>
      </c>
      <c r="J840" s="270" t="s">
        <v>178</v>
      </c>
      <c r="K840" s="271">
        <v>32397</v>
      </c>
      <c r="L840" s="249" t="s">
        <v>179</v>
      </c>
      <c r="M840" s="272">
        <v>43743</v>
      </c>
      <c r="N840" s="272"/>
      <c r="O840" s="240" t="s">
        <v>3965</v>
      </c>
      <c r="P840" s="238" t="s">
        <v>3785</v>
      </c>
      <c r="Q840" s="238" t="s">
        <v>249</v>
      </c>
      <c r="R840" s="240" t="s">
        <v>182</v>
      </c>
      <c r="S840" s="240" t="s">
        <v>219</v>
      </c>
      <c r="T840" s="251"/>
      <c r="U840" s="273"/>
      <c r="V840" s="274" t="s">
        <v>184</v>
      </c>
      <c r="W840" s="274" t="s">
        <v>184</v>
      </c>
      <c r="X840" s="275">
        <v>5</v>
      </c>
      <c r="Y840" s="267" t="s">
        <v>4938</v>
      </c>
      <c r="Z840" s="277"/>
      <c r="AA840" s="277" t="s">
        <v>186</v>
      </c>
      <c r="AB840" s="274"/>
      <c r="AC840" s="296"/>
      <c r="AD840" s="287"/>
      <c r="AE840" s="287"/>
      <c r="AF840" s="288"/>
      <c r="AG840" s="286"/>
      <c r="AH840" s="276"/>
      <c r="AI840" s="276"/>
      <c r="AJ840" s="274" t="s">
        <v>203</v>
      </c>
      <c r="AK840" s="274" t="s">
        <v>190</v>
      </c>
      <c r="AL840" s="274" t="s">
        <v>190</v>
      </c>
      <c r="AM840" s="260" t="s">
        <v>3859</v>
      </c>
      <c r="AN840" s="22">
        <v>182</v>
      </c>
      <c r="AO840" s="22">
        <v>0</v>
      </c>
      <c r="AP840" s="22">
        <v>20</v>
      </c>
      <c r="AQ840" s="22">
        <v>0</v>
      </c>
      <c r="AR840" s="22">
        <v>0</v>
      </c>
      <c r="AS840" s="22">
        <v>7</v>
      </c>
      <c r="AT840" s="22">
        <v>10</v>
      </c>
      <c r="AU840" s="316">
        <f t="shared" si="144"/>
        <v>219</v>
      </c>
      <c r="AV840" s="22">
        <v>190</v>
      </c>
      <c r="AW840" s="22">
        <v>0</v>
      </c>
      <c r="AX840" s="22">
        <v>20</v>
      </c>
      <c r="AY840" s="22">
        <v>0</v>
      </c>
      <c r="AZ840" s="22">
        <v>0</v>
      </c>
      <c r="BA840" s="22">
        <v>7</v>
      </c>
      <c r="BB840" s="22">
        <v>10</v>
      </c>
      <c r="BC840" s="316">
        <f t="shared" si="145"/>
        <v>227</v>
      </c>
      <c r="BD840" s="58">
        <f t="shared" si="146"/>
        <v>8</v>
      </c>
      <c r="BE840" s="58">
        <f t="shared" si="147"/>
        <v>0</v>
      </c>
      <c r="BF840" s="58">
        <f t="shared" si="148"/>
        <v>0</v>
      </c>
      <c r="BG840" s="58">
        <f t="shared" si="149"/>
        <v>0</v>
      </c>
      <c r="BH840" s="58">
        <f t="shared" si="150"/>
        <v>0</v>
      </c>
      <c r="BI840" s="58">
        <f t="shared" si="151"/>
        <v>0</v>
      </c>
      <c r="BJ840" s="58">
        <f t="shared" si="152"/>
        <v>0</v>
      </c>
      <c r="BK840" s="58">
        <f t="shared" si="153"/>
        <v>8</v>
      </c>
    </row>
    <row r="841" spans="1:63" ht="27" customHeight="1">
      <c r="A841" s="238">
        <f t="shared" si="154"/>
        <v>839</v>
      </c>
      <c r="B841" s="239"/>
      <c r="C841" s="266">
        <v>3294</v>
      </c>
      <c r="D841" s="241" t="s">
        <v>4939</v>
      </c>
      <c r="E841" s="267" t="s">
        <v>296</v>
      </c>
      <c r="F841" s="268" t="s">
        <v>1842</v>
      </c>
      <c r="G841" s="269" t="s">
        <v>508</v>
      </c>
      <c r="H841" s="245" t="s">
        <v>1844</v>
      </c>
      <c r="I841" s="246" t="s">
        <v>4940</v>
      </c>
      <c r="J841" s="270" t="s">
        <v>209</v>
      </c>
      <c r="K841" s="271">
        <v>32666</v>
      </c>
      <c r="L841" s="249" t="s">
        <v>179</v>
      </c>
      <c r="M841" s="272">
        <v>43742</v>
      </c>
      <c r="N841" s="272"/>
      <c r="O841" s="240" t="s">
        <v>3978</v>
      </c>
      <c r="P841" s="238" t="s">
        <v>2821</v>
      </c>
      <c r="Q841" s="238" t="s">
        <v>249</v>
      </c>
      <c r="R841" s="240" t="s">
        <v>182</v>
      </c>
      <c r="S841" s="240" t="s">
        <v>228</v>
      </c>
      <c r="T841" s="251"/>
      <c r="U841" s="273"/>
      <c r="V841" s="274" t="s">
        <v>184</v>
      </c>
      <c r="W841" s="274" t="s">
        <v>184</v>
      </c>
      <c r="X841" s="275">
        <v>8</v>
      </c>
      <c r="Y841" s="267" t="s">
        <v>4941</v>
      </c>
      <c r="Z841" s="277" t="s">
        <v>186</v>
      </c>
      <c r="AA841" s="277"/>
      <c r="AB841" s="277"/>
      <c r="AC841" s="296"/>
      <c r="AD841" s="287"/>
      <c r="AE841" s="287"/>
      <c r="AF841" s="288"/>
      <c r="AG841" s="286"/>
      <c r="AH841" s="276"/>
      <c r="AI841" s="276"/>
      <c r="AJ841" s="274" t="s">
        <v>203</v>
      </c>
      <c r="AK841" s="274" t="s">
        <v>190</v>
      </c>
      <c r="AL841" s="274" t="s">
        <v>190</v>
      </c>
      <c r="AM841" s="260" t="s">
        <v>3859</v>
      </c>
      <c r="AN841" s="22">
        <v>182</v>
      </c>
      <c r="AO841" s="22">
        <v>0</v>
      </c>
      <c r="AP841" s="22">
        <v>0</v>
      </c>
      <c r="AQ841" s="22">
        <v>0</v>
      </c>
      <c r="AR841" s="22">
        <v>0</v>
      </c>
      <c r="AS841" s="22">
        <v>7</v>
      </c>
      <c r="AT841" s="22">
        <v>10</v>
      </c>
      <c r="AU841" s="316">
        <f t="shared" si="144"/>
        <v>199</v>
      </c>
      <c r="AV841" s="22">
        <v>190</v>
      </c>
      <c r="AW841" s="22">
        <v>0</v>
      </c>
      <c r="AX841" s="22">
        <v>0</v>
      </c>
      <c r="AY841" s="22">
        <v>0</v>
      </c>
      <c r="AZ841" s="22">
        <v>0</v>
      </c>
      <c r="BA841" s="22">
        <v>7</v>
      </c>
      <c r="BB841" s="22">
        <v>10</v>
      </c>
      <c r="BC841" s="316">
        <f t="shared" si="145"/>
        <v>207</v>
      </c>
      <c r="BD841" s="58">
        <f t="shared" si="146"/>
        <v>8</v>
      </c>
      <c r="BE841" s="58">
        <f t="shared" si="147"/>
        <v>0</v>
      </c>
      <c r="BF841" s="58">
        <f t="shared" si="148"/>
        <v>0</v>
      </c>
      <c r="BG841" s="58">
        <f t="shared" si="149"/>
        <v>0</v>
      </c>
      <c r="BH841" s="58">
        <f t="shared" si="150"/>
        <v>0</v>
      </c>
      <c r="BI841" s="58">
        <f t="shared" si="151"/>
        <v>0</v>
      </c>
      <c r="BJ841" s="58">
        <f t="shared" si="152"/>
        <v>0</v>
      </c>
      <c r="BK841" s="58">
        <f t="shared" si="153"/>
        <v>8</v>
      </c>
    </row>
    <row r="842" spans="1:63" ht="27" customHeight="1">
      <c r="A842" s="238">
        <f t="shared" si="154"/>
        <v>840</v>
      </c>
      <c r="B842" s="239"/>
      <c r="C842" s="266">
        <v>3569</v>
      </c>
      <c r="D842" s="284">
        <v>0</v>
      </c>
      <c r="E842" s="267" t="s">
        <v>4942</v>
      </c>
      <c r="F842" s="268" t="s">
        <v>2339</v>
      </c>
      <c r="G842" s="269" t="s">
        <v>717</v>
      </c>
      <c r="H842" s="245" t="s">
        <v>1829</v>
      </c>
      <c r="I842" s="246" t="s">
        <v>719</v>
      </c>
      <c r="J842" s="270" t="s">
        <v>178</v>
      </c>
      <c r="K842" s="271">
        <v>32368</v>
      </c>
      <c r="L842" s="249" t="s">
        <v>179</v>
      </c>
      <c r="M842" s="272">
        <v>43745</v>
      </c>
      <c r="N842" s="272"/>
      <c r="O842" s="240" t="s">
        <v>3999</v>
      </c>
      <c r="P842" s="238" t="s">
        <v>3634</v>
      </c>
      <c r="Q842" s="238" t="s">
        <v>249</v>
      </c>
      <c r="R842" s="240" t="s">
        <v>182</v>
      </c>
      <c r="S842" s="240" t="s">
        <v>183</v>
      </c>
      <c r="T842" s="251"/>
      <c r="U842" s="273"/>
      <c r="V842" s="274" t="s">
        <v>184</v>
      </c>
      <c r="W842" s="274" t="s">
        <v>184</v>
      </c>
      <c r="X842" s="275">
        <v>7</v>
      </c>
      <c r="Y842" s="267" t="s">
        <v>4943</v>
      </c>
      <c r="Z842" s="277" t="s">
        <v>186</v>
      </c>
      <c r="AA842" s="277"/>
      <c r="AB842" s="274"/>
      <c r="AC842" s="296"/>
      <c r="AD842" s="287"/>
      <c r="AE842" s="287"/>
      <c r="AF842" s="288"/>
      <c r="AG842" s="286"/>
      <c r="AH842" s="276"/>
      <c r="AI842" s="276"/>
      <c r="AJ842" s="274" t="s">
        <v>203</v>
      </c>
      <c r="AK842" s="274" t="s">
        <v>190</v>
      </c>
      <c r="AL842" s="274" t="s">
        <v>190</v>
      </c>
      <c r="AM842" s="260" t="s">
        <v>4830</v>
      </c>
      <c r="AN842" s="22">
        <v>182</v>
      </c>
      <c r="AO842" s="22">
        <v>0</v>
      </c>
      <c r="AP842" s="22">
        <v>20</v>
      </c>
      <c r="AQ842" s="22">
        <v>0</v>
      </c>
      <c r="AR842" s="22">
        <v>0</v>
      </c>
      <c r="AS842" s="22">
        <v>7</v>
      </c>
      <c r="AT842" s="22">
        <v>10</v>
      </c>
      <c r="AU842" s="316">
        <f t="shared" si="144"/>
        <v>219</v>
      </c>
      <c r="AV842" s="22">
        <v>190</v>
      </c>
      <c r="AW842" s="22">
        <v>0</v>
      </c>
      <c r="AX842" s="22">
        <v>20</v>
      </c>
      <c r="AY842" s="22">
        <v>0</v>
      </c>
      <c r="AZ842" s="22">
        <v>0</v>
      </c>
      <c r="BA842" s="22">
        <v>7</v>
      </c>
      <c r="BB842" s="22">
        <v>10</v>
      </c>
      <c r="BC842" s="316">
        <f t="shared" si="145"/>
        <v>227</v>
      </c>
      <c r="BD842" s="58">
        <f t="shared" si="146"/>
        <v>8</v>
      </c>
      <c r="BE842" s="58">
        <f t="shared" si="147"/>
        <v>0</v>
      </c>
      <c r="BF842" s="58">
        <f t="shared" si="148"/>
        <v>0</v>
      </c>
      <c r="BG842" s="58">
        <f t="shared" si="149"/>
        <v>0</v>
      </c>
      <c r="BH842" s="58">
        <f t="shared" si="150"/>
        <v>0</v>
      </c>
      <c r="BI842" s="58">
        <f t="shared" si="151"/>
        <v>0</v>
      </c>
      <c r="BJ842" s="58">
        <f t="shared" si="152"/>
        <v>0</v>
      </c>
      <c r="BK842" s="58">
        <f t="shared" si="153"/>
        <v>8</v>
      </c>
    </row>
    <row r="843" spans="1:63" ht="27" customHeight="1">
      <c r="A843" s="238">
        <f t="shared" si="154"/>
        <v>841</v>
      </c>
      <c r="B843" s="239"/>
      <c r="C843" s="266">
        <v>3283</v>
      </c>
      <c r="D843" s="241" t="s">
        <v>4944</v>
      </c>
      <c r="E843" s="267" t="s">
        <v>4945</v>
      </c>
      <c r="F843" s="268" t="s">
        <v>2679</v>
      </c>
      <c r="G843" s="269" t="s">
        <v>705</v>
      </c>
      <c r="H843" s="245" t="s">
        <v>4946</v>
      </c>
      <c r="I843" s="246" t="s">
        <v>17</v>
      </c>
      <c r="J843" s="270" t="s">
        <v>178</v>
      </c>
      <c r="K843" s="271">
        <v>34252</v>
      </c>
      <c r="L843" s="249" t="s">
        <v>179</v>
      </c>
      <c r="M843" s="272">
        <v>43746</v>
      </c>
      <c r="N843" s="272"/>
      <c r="O843" s="240" t="s">
        <v>4004</v>
      </c>
      <c r="P843" s="238" t="s">
        <v>3833</v>
      </c>
      <c r="Q843" s="238" t="s">
        <v>249</v>
      </c>
      <c r="R843" s="240" t="s">
        <v>182</v>
      </c>
      <c r="S843" s="240" t="s">
        <v>228</v>
      </c>
      <c r="T843" s="251"/>
      <c r="U843" s="273"/>
      <c r="V843" s="274" t="s">
        <v>184</v>
      </c>
      <c r="W843" s="274" t="s">
        <v>184</v>
      </c>
      <c r="X843" s="275">
        <v>9</v>
      </c>
      <c r="Y843" s="267" t="s">
        <v>4947</v>
      </c>
      <c r="Z843" s="277" t="s">
        <v>186</v>
      </c>
      <c r="AA843" s="277"/>
      <c r="AB843" s="274"/>
      <c r="AC843" s="296"/>
      <c r="AD843" s="287"/>
      <c r="AE843" s="287"/>
      <c r="AF843" s="288"/>
      <c r="AG843" s="286"/>
      <c r="AH843" s="276"/>
      <c r="AI843" s="276"/>
      <c r="AJ843" s="274" t="s">
        <v>203</v>
      </c>
      <c r="AK843" s="274" t="s">
        <v>190</v>
      </c>
      <c r="AL843" s="274" t="s">
        <v>190</v>
      </c>
      <c r="AM843" s="260" t="s">
        <v>204</v>
      </c>
      <c r="AN843" s="22">
        <v>182</v>
      </c>
      <c r="AO843" s="22">
        <v>0</v>
      </c>
      <c r="AP843" s="22">
        <v>20</v>
      </c>
      <c r="AQ843" s="22">
        <v>0</v>
      </c>
      <c r="AR843" s="22">
        <v>0</v>
      </c>
      <c r="AS843" s="22">
        <v>7</v>
      </c>
      <c r="AT843" s="22">
        <v>10</v>
      </c>
      <c r="AU843" s="316">
        <f t="shared" si="144"/>
        <v>219</v>
      </c>
      <c r="AV843" s="22">
        <v>190</v>
      </c>
      <c r="AW843" s="22">
        <v>0</v>
      </c>
      <c r="AX843" s="22">
        <v>20</v>
      </c>
      <c r="AY843" s="22">
        <v>0</v>
      </c>
      <c r="AZ843" s="22">
        <v>0</v>
      </c>
      <c r="BA843" s="22">
        <v>7</v>
      </c>
      <c r="BB843" s="22">
        <v>10</v>
      </c>
      <c r="BC843" s="316">
        <f t="shared" si="145"/>
        <v>227</v>
      </c>
      <c r="BD843" s="58">
        <f t="shared" si="146"/>
        <v>8</v>
      </c>
      <c r="BE843" s="58">
        <f t="shared" si="147"/>
        <v>0</v>
      </c>
      <c r="BF843" s="58">
        <f t="shared" si="148"/>
        <v>0</v>
      </c>
      <c r="BG843" s="58">
        <f t="shared" si="149"/>
        <v>0</v>
      </c>
      <c r="BH843" s="58">
        <f t="shared" si="150"/>
        <v>0</v>
      </c>
      <c r="BI843" s="58">
        <f t="shared" si="151"/>
        <v>0</v>
      </c>
      <c r="BJ843" s="58">
        <f t="shared" si="152"/>
        <v>0</v>
      </c>
      <c r="BK843" s="58">
        <f t="shared" si="153"/>
        <v>8</v>
      </c>
    </row>
    <row r="844" spans="1:63" ht="27" customHeight="1">
      <c r="A844" s="238">
        <f t="shared" si="154"/>
        <v>842</v>
      </c>
      <c r="B844" s="239"/>
      <c r="C844" s="266">
        <v>3497</v>
      </c>
      <c r="D844" s="241" t="s">
        <v>4948</v>
      </c>
      <c r="E844" s="267" t="s">
        <v>4949</v>
      </c>
      <c r="F844" s="268" t="s">
        <v>1237</v>
      </c>
      <c r="G844" s="269" t="s">
        <v>4950</v>
      </c>
      <c r="H844" s="245" t="s">
        <v>1239</v>
      </c>
      <c r="I844" s="246" t="s">
        <v>4951</v>
      </c>
      <c r="J844" s="270" t="s">
        <v>178</v>
      </c>
      <c r="K844" s="271">
        <v>33862</v>
      </c>
      <c r="L844" s="249" t="s">
        <v>179</v>
      </c>
      <c r="M844" s="272">
        <v>43746</v>
      </c>
      <c r="N844" s="272"/>
      <c r="O844" s="240" t="s">
        <v>3978</v>
      </c>
      <c r="P844" s="238" t="s">
        <v>3785</v>
      </c>
      <c r="Q844" s="238" t="s">
        <v>249</v>
      </c>
      <c r="R844" s="240" t="s">
        <v>182</v>
      </c>
      <c r="S844" s="240" t="s">
        <v>228</v>
      </c>
      <c r="T844" s="251"/>
      <c r="U844" s="273"/>
      <c r="V844" s="274" t="s">
        <v>184</v>
      </c>
      <c r="W844" s="274" t="s">
        <v>184</v>
      </c>
      <c r="X844" s="275">
        <v>9</v>
      </c>
      <c r="Y844" s="267" t="s">
        <v>4952</v>
      </c>
      <c r="Z844" s="277"/>
      <c r="AA844" s="277"/>
      <c r="AB844" s="274"/>
      <c r="AC844" s="296"/>
      <c r="AD844" s="287"/>
      <c r="AE844" s="287"/>
      <c r="AF844" s="288"/>
      <c r="AG844" s="286"/>
      <c r="AH844" s="276"/>
      <c r="AI844" s="276"/>
      <c r="AJ844" s="274" t="s">
        <v>203</v>
      </c>
      <c r="AK844" s="274" t="s">
        <v>190</v>
      </c>
      <c r="AL844" s="274" t="s">
        <v>190</v>
      </c>
      <c r="AM844" s="260" t="s">
        <v>3859</v>
      </c>
      <c r="AN844" s="22">
        <v>182</v>
      </c>
      <c r="AO844" s="22">
        <v>0</v>
      </c>
      <c r="AP844" s="22">
        <v>20</v>
      </c>
      <c r="AQ844" s="22">
        <v>0</v>
      </c>
      <c r="AR844" s="22">
        <v>0</v>
      </c>
      <c r="AS844" s="22">
        <v>7</v>
      </c>
      <c r="AT844" s="22">
        <v>10</v>
      </c>
      <c r="AU844" s="316">
        <f t="shared" si="144"/>
        <v>219</v>
      </c>
      <c r="AV844" s="22">
        <v>190</v>
      </c>
      <c r="AW844" s="22">
        <v>0</v>
      </c>
      <c r="AX844" s="22">
        <v>20</v>
      </c>
      <c r="AY844" s="22">
        <v>0</v>
      </c>
      <c r="AZ844" s="22">
        <v>0</v>
      </c>
      <c r="BA844" s="22">
        <v>7</v>
      </c>
      <c r="BB844" s="22">
        <v>10</v>
      </c>
      <c r="BC844" s="316">
        <f t="shared" si="145"/>
        <v>227</v>
      </c>
      <c r="BD844" s="58">
        <f t="shared" si="146"/>
        <v>8</v>
      </c>
      <c r="BE844" s="58">
        <f t="shared" si="147"/>
        <v>0</v>
      </c>
      <c r="BF844" s="58">
        <f t="shared" si="148"/>
        <v>0</v>
      </c>
      <c r="BG844" s="58">
        <f t="shared" si="149"/>
        <v>0</v>
      </c>
      <c r="BH844" s="58">
        <f t="shared" si="150"/>
        <v>0</v>
      </c>
      <c r="BI844" s="58">
        <f t="shared" si="151"/>
        <v>0</v>
      </c>
      <c r="BJ844" s="58">
        <f t="shared" si="152"/>
        <v>0</v>
      </c>
      <c r="BK844" s="58">
        <f t="shared" si="153"/>
        <v>8</v>
      </c>
    </row>
    <row r="845" spans="1:63" ht="27" customHeight="1">
      <c r="A845" s="238">
        <f t="shared" si="154"/>
        <v>843</v>
      </c>
      <c r="B845" s="239"/>
      <c r="C845" s="266">
        <v>3496</v>
      </c>
      <c r="D845" s="241" t="s">
        <v>4953</v>
      </c>
      <c r="E845" s="267" t="s">
        <v>4954</v>
      </c>
      <c r="F845" s="268" t="s">
        <v>2751</v>
      </c>
      <c r="G845" s="269" t="s">
        <v>2303</v>
      </c>
      <c r="H845" s="245" t="s">
        <v>995</v>
      </c>
      <c r="I845" s="246" t="s">
        <v>4955</v>
      </c>
      <c r="J845" s="270" t="s">
        <v>209</v>
      </c>
      <c r="K845" s="271">
        <v>36222</v>
      </c>
      <c r="L845" s="249" t="s">
        <v>179</v>
      </c>
      <c r="M845" s="272">
        <v>43746</v>
      </c>
      <c r="N845" s="272"/>
      <c r="O845" s="240" t="s">
        <v>4024</v>
      </c>
      <c r="P845" s="238" t="s">
        <v>3775</v>
      </c>
      <c r="Q845" s="238" t="s">
        <v>249</v>
      </c>
      <c r="R845" s="240" t="s">
        <v>182</v>
      </c>
      <c r="S845" s="240" t="s">
        <v>211</v>
      </c>
      <c r="T845" s="251"/>
      <c r="U845" s="273"/>
      <c r="V845" s="274" t="s">
        <v>184</v>
      </c>
      <c r="W845" s="274" t="s">
        <v>184</v>
      </c>
      <c r="X845" s="275">
        <v>9</v>
      </c>
      <c r="Y845" s="267" t="s">
        <v>4956</v>
      </c>
      <c r="Z845" s="277" t="s">
        <v>186</v>
      </c>
      <c r="AA845" s="277"/>
      <c r="AB845" s="274"/>
      <c r="AC845" s="296"/>
      <c r="AD845" s="287"/>
      <c r="AE845" s="287"/>
      <c r="AF845" s="288"/>
      <c r="AG845" s="286"/>
      <c r="AH845" s="276"/>
      <c r="AI845" s="276"/>
      <c r="AJ845" s="274" t="s">
        <v>203</v>
      </c>
      <c r="AK845" s="274" t="s">
        <v>190</v>
      </c>
      <c r="AL845" s="274" t="s">
        <v>190</v>
      </c>
      <c r="AM845" s="260" t="s">
        <v>3859</v>
      </c>
      <c r="AN845" s="22">
        <v>182</v>
      </c>
      <c r="AO845" s="22">
        <v>0</v>
      </c>
      <c r="AP845" s="22">
        <v>20</v>
      </c>
      <c r="AQ845" s="22">
        <v>0</v>
      </c>
      <c r="AR845" s="22">
        <v>0</v>
      </c>
      <c r="AS845" s="22">
        <v>7</v>
      </c>
      <c r="AT845" s="22">
        <v>10</v>
      </c>
      <c r="AU845" s="316">
        <f t="shared" si="144"/>
        <v>219</v>
      </c>
      <c r="AV845" s="22">
        <v>190</v>
      </c>
      <c r="AW845" s="22">
        <v>0</v>
      </c>
      <c r="AX845" s="22">
        <v>20</v>
      </c>
      <c r="AY845" s="22">
        <v>0</v>
      </c>
      <c r="AZ845" s="22">
        <v>0</v>
      </c>
      <c r="BA845" s="22">
        <v>7</v>
      </c>
      <c r="BB845" s="22">
        <v>10</v>
      </c>
      <c r="BC845" s="316">
        <f t="shared" si="145"/>
        <v>227</v>
      </c>
      <c r="BD845" s="58">
        <f t="shared" si="146"/>
        <v>8</v>
      </c>
      <c r="BE845" s="58">
        <f t="shared" si="147"/>
        <v>0</v>
      </c>
      <c r="BF845" s="58">
        <f t="shared" si="148"/>
        <v>0</v>
      </c>
      <c r="BG845" s="58">
        <f t="shared" si="149"/>
        <v>0</v>
      </c>
      <c r="BH845" s="58">
        <f t="shared" si="150"/>
        <v>0</v>
      </c>
      <c r="BI845" s="58">
        <f t="shared" si="151"/>
        <v>0</v>
      </c>
      <c r="BJ845" s="58">
        <f t="shared" si="152"/>
        <v>0</v>
      </c>
      <c r="BK845" s="58">
        <f t="shared" si="153"/>
        <v>8</v>
      </c>
    </row>
    <row r="846" spans="1:63" ht="27" customHeight="1">
      <c r="A846" s="238">
        <f t="shared" si="154"/>
        <v>844</v>
      </c>
      <c r="B846" s="239"/>
      <c r="C846" s="266">
        <v>3498</v>
      </c>
      <c r="D846" s="241" t="s">
        <v>4957</v>
      </c>
      <c r="E846" s="267" t="s">
        <v>4958</v>
      </c>
      <c r="F846" s="268" t="s">
        <v>436</v>
      </c>
      <c r="G846" s="269" t="s">
        <v>4959</v>
      </c>
      <c r="H846" s="245" t="s">
        <v>1188</v>
      </c>
      <c r="I846" s="246" t="s">
        <v>4960</v>
      </c>
      <c r="J846" s="270" t="s">
        <v>209</v>
      </c>
      <c r="K846" s="271">
        <v>35340</v>
      </c>
      <c r="L846" s="249" t="s">
        <v>179</v>
      </c>
      <c r="M846" s="272">
        <v>43745</v>
      </c>
      <c r="N846" s="272"/>
      <c r="O846" s="240" t="s">
        <v>3978</v>
      </c>
      <c r="P846" s="238" t="s">
        <v>3950</v>
      </c>
      <c r="Q846" s="238" t="s">
        <v>249</v>
      </c>
      <c r="R846" s="240" t="s">
        <v>182</v>
      </c>
      <c r="S846" s="240" t="s">
        <v>183</v>
      </c>
      <c r="T846" s="251"/>
      <c r="U846" s="273"/>
      <c r="V846" s="274" t="s">
        <v>184</v>
      </c>
      <c r="W846" s="274" t="s">
        <v>184</v>
      </c>
      <c r="X846" s="275">
        <v>7</v>
      </c>
      <c r="Y846" s="267" t="s">
        <v>4176</v>
      </c>
      <c r="Z846" s="277"/>
      <c r="AA846" s="277"/>
      <c r="AB846" s="274"/>
      <c r="AC846" s="296"/>
      <c r="AD846" s="287"/>
      <c r="AE846" s="287"/>
      <c r="AF846" s="288"/>
      <c r="AG846" s="286"/>
      <c r="AH846" s="276"/>
      <c r="AI846" s="276"/>
      <c r="AJ846" s="274" t="s">
        <v>203</v>
      </c>
      <c r="AK846" s="274" t="s">
        <v>190</v>
      </c>
      <c r="AL846" s="274" t="s">
        <v>190</v>
      </c>
      <c r="AM846" s="260" t="s">
        <v>3916</v>
      </c>
      <c r="AN846" s="22">
        <v>182</v>
      </c>
      <c r="AO846" s="22">
        <v>0</v>
      </c>
      <c r="AP846" s="22">
        <v>0</v>
      </c>
      <c r="AQ846" s="22">
        <v>0</v>
      </c>
      <c r="AR846" s="22">
        <v>0</v>
      </c>
      <c r="AS846" s="22">
        <v>7</v>
      </c>
      <c r="AT846" s="22">
        <v>10</v>
      </c>
      <c r="AU846" s="316">
        <f t="shared" si="144"/>
        <v>199</v>
      </c>
      <c r="AV846" s="22">
        <v>190</v>
      </c>
      <c r="AW846" s="22">
        <v>0</v>
      </c>
      <c r="AX846" s="22">
        <v>0</v>
      </c>
      <c r="AY846" s="22">
        <v>0</v>
      </c>
      <c r="AZ846" s="22">
        <v>0</v>
      </c>
      <c r="BA846" s="22">
        <v>7</v>
      </c>
      <c r="BB846" s="22">
        <v>10</v>
      </c>
      <c r="BC846" s="316">
        <f t="shared" si="145"/>
        <v>207</v>
      </c>
      <c r="BD846" s="58">
        <f t="shared" si="146"/>
        <v>8</v>
      </c>
      <c r="BE846" s="58">
        <f t="shared" si="147"/>
        <v>0</v>
      </c>
      <c r="BF846" s="58">
        <f t="shared" si="148"/>
        <v>0</v>
      </c>
      <c r="BG846" s="58">
        <f t="shared" si="149"/>
        <v>0</v>
      </c>
      <c r="BH846" s="58">
        <f t="shared" si="150"/>
        <v>0</v>
      </c>
      <c r="BI846" s="58">
        <f t="shared" si="151"/>
        <v>0</v>
      </c>
      <c r="BJ846" s="58">
        <f t="shared" si="152"/>
        <v>0</v>
      </c>
      <c r="BK846" s="58">
        <f t="shared" si="153"/>
        <v>8</v>
      </c>
    </row>
    <row r="847" spans="1:63" ht="27" customHeight="1">
      <c r="A847" s="238">
        <f t="shared" si="154"/>
        <v>845</v>
      </c>
      <c r="B847" s="239"/>
      <c r="C847" s="266">
        <v>3734</v>
      </c>
      <c r="D847" s="241" t="s">
        <v>4961</v>
      </c>
      <c r="E847" s="302" t="s">
        <v>4962</v>
      </c>
      <c r="F847" s="268" t="s">
        <v>4963</v>
      </c>
      <c r="G847" s="269" t="s">
        <v>4964</v>
      </c>
      <c r="H847" s="245" t="s">
        <v>4965</v>
      </c>
      <c r="I847" s="246" t="s">
        <v>4966</v>
      </c>
      <c r="J847" s="270" t="s">
        <v>178</v>
      </c>
      <c r="K847" s="271">
        <v>35139</v>
      </c>
      <c r="L847" s="249" t="s">
        <v>179</v>
      </c>
      <c r="M847" s="272">
        <v>43760</v>
      </c>
      <c r="N847" s="272"/>
      <c r="O847" s="240"/>
      <c r="P847" s="238" t="s">
        <v>318</v>
      </c>
      <c r="Q847" s="238" t="s">
        <v>249</v>
      </c>
      <c r="R847" s="240" t="s">
        <v>182</v>
      </c>
      <c r="S847" s="240" t="s">
        <v>211</v>
      </c>
      <c r="T847" s="251"/>
      <c r="U847" s="273"/>
      <c r="V847" s="274" t="s">
        <v>184</v>
      </c>
      <c r="W847" s="274" t="s">
        <v>184</v>
      </c>
      <c r="X847" s="303">
        <v>8</v>
      </c>
      <c r="Y847" s="267" t="s">
        <v>4967</v>
      </c>
      <c r="Z847" s="277"/>
      <c r="AA847" s="277" t="s">
        <v>186</v>
      </c>
      <c r="AB847" s="274"/>
      <c r="AC847" s="296" t="s">
        <v>425</v>
      </c>
      <c r="AD847" s="287"/>
      <c r="AE847" s="287"/>
      <c r="AF847" s="288"/>
      <c r="AG847" s="286"/>
      <c r="AH847" s="276"/>
      <c r="AI847" s="276"/>
      <c r="AJ847" s="274" t="s">
        <v>203</v>
      </c>
      <c r="AK847" s="274" t="s">
        <v>190</v>
      </c>
      <c r="AL847" s="274" t="s">
        <v>190</v>
      </c>
      <c r="AM847" s="260" t="s">
        <v>3916</v>
      </c>
      <c r="AN847" s="22">
        <v>182</v>
      </c>
      <c r="AO847" s="22">
        <v>0</v>
      </c>
      <c r="AP847" s="22">
        <v>20</v>
      </c>
      <c r="AQ847" s="22">
        <v>0</v>
      </c>
      <c r="AR847" s="22">
        <v>0</v>
      </c>
      <c r="AS847" s="22">
        <v>7</v>
      </c>
      <c r="AT847" s="22">
        <v>10</v>
      </c>
      <c r="AU847" s="316">
        <f t="shared" si="144"/>
        <v>219</v>
      </c>
      <c r="AV847" s="22">
        <v>190</v>
      </c>
      <c r="AW847" s="22">
        <v>0</v>
      </c>
      <c r="AX847" s="22">
        <v>20</v>
      </c>
      <c r="AY847" s="22">
        <v>0</v>
      </c>
      <c r="AZ847" s="22">
        <v>0</v>
      </c>
      <c r="BA847" s="22">
        <v>7</v>
      </c>
      <c r="BB847" s="22">
        <v>10</v>
      </c>
      <c r="BC847" s="316">
        <f t="shared" si="145"/>
        <v>227</v>
      </c>
      <c r="BD847" s="58">
        <f t="shared" si="146"/>
        <v>8</v>
      </c>
      <c r="BE847" s="58">
        <f t="shared" si="147"/>
        <v>0</v>
      </c>
      <c r="BF847" s="58">
        <f t="shared" si="148"/>
        <v>0</v>
      </c>
      <c r="BG847" s="58">
        <f t="shared" si="149"/>
        <v>0</v>
      </c>
      <c r="BH847" s="58">
        <f t="shared" si="150"/>
        <v>0</v>
      </c>
      <c r="BI847" s="58">
        <f t="shared" si="151"/>
        <v>0</v>
      </c>
      <c r="BJ847" s="58">
        <f t="shared" si="152"/>
        <v>0</v>
      </c>
      <c r="BK847" s="58">
        <f t="shared" si="153"/>
        <v>8</v>
      </c>
    </row>
    <row r="848" spans="1:63" ht="27" customHeight="1">
      <c r="A848" s="238">
        <f t="shared" si="154"/>
        <v>846</v>
      </c>
      <c r="B848" s="239"/>
      <c r="C848" s="266">
        <v>3740</v>
      </c>
      <c r="D848" s="241" t="s">
        <v>4968</v>
      </c>
      <c r="E848" s="267" t="s">
        <v>4969</v>
      </c>
      <c r="F848" s="268" t="s">
        <v>4924</v>
      </c>
      <c r="G848" s="269" t="s">
        <v>4778</v>
      </c>
      <c r="H848" s="245" t="s">
        <v>4688</v>
      </c>
      <c r="I848" s="246" t="s">
        <v>4970</v>
      </c>
      <c r="J848" s="270" t="s">
        <v>178</v>
      </c>
      <c r="K848" s="271">
        <v>32490</v>
      </c>
      <c r="L848" s="249" t="s">
        <v>179</v>
      </c>
      <c r="M848" s="272">
        <v>43762</v>
      </c>
      <c r="N848" s="272"/>
      <c r="O848" s="240"/>
      <c r="P848" s="240"/>
      <c r="Q848" s="238" t="s">
        <v>249</v>
      </c>
      <c r="R848" s="240" t="s">
        <v>182</v>
      </c>
      <c r="S848" s="240" t="s">
        <v>228</v>
      </c>
      <c r="T848" s="251"/>
      <c r="U848" s="273"/>
      <c r="V848" s="274" t="s">
        <v>184</v>
      </c>
      <c r="W848" s="274" t="s">
        <v>184</v>
      </c>
      <c r="X848" s="275">
        <v>4</v>
      </c>
      <c r="Y848" s="267" t="s">
        <v>4971</v>
      </c>
      <c r="Z848" s="277"/>
      <c r="AA848" s="277" t="s">
        <v>186</v>
      </c>
      <c r="AB848" s="274"/>
      <c r="AC848" s="296"/>
      <c r="AD848" s="287"/>
      <c r="AE848" s="287"/>
      <c r="AF848" s="288"/>
      <c r="AG848" s="286"/>
      <c r="AH848" s="276"/>
      <c r="AI848" s="276"/>
      <c r="AJ848" s="274" t="s">
        <v>203</v>
      </c>
      <c r="AK848" s="274" t="s">
        <v>190</v>
      </c>
      <c r="AL848" s="274" t="s">
        <v>190</v>
      </c>
      <c r="AM848" s="260" t="s">
        <v>241</v>
      </c>
      <c r="AN848" s="22">
        <v>182</v>
      </c>
      <c r="AO848" s="22">
        <v>0</v>
      </c>
      <c r="AP848" s="22">
        <v>20</v>
      </c>
      <c r="AQ848" s="22">
        <v>0</v>
      </c>
      <c r="AR848" s="22">
        <v>0</v>
      </c>
      <c r="AS848" s="22">
        <v>7</v>
      </c>
      <c r="AT848" s="22">
        <v>10</v>
      </c>
      <c r="AU848" s="316">
        <f t="shared" si="144"/>
        <v>219</v>
      </c>
      <c r="AV848" s="22">
        <v>190</v>
      </c>
      <c r="AW848" s="22">
        <v>0</v>
      </c>
      <c r="AX848" s="22">
        <v>20</v>
      </c>
      <c r="AY848" s="22">
        <v>0</v>
      </c>
      <c r="AZ848" s="22">
        <v>0</v>
      </c>
      <c r="BA848" s="22">
        <v>7</v>
      </c>
      <c r="BB848" s="22">
        <v>10</v>
      </c>
      <c r="BC848" s="316">
        <f t="shared" si="145"/>
        <v>227</v>
      </c>
      <c r="BD848" s="58">
        <f t="shared" si="146"/>
        <v>8</v>
      </c>
      <c r="BE848" s="58">
        <f t="shared" si="147"/>
        <v>0</v>
      </c>
      <c r="BF848" s="58">
        <f t="shared" si="148"/>
        <v>0</v>
      </c>
      <c r="BG848" s="58">
        <f t="shared" si="149"/>
        <v>0</v>
      </c>
      <c r="BH848" s="58">
        <f t="shared" si="150"/>
        <v>0</v>
      </c>
      <c r="BI848" s="58">
        <f t="shared" si="151"/>
        <v>0</v>
      </c>
      <c r="BJ848" s="58">
        <f t="shared" si="152"/>
        <v>0</v>
      </c>
      <c r="BK848" s="58">
        <f t="shared" si="153"/>
        <v>8</v>
      </c>
    </row>
    <row r="849" spans="1:63" ht="27" customHeight="1">
      <c r="A849" s="238">
        <f t="shared" si="154"/>
        <v>847</v>
      </c>
      <c r="B849" s="239"/>
      <c r="C849" s="266">
        <v>3738</v>
      </c>
      <c r="D849" s="241" t="s">
        <v>4972</v>
      </c>
      <c r="E849" s="267" t="s">
        <v>4973</v>
      </c>
      <c r="F849" s="268" t="s">
        <v>932</v>
      </c>
      <c r="G849" s="269" t="s">
        <v>3758</v>
      </c>
      <c r="H849" s="245" t="s">
        <v>934</v>
      </c>
      <c r="I849" s="246" t="s">
        <v>4974</v>
      </c>
      <c r="J849" s="270" t="s">
        <v>178</v>
      </c>
      <c r="K849" s="271">
        <v>32912</v>
      </c>
      <c r="L849" s="249" t="s">
        <v>179</v>
      </c>
      <c r="M849" s="272">
        <v>43762</v>
      </c>
      <c r="N849" s="272"/>
      <c r="O849" s="240"/>
      <c r="P849" s="240"/>
      <c r="Q849" s="238" t="s">
        <v>249</v>
      </c>
      <c r="R849" s="240" t="s">
        <v>182</v>
      </c>
      <c r="S849" s="240" t="s">
        <v>228</v>
      </c>
      <c r="T849" s="251"/>
      <c r="U849" s="273"/>
      <c r="V849" s="274" t="s">
        <v>184</v>
      </c>
      <c r="W849" s="274" t="s">
        <v>184</v>
      </c>
      <c r="X849" s="275">
        <v>8</v>
      </c>
      <c r="Y849" s="267" t="s">
        <v>4975</v>
      </c>
      <c r="Z849" s="277"/>
      <c r="AA849" s="277" t="s">
        <v>186</v>
      </c>
      <c r="AB849" s="274"/>
      <c r="AC849" s="296"/>
      <c r="AD849" s="287" t="s">
        <v>189</v>
      </c>
      <c r="AE849" s="287"/>
      <c r="AF849" s="288"/>
      <c r="AG849" s="286"/>
      <c r="AH849" s="276"/>
      <c r="AI849" s="276"/>
      <c r="AJ849" s="274" t="s">
        <v>203</v>
      </c>
      <c r="AK849" s="274" t="s">
        <v>190</v>
      </c>
      <c r="AL849" s="274" t="s">
        <v>190</v>
      </c>
      <c r="AM849" s="260" t="s">
        <v>241</v>
      </c>
      <c r="AN849" s="22">
        <v>182</v>
      </c>
      <c r="AO849" s="22">
        <v>0</v>
      </c>
      <c r="AP849" s="22">
        <v>20</v>
      </c>
      <c r="AQ849" s="22">
        <v>0</v>
      </c>
      <c r="AR849" s="22">
        <v>0</v>
      </c>
      <c r="AS849" s="22">
        <v>7</v>
      </c>
      <c r="AT849" s="22">
        <v>10</v>
      </c>
      <c r="AU849" s="316">
        <f t="shared" si="144"/>
        <v>219</v>
      </c>
      <c r="AV849" s="22">
        <v>190</v>
      </c>
      <c r="AW849" s="22">
        <v>0</v>
      </c>
      <c r="AX849" s="22">
        <v>20</v>
      </c>
      <c r="AY849" s="22">
        <v>0</v>
      </c>
      <c r="AZ849" s="22">
        <v>0</v>
      </c>
      <c r="BA849" s="22">
        <v>7</v>
      </c>
      <c r="BB849" s="22">
        <v>10</v>
      </c>
      <c r="BC849" s="316">
        <f t="shared" si="145"/>
        <v>227</v>
      </c>
      <c r="BD849" s="58">
        <f t="shared" si="146"/>
        <v>8</v>
      </c>
      <c r="BE849" s="58">
        <f t="shared" si="147"/>
        <v>0</v>
      </c>
      <c r="BF849" s="58">
        <f t="shared" si="148"/>
        <v>0</v>
      </c>
      <c r="BG849" s="58">
        <f t="shared" si="149"/>
        <v>0</v>
      </c>
      <c r="BH849" s="58">
        <f t="shared" si="150"/>
        <v>0</v>
      </c>
      <c r="BI849" s="58">
        <f t="shared" si="151"/>
        <v>0</v>
      </c>
      <c r="BJ849" s="58">
        <f t="shared" si="152"/>
        <v>0</v>
      </c>
      <c r="BK849" s="58">
        <f t="shared" si="153"/>
        <v>8</v>
      </c>
    </row>
    <row r="850" spans="1:63" ht="27" customHeight="1">
      <c r="A850" s="238">
        <f t="shared" si="154"/>
        <v>848</v>
      </c>
      <c r="B850" s="239"/>
      <c r="C850" s="266">
        <v>3680</v>
      </c>
      <c r="D850" s="266" t="s">
        <v>4976</v>
      </c>
      <c r="E850" s="267" t="s">
        <v>4977</v>
      </c>
      <c r="F850" s="268" t="s">
        <v>2346</v>
      </c>
      <c r="G850" s="269" t="s">
        <v>218</v>
      </c>
      <c r="H850" s="245" t="s">
        <v>4978</v>
      </c>
      <c r="I850" s="246" t="s">
        <v>1989</v>
      </c>
      <c r="J850" s="270" t="s">
        <v>178</v>
      </c>
      <c r="K850" s="271">
        <v>31962</v>
      </c>
      <c r="L850" s="249" t="s">
        <v>179</v>
      </c>
      <c r="M850" s="272">
        <v>43754</v>
      </c>
      <c r="N850" s="272"/>
      <c r="O850" s="240"/>
      <c r="P850" s="238" t="s">
        <v>3638</v>
      </c>
      <c r="Q850" s="238" t="s">
        <v>249</v>
      </c>
      <c r="R850" s="240" t="s">
        <v>182</v>
      </c>
      <c r="S850" s="240" t="s">
        <v>228</v>
      </c>
      <c r="T850" s="251"/>
      <c r="U850" s="273"/>
      <c r="V850" s="274" t="s">
        <v>184</v>
      </c>
      <c r="W850" s="274" t="s">
        <v>184</v>
      </c>
      <c r="X850" s="275">
        <v>8</v>
      </c>
      <c r="Y850" s="267" t="s">
        <v>4979</v>
      </c>
      <c r="Z850" s="277" t="s">
        <v>186</v>
      </c>
      <c r="AA850" s="277"/>
      <c r="AB850" s="277"/>
      <c r="AC850" s="296"/>
      <c r="AD850" s="287"/>
      <c r="AE850" s="287"/>
      <c r="AF850" s="288"/>
      <c r="AG850" s="286"/>
      <c r="AH850" s="276"/>
      <c r="AI850" s="276"/>
      <c r="AJ850" s="274" t="s">
        <v>203</v>
      </c>
      <c r="AK850" s="274" t="s">
        <v>190</v>
      </c>
      <c r="AL850" s="274" t="s">
        <v>190</v>
      </c>
      <c r="AM850" s="260" t="s">
        <v>3859</v>
      </c>
      <c r="AN850" s="22">
        <v>177</v>
      </c>
      <c r="AO850" s="22">
        <v>0</v>
      </c>
      <c r="AP850" s="22">
        <v>20</v>
      </c>
      <c r="AQ850" s="22">
        <v>0</v>
      </c>
      <c r="AR850" s="22">
        <v>0</v>
      </c>
      <c r="AS850" s="22">
        <v>7</v>
      </c>
      <c r="AT850" s="22">
        <v>10</v>
      </c>
      <c r="AU850" s="316">
        <f t="shared" si="144"/>
        <v>214</v>
      </c>
      <c r="AV850" s="22">
        <v>185</v>
      </c>
      <c r="AW850" s="22">
        <v>0</v>
      </c>
      <c r="AX850" s="22">
        <v>20</v>
      </c>
      <c r="AY850" s="22">
        <v>0</v>
      </c>
      <c r="AZ850" s="22">
        <v>0</v>
      </c>
      <c r="BA850" s="22">
        <v>7</v>
      </c>
      <c r="BB850" s="22">
        <v>10</v>
      </c>
      <c r="BC850" s="316">
        <f t="shared" si="145"/>
        <v>222</v>
      </c>
      <c r="BD850" s="58">
        <f t="shared" si="146"/>
        <v>8</v>
      </c>
      <c r="BE850" s="58">
        <f t="shared" si="147"/>
        <v>0</v>
      </c>
      <c r="BF850" s="58">
        <f t="shared" si="148"/>
        <v>0</v>
      </c>
      <c r="BG850" s="58">
        <f t="shared" si="149"/>
        <v>0</v>
      </c>
      <c r="BH850" s="58">
        <f t="shared" si="150"/>
        <v>0</v>
      </c>
      <c r="BI850" s="58">
        <f t="shared" si="151"/>
        <v>0</v>
      </c>
      <c r="BJ850" s="58">
        <f t="shared" si="152"/>
        <v>0</v>
      </c>
      <c r="BK850" s="58">
        <f t="shared" si="153"/>
        <v>8</v>
      </c>
    </row>
    <row r="851" spans="1:63" ht="27" customHeight="1">
      <c r="A851" s="238">
        <f t="shared" si="154"/>
        <v>849</v>
      </c>
      <c r="B851" s="239"/>
      <c r="C851" s="266">
        <v>3763</v>
      </c>
      <c r="D851" s="241" t="s">
        <v>4980</v>
      </c>
      <c r="E851" s="302" t="s">
        <v>4981</v>
      </c>
      <c r="F851" s="268" t="s">
        <v>1668</v>
      </c>
      <c r="G851" s="269" t="s">
        <v>4982</v>
      </c>
      <c r="H851" s="245" t="s">
        <v>4983</v>
      </c>
      <c r="I851" s="246" t="s">
        <v>4984</v>
      </c>
      <c r="J851" s="270" t="s">
        <v>178</v>
      </c>
      <c r="K851" s="271">
        <v>32131</v>
      </c>
      <c r="L851" s="249" t="s">
        <v>179</v>
      </c>
      <c r="M851" s="272">
        <v>43762</v>
      </c>
      <c r="N851" s="272"/>
      <c r="O851" s="240"/>
      <c r="P851" s="238" t="s">
        <v>3638</v>
      </c>
      <c r="Q851" s="238" t="s">
        <v>249</v>
      </c>
      <c r="R851" s="240" t="s">
        <v>182</v>
      </c>
      <c r="S851" s="240" t="s">
        <v>183</v>
      </c>
      <c r="T851" s="251"/>
      <c r="U851" s="273"/>
      <c r="V851" s="274" t="s">
        <v>184</v>
      </c>
      <c r="W851" s="274" t="s">
        <v>184</v>
      </c>
      <c r="X851" s="275"/>
      <c r="Y851" s="302" t="s">
        <v>4985</v>
      </c>
      <c r="Z851" s="277"/>
      <c r="AA851" s="277" t="s">
        <v>186</v>
      </c>
      <c r="AB851" s="274"/>
      <c r="AC851" s="296"/>
      <c r="AD851" s="287"/>
      <c r="AE851" s="287"/>
      <c r="AF851" s="288"/>
      <c r="AG851" s="286"/>
      <c r="AH851" s="276"/>
      <c r="AI851" s="276"/>
      <c r="AJ851" s="274" t="s">
        <v>203</v>
      </c>
      <c r="AK851" s="274" t="s">
        <v>190</v>
      </c>
      <c r="AL851" s="274" t="s">
        <v>190</v>
      </c>
      <c r="AM851" s="260" t="s">
        <v>3859</v>
      </c>
      <c r="AN851" s="22">
        <v>182</v>
      </c>
      <c r="AO851" s="22">
        <v>0</v>
      </c>
      <c r="AP851" s="22">
        <v>20</v>
      </c>
      <c r="AQ851" s="22">
        <v>0</v>
      </c>
      <c r="AR851" s="22">
        <v>0</v>
      </c>
      <c r="AS851" s="22">
        <v>7</v>
      </c>
      <c r="AT851" s="22">
        <v>10</v>
      </c>
      <c r="AU851" s="316">
        <f t="shared" si="144"/>
        <v>219</v>
      </c>
      <c r="AV851" s="22">
        <v>190</v>
      </c>
      <c r="AW851" s="22">
        <v>0</v>
      </c>
      <c r="AX851" s="22">
        <v>20</v>
      </c>
      <c r="AY851" s="22">
        <v>0</v>
      </c>
      <c r="AZ851" s="22">
        <v>0</v>
      </c>
      <c r="BA851" s="22">
        <v>7</v>
      </c>
      <c r="BB851" s="22">
        <v>10</v>
      </c>
      <c r="BC851" s="316">
        <f t="shared" si="145"/>
        <v>227</v>
      </c>
      <c r="BD851" s="58">
        <f t="shared" si="146"/>
        <v>8</v>
      </c>
      <c r="BE851" s="58">
        <f t="shared" si="147"/>
        <v>0</v>
      </c>
      <c r="BF851" s="58">
        <f t="shared" si="148"/>
        <v>0</v>
      </c>
      <c r="BG851" s="58">
        <f t="shared" si="149"/>
        <v>0</v>
      </c>
      <c r="BH851" s="58">
        <f t="shared" si="150"/>
        <v>0</v>
      </c>
      <c r="BI851" s="58">
        <f t="shared" si="151"/>
        <v>0</v>
      </c>
      <c r="BJ851" s="58">
        <f t="shared" si="152"/>
        <v>0</v>
      </c>
      <c r="BK851" s="58">
        <f t="shared" si="153"/>
        <v>8</v>
      </c>
    </row>
    <row r="852" spans="1:63" ht="27" customHeight="1">
      <c r="A852" s="238">
        <f t="shared" si="154"/>
        <v>850</v>
      </c>
      <c r="B852" s="239"/>
      <c r="C852" s="266">
        <v>3762</v>
      </c>
      <c r="D852" s="241" t="s">
        <v>4986</v>
      </c>
      <c r="E852" s="267" t="s">
        <v>4987</v>
      </c>
      <c r="F852" s="268" t="s">
        <v>1230</v>
      </c>
      <c r="G852" s="269" t="s">
        <v>4041</v>
      </c>
      <c r="H852" s="245" t="s">
        <v>4116</v>
      </c>
      <c r="I852" s="246" t="s">
        <v>4042</v>
      </c>
      <c r="J852" s="270" t="s">
        <v>178</v>
      </c>
      <c r="K852" s="271">
        <v>30505</v>
      </c>
      <c r="L852" s="249" t="s">
        <v>179</v>
      </c>
      <c r="M852" s="272">
        <v>43762</v>
      </c>
      <c r="N852" s="272"/>
      <c r="O852" s="240"/>
      <c r="P852" s="238" t="s">
        <v>3638</v>
      </c>
      <c r="Q852" s="238" t="s">
        <v>249</v>
      </c>
      <c r="R852" s="240" t="s">
        <v>182</v>
      </c>
      <c r="S852" s="240" t="s">
        <v>1551</v>
      </c>
      <c r="T852" s="251"/>
      <c r="U852" s="273"/>
      <c r="V852" s="274" t="s">
        <v>184</v>
      </c>
      <c r="W852" s="274" t="s">
        <v>184</v>
      </c>
      <c r="X852" s="275">
        <v>5</v>
      </c>
      <c r="Y852" s="267" t="s">
        <v>4988</v>
      </c>
      <c r="Z852" s="277"/>
      <c r="AA852" s="277" t="s">
        <v>186</v>
      </c>
      <c r="AB852" s="274"/>
      <c r="AC852" s="296" t="s">
        <v>4989</v>
      </c>
      <c r="AD852" s="287"/>
      <c r="AE852" s="287"/>
      <c r="AF852" s="288"/>
      <c r="AG852" s="286"/>
      <c r="AH852" s="276"/>
      <c r="AI852" s="276"/>
      <c r="AJ852" s="274" t="s">
        <v>203</v>
      </c>
      <c r="AK852" s="274" t="s">
        <v>190</v>
      </c>
      <c r="AL852" s="274" t="s">
        <v>190</v>
      </c>
      <c r="AM852" s="260" t="s">
        <v>3859</v>
      </c>
      <c r="AN852" s="22">
        <v>182</v>
      </c>
      <c r="AO852" s="22">
        <v>0</v>
      </c>
      <c r="AP852" s="22">
        <v>20</v>
      </c>
      <c r="AQ852" s="22">
        <v>0</v>
      </c>
      <c r="AR852" s="22">
        <v>0</v>
      </c>
      <c r="AS852" s="22">
        <v>7</v>
      </c>
      <c r="AT852" s="22">
        <v>10</v>
      </c>
      <c r="AU852" s="316">
        <f t="shared" si="144"/>
        <v>219</v>
      </c>
      <c r="AV852" s="22">
        <v>190</v>
      </c>
      <c r="AW852" s="22">
        <v>0</v>
      </c>
      <c r="AX852" s="22">
        <v>20</v>
      </c>
      <c r="AY852" s="22">
        <v>0</v>
      </c>
      <c r="AZ852" s="22">
        <v>0</v>
      </c>
      <c r="BA852" s="22">
        <v>7</v>
      </c>
      <c r="BB852" s="22">
        <v>10</v>
      </c>
      <c r="BC852" s="316">
        <f t="shared" si="145"/>
        <v>227</v>
      </c>
      <c r="BD852" s="58">
        <f t="shared" si="146"/>
        <v>8</v>
      </c>
      <c r="BE852" s="58">
        <f t="shared" si="147"/>
        <v>0</v>
      </c>
      <c r="BF852" s="58">
        <f t="shared" si="148"/>
        <v>0</v>
      </c>
      <c r="BG852" s="58">
        <f t="shared" si="149"/>
        <v>0</v>
      </c>
      <c r="BH852" s="58">
        <f t="shared" si="150"/>
        <v>0</v>
      </c>
      <c r="BI852" s="58">
        <f t="shared" si="151"/>
        <v>0</v>
      </c>
      <c r="BJ852" s="58">
        <f t="shared" si="152"/>
        <v>0</v>
      </c>
      <c r="BK852" s="58">
        <f t="shared" si="153"/>
        <v>8</v>
      </c>
    </row>
    <row r="853" spans="1:63" ht="27" customHeight="1">
      <c r="A853" s="238">
        <f t="shared" si="154"/>
        <v>851</v>
      </c>
      <c r="B853" s="239"/>
      <c r="C853" s="266">
        <v>3760</v>
      </c>
      <c r="D853" s="241" t="s">
        <v>4990</v>
      </c>
      <c r="E853" s="267" t="s">
        <v>4991</v>
      </c>
      <c r="F853" s="268" t="s">
        <v>2141</v>
      </c>
      <c r="G853" s="269" t="s">
        <v>4992</v>
      </c>
      <c r="H853" s="245" t="s">
        <v>4993</v>
      </c>
      <c r="I853" s="246" t="s">
        <v>4994</v>
      </c>
      <c r="J853" s="270" t="s">
        <v>178</v>
      </c>
      <c r="K853" s="271">
        <v>35433</v>
      </c>
      <c r="L853" s="249" t="s">
        <v>179</v>
      </c>
      <c r="M853" s="272">
        <v>43762</v>
      </c>
      <c r="N853" s="272"/>
      <c r="O853" s="240"/>
      <c r="P853" s="238" t="s">
        <v>3638</v>
      </c>
      <c r="Q853" s="238" t="s">
        <v>249</v>
      </c>
      <c r="R853" s="240" t="s">
        <v>182</v>
      </c>
      <c r="S853" s="240" t="s">
        <v>211</v>
      </c>
      <c r="T853" s="251"/>
      <c r="U853" s="273"/>
      <c r="V853" s="274" t="s">
        <v>184</v>
      </c>
      <c r="W853" s="274" t="s">
        <v>184</v>
      </c>
      <c r="X853" s="275">
        <v>7</v>
      </c>
      <c r="Y853" s="267" t="s">
        <v>4995</v>
      </c>
      <c r="Z853" s="277" t="s">
        <v>186</v>
      </c>
      <c r="AA853" s="277"/>
      <c r="AB853" s="274"/>
      <c r="AC853" s="296"/>
      <c r="AD853" s="287"/>
      <c r="AE853" s="287"/>
      <c r="AF853" s="288"/>
      <c r="AG853" s="286"/>
      <c r="AH853" s="276"/>
      <c r="AI853" s="276"/>
      <c r="AJ853" s="274" t="s">
        <v>203</v>
      </c>
      <c r="AK853" s="274" t="s">
        <v>190</v>
      </c>
      <c r="AL853" s="274" t="s">
        <v>190</v>
      </c>
      <c r="AM853" s="260" t="s">
        <v>3859</v>
      </c>
      <c r="AN853" s="22">
        <v>177</v>
      </c>
      <c r="AO853" s="22">
        <v>0</v>
      </c>
      <c r="AP853" s="22">
        <v>20</v>
      </c>
      <c r="AQ853" s="22">
        <v>0</v>
      </c>
      <c r="AR853" s="22">
        <v>0</v>
      </c>
      <c r="AS853" s="22">
        <v>7</v>
      </c>
      <c r="AT853" s="22">
        <v>10</v>
      </c>
      <c r="AU853" s="316">
        <f t="shared" si="144"/>
        <v>214</v>
      </c>
      <c r="AV853" s="22">
        <v>185</v>
      </c>
      <c r="AW853" s="22">
        <v>0</v>
      </c>
      <c r="AX853" s="22">
        <v>20</v>
      </c>
      <c r="AY853" s="22">
        <v>0</v>
      </c>
      <c r="AZ853" s="22">
        <v>0</v>
      </c>
      <c r="BA853" s="22">
        <v>7</v>
      </c>
      <c r="BB853" s="22">
        <v>10</v>
      </c>
      <c r="BC853" s="316">
        <f t="shared" si="145"/>
        <v>222</v>
      </c>
      <c r="BD853" s="58">
        <f t="shared" si="146"/>
        <v>8</v>
      </c>
      <c r="BE853" s="58">
        <f t="shared" si="147"/>
        <v>0</v>
      </c>
      <c r="BF853" s="58">
        <f t="shared" si="148"/>
        <v>0</v>
      </c>
      <c r="BG853" s="58">
        <f t="shared" si="149"/>
        <v>0</v>
      </c>
      <c r="BH853" s="58">
        <f t="shared" si="150"/>
        <v>0</v>
      </c>
      <c r="BI853" s="58">
        <f t="shared" si="151"/>
        <v>0</v>
      </c>
      <c r="BJ853" s="58">
        <f t="shared" si="152"/>
        <v>0</v>
      </c>
      <c r="BK853" s="58">
        <f t="shared" si="153"/>
        <v>8</v>
      </c>
    </row>
    <row r="854" spans="1:63" ht="27" customHeight="1">
      <c r="A854" s="238">
        <f t="shared" si="154"/>
        <v>852</v>
      </c>
      <c r="B854" s="239"/>
      <c r="C854" s="266">
        <v>3710</v>
      </c>
      <c r="D854" s="241" t="s">
        <v>4996</v>
      </c>
      <c r="E854" s="302" t="s">
        <v>4997</v>
      </c>
      <c r="F854" s="268" t="s">
        <v>457</v>
      </c>
      <c r="G854" s="269" t="s">
        <v>254</v>
      </c>
      <c r="H854" s="245" t="s">
        <v>459</v>
      </c>
      <c r="I854" s="246" t="s">
        <v>4998</v>
      </c>
      <c r="J854" s="270" t="s">
        <v>178</v>
      </c>
      <c r="K854" s="271">
        <v>36012</v>
      </c>
      <c r="L854" s="249" t="s">
        <v>179</v>
      </c>
      <c r="M854" s="272">
        <v>43762</v>
      </c>
      <c r="N854" s="272"/>
      <c r="O854" s="240"/>
      <c r="P854" s="238" t="s">
        <v>3940</v>
      </c>
      <c r="Q854" s="238" t="s">
        <v>249</v>
      </c>
      <c r="R854" s="240" t="s">
        <v>182</v>
      </c>
      <c r="S854" s="240" t="s">
        <v>211</v>
      </c>
      <c r="T854" s="251"/>
      <c r="U854" s="273"/>
      <c r="V854" s="274" t="s">
        <v>184</v>
      </c>
      <c r="W854" s="274" t="s">
        <v>184</v>
      </c>
      <c r="X854" s="275">
        <v>5</v>
      </c>
      <c r="Y854" s="267" t="s">
        <v>4999</v>
      </c>
      <c r="Z854" s="277" t="s">
        <v>186</v>
      </c>
      <c r="AA854" s="277"/>
      <c r="AB854" s="274"/>
      <c r="AC854" s="296"/>
      <c r="AD854" s="287"/>
      <c r="AE854" s="287"/>
      <c r="AF854" s="288"/>
      <c r="AG854" s="286"/>
      <c r="AH854" s="276"/>
      <c r="AI854" s="276"/>
      <c r="AJ854" s="274" t="s">
        <v>203</v>
      </c>
      <c r="AK854" s="274" t="s">
        <v>190</v>
      </c>
      <c r="AL854" s="274" t="s">
        <v>190</v>
      </c>
      <c r="AM854" s="260" t="s">
        <v>3859</v>
      </c>
      <c r="AN854" s="22">
        <v>177</v>
      </c>
      <c r="AO854" s="22">
        <v>0</v>
      </c>
      <c r="AP854" s="22">
        <v>20</v>
      </c>
      <c r="AQ854" s="22">
        <v>0</v>
      </c>
      <c r="AR854" s="22">
        <v>0</v>
      </c>
      <c r="AS854" s="22">
        <v>7</v>
      </c>
      <c r="AT854" s="22">
        <v>10</v>
      </c>
      <c r="AU854" s="316">
        <f t="shared" si="144"/>
        <v>214</v>
      </c>
      <c r="AV854" s="22">
        <v>185</v>
      </c>
      <c r="AW854" s="22">
        <v>0</v>
      </c>
      <c r="AX854" s="22">
        <v>20</v>
      </c>
      <c r="AY854" s="22">
        <v>0</v>
      </c>
      <c r="AZ854" s="22">
        <v>0</v>
      </c>
      <c r="BA854" s="22">
        <v>7</v>
      </c>
      <c r="BB854" s="22">
        <v>10</v>
      </c>
      <c r="BC854" s="316">
        <f t="shared" si="145"/>
        <v>222</v>
      </c>
      <c r="BD854" s="58">
        <f t="shared" si="146"/>
        <v>8</v>
      </c>
      <c r="BE854" s="58">
        <f t="shared" si="147"/>
        <v>0</v>
      </c>
      <c r="BF854" s="58">
        <f t="shared" si="148"/>
        <v>0</v>
      </c>
      <c r="BG854" s="58">
        <f t="shared" si="149"/>
        <v>0</v>
      </c>
      <c r="BH854" s="58">
        <f t="shared" si="150"/>
        <v>0</v>
      </c>
      <c r="BI854" s="58">
        <f t="shared" si="151"/>
        <v>0</v>
      </c>
      <c r="BJ854" s="58">
        <f t="shared" si="152"/>
        <v>0</v>
      </c>
      <c r="BK854" s="58">
        <f t="shared" si="153"/>
        <v>8</v>
      </c>
    </row>
    <row r="855" spans="1:63" ht="27" customHeight="1">
      <c r="A855" s="238">
        <f t="shared" si="154"/>
        <v>853</v>
      </c>
      <c r="B855" s="239"/>
      <c r="C855" s="266">
        <v>3709</v>
      </c>
      <c r="D855" s="241" t="s">
        <v>5000</v>
      </c>
      <c r="E855" s="267" t="s">
        <v>5001</v>
      </c>
      <c r="F855" s="268" t="s">
        <v>5002</v>
      </c>
      <c r="G855" s="269" t="s">
        <v>5003</v>
      </c>
      <c r="H855" s="245" t="s">
        <v>5004</v>
      </c>
      <c r="I855" s="246" t="s">
        <v>5005</v>
      </c>
      <c r="J855" s="270" t="s">
        <v>178</v>
      </c>
      <c r="K855" s="271">
        <v>37500</v>
      </c>
      <c r="L855" s="249" t="s">
        <v>179</v>
      </c>
      <c r="M855" s="272">
        <v>43762</v>
      </c>
      <c r="N855" s="272"/>
      <c r="O855" s="240"/>
      <c r="P855" s="238" t="s">
        <v>3940</v>
      </c>
      <c r="Q855" s="238" t="s">
        <v>249</v>
      </c>
      <c r="R855" s="240" t="s">
        <v>182</v>
      </c>
      <c r="S855" s="240" t="s">
        <v>433</v>
      </c>
      <c r="T855" s="251"/>
      <c r="U855" s="273"/>
      <c r="V855" s="274" t="s">
        <v>184</v>
      </c>
      <c r="W855" s="274" t="s">
        <v>184</v>
      </c>
      <c r="X855" s="275">
        <v>6</v>
      </c>
      <c r="Y855" s="267" t="s">
        <v>5006</v>
      </c>
      <c r="Z855" s="277" t="s">
        <v>186</v>
      </c>
      <c r="AA855" s="277"/>
      <c r="AB855" s="274"/>
      <c r="AC855" s="296"/>
      <c r="AD855" s="287"/>
      <c r="AE855" s="287"/>
      <c r="AF855" s="288"/>
      <c r="AG855" s="286"/>
      <c r="AH855" s="276"/>
      <c r="AI855" s="276"/>
      <c r="AJ855" s="274" t="s">
        <v>203</v>
      </c>
      <c r="AK855" s="274" t="s">
        <v>190</v>
      </c>
      <c r="AL855" s="274" t="s">
        <v>190</v>
      </c>
      <c r="AM855" s="260" t="s">
        <v>3859</v>
      </c>
      <c r="AN855" s="22">
        <v>182</v>
      </c>
      <c r="AO855" s="22">
        <v>0</v>
      </c>
      <c r="AP855" s="22">
        <v>20</v>
      </c>
      <c r="AQ855" s="22">
        <v>0</v>
      </c>
      <c r="AR855" s="22">
        <v>0</v>
      </c>
      <c r="AS855" s="22">
        <v>7</v>
      </c>
      <c r="AT855" s="22">
        <v>10</v>
      </c>
      <c r="AU855" s="316">
        <f t="shared" si="144"/>
        <v>219</v>
      </c>
      <c r="AV855" s="22">
        <v>190</v>
      </c>
      <c r="AW855" s="22">
        <v>0</v>
      </c>
      <c r="AX855" s="22">
        <v>20</v>
      </c>
      <c r="AY855" s="22">
        <v>0</v>
      </c>
      <c r="AZ855" s="22">
        <v>0</v>
      </c>
      <c r="BA855" s="22">
        <v>7</v>
      </c>
      <c r="BB855" s="22">
        <v>10</v>
      </c>
      <c r="BC855" s="316">
        <f t="shared" si="145"/>
        <v>227</v>
      </c>
      <c r="BD855" s="58">
        <f t="shared" si="146"/>
        <v>8</v>
      </c>
      <c r="BE855" s="58">
        <f t="shared" si="147"/>
        <v>0</v>
      </c>
      <c r="BF855" s="58">
        <f t="shared" si="148"/>
        <v>0</v>
      </c>
      <c r="BG855" s="58">
        <f t="shared" si="149"/>
        <v>0</v>
      </c>
      <c r="BH855" s="58">
        <f t="shared" si="150"/>
        <v>0</v>
      </c>
      <c r="BI855" s="58">
        <f t="shared" si="151"/>
        <v>0</v>
      </c>
      <c r="BJ855" s="58">
        <f t="shared" si="152"/>
        <v>0</v>
      </c>
      <c r="BK855" s="58">
        <f t="shared" si="153"/>
        <v>8</v>
      </c>
    </row>
    <row r="856" spans="1:63" ht="27" customHeight="1">
      <c r="A856" s="238">
        <f t="shared" si="154"/>
        <v>854</v>
      </c>
      <c r="B856" s="239"/>
      <c r="C856" s="266">
        <v>3707</v>
      </c>
      <c r="D856" s="284">
        <v>0</v>
      </c>
      <c r="E856" s="267" t="s">
        <v>5007</v>
      </c>
      <c r="F856" s="268" t="s">
        <v>963</v>
      </c>
      <c r="G856" s="269" t="s">
        <v>5008</v>
      </c>
      <c r="H856" s="245" t="s">
        <v>964</v>
      </c>
      <c r="I856" s="246" t="s">
        <v>5009</v>
      </c>
      <c r="J856" s="270" t="s">
        <v>178</v>
      </c>
      <c r="K856" s="271">
        <v>29331</v>
      </c>
      <c r="L856" s="249" t="s">
        <v>179</v>
      </c>
      <c r="M856" s="272">
        <v>43762</v>
      </c>
      <c r="N856" s="272"/>
      <c r="O856" s="240"/>
      <c r="P856" s="238" t="s">
        <v>3638</v>
      </c>
      <c r="Q856" s="238" t="s">
        <v>249</v>
      </c>
      <c r="R856" s="240" t="s">
        <v>182</v>
      </c>
      <c r="S856" s="240" t="s">
        <v>219</v>
      </c>
      <c r="T856" s="251"/>
      <c r="U856" s="273"/>
      <c r="V856" s="274" t="s">
        <v>184</v>
      </c>
      <c r="W856" s="274" t="s">
        <v>184</v>
      </c>
      <c r="X856" s="275">
        <v>4</v>
      </c>
      <c r="Y856" s="267" t="s">
        <v>5010</v>
      </c>
      <c r="Z856" s="277" t="s">
        <v>186</v>
      </c>
      <c r="AA856" s="277"/>
      <c r="AB856" s="274"/>
      <c r="AC856" s="296"/>
      <c r="AD856" s="287"/>
      <c r="AE856" s="287"/>
      <c r="AF856" s="288"/>
      <c r="AG856" s="286"/>
      <c r="AH856" s="276"/>
      <c r="AI856" s="276"/>
      <c r="AJ856" s="274" t="s">
        <v>203</v>
      </c>
      <c r="AK856" s="274" t="s">
        <v>190</v>
      </c>
      <c r="AL856" s="274" t="s">
        <v>190</v>
      </c>
      <c r="AM856" s="260" t="s">
        <v>3859</v>
      </c>
      <c r="AN856" s="22">
        <v>182</v>
      </c>
      <c r="AO856" s="22">
        <v>0</v>
      </c>
      <c r="AP856" s="22">
        <v>20</v>
      </c>
      <c r="AQ856" s="22">
        <v>0</v>
      </c>
      <c r="AR856" s="22">
        <v>0</v>
      </c>
      <c r="AS856" s="22">
        <v>7</v>
      </c>
      <c r="AT856" s="22">
        <v>10</v>
      </c>
      <c r="AU856" s="316">
        <f t="shared" si="144"/>
        <v>219</v>
      </c>
      <c r="AV856" s="22">
        <v>190</v>
      </c>
      <c r="AW856" s="22">
        <v>0</v>
      </c>
      <c r="AX856" s="22">
        <v>20</v>
      </c>
      <c r="AY856" s="22">
        <v>0</v>
      </c>
      <c r="AZ856" s="22">
        <v>0</v>
      </c>
      <c r="BA856" s="22">
        <v>7</v>
      </c>
      <c r="BB856" s="22">
        <v>10</v>
      </c>
      <c r="BC856" s="316">
        <f t="shared" si="145"/>
        <v>227</v>
      </c>
      <c r="BD856" s="58">
        <f t="shared" si="146"/>
        <v>8</v>
      </c>
      <c r="BE856" s="58">
        <f t="shared" si="147"/>
        <v>0</v>
      </c>
      <c r="BF856" s="58">
        <f t="shared" si="148"/>
        <v>0</v>
      </c>
      <c r="BG856" s="58">
        <f t="shared" si="149"/>
        <v>0</v>
      </c>
      <c r="BH856" s="58">
        <f t="shared" si="150"/>
        <v>0</v>
      </c>
      <c r="BI856" s="58">
        <f t="shared" si="151"/>
        <v>0</v>
      </c>
      <c r="BJ856" s="58">
        <f t="shared" si="152"/>
        <v>0</v>
      </c>
      <c r="BK856" s="58">
        <f t="shared" si="153"/>
        <v>8</v>
      </c>
    </row>
    <row r="857" spans="1:63" ht="27" customHeight="1">
      <c r="A857" s="238">
        <f t="shared" si="154"/>
        <v>855</v>
      </c>
      <c r="B857" s="239"/>
      <c r="C857" s="266">
        <v>3715</v>
      </c>
      <c r="D857" s="284">
        <v>0</v>
      </c>
      <c r="E857" s="302" t="s">
        <v>296</v>
      </c>
      <c r="F857" s="268" t="s">
        <v>5011</v>
      </c>
      <c r="G857" s="269" t="s">
        <v>2201</v>
      </c>
      <c r="H857" s="245">
        <v>0</v>
      </c>
      <c r="I857" s="246">
        <v>0</v>
      </c>
      <c r="J857" s="270" t="s">
        <v>178</v>
      </c>
      <c r="K857" s="271">
        <v>36771</v>
      </c>
      <c r="L857" s="249" t="s">
        <v>179</v>
      </c>
      <c r="M857" s="272">
        <v>43762</v>
      </c>
      <c r="N857" s="272"/>
      <c r="O857" s="240"/>
      <c r="P857" s="238" t="s">
        <v>3940</v>
      </c>
      <c r="Q857" s="238" t="s">
        <v>249</v>
      </c>
      <c r="R857" s="240" t="s">
        <v>182</v>
      </c>
      <c r="S857" s="240" t="s">
        <v>211</v>
      </c>
      <c r="T857" s="251"/>
      <c r="U857" s="273"/>
      <c r="V857" s="274" t="s">
        <v>184</v>
      </c>
      <c r="W857" s="274">
        <v>362</v>
      </c>
      <c r="X857" s="275">
        <v>7</v>
      </c>
      <c r="Y857" s="267" t="s">
        <v>5012</v>
      </c>
      <c r="Z857" s="277" t="s">
        <v>186</v>
      </c>
      <c r="AA857" s="277"/>
      <c r="AB857" s="274"/>
      <c r="AC857" s="296"/>
      <c r="AD857" s="287"/>
      <c r="AE857" s="287"/>
      <c r="AF857" s="288"/>
      <c r="AG857" s="286"/>
      <c r="AH857" s="276"/>
      <c r="AI857" s="276"/>
      <c r="AJ857" s="274" t="s">
        <v>203</v>
      </c>
      <c r="AK857" s="274" t="s">
        <v>190</v>
      </c>
      <c r="AL857" s="274" t="s">
        <v>190</v>
      </c>
      <c r="AM857" s="260" t="s">
        <v>3859</v>
      </c>
      <c r="AN857" s="22">
        <v>177</v>
      </c>
      <c r="AO857" s="22">
        <v>0</v>
      </c>
      <c r="AP857" s="22">
        <v>20</v>
      </c>
      <c r="AQ857" s="22">
        <v>0</v>
      </c>
      <c r="AR857" s="22">
        <v>0</v>
      </c>
      <c r="AS857" s="22">
        <v>7</v>
      </c>
      <c r="AT857" s="22">
        <v>10</v>
      </c>
      <c r="AU857" s="316">
        <f t="shared" si="144"/>
        <v>214</v>
      </c>
      <c r="AV857" s="22">
        <v>185</v>
      </c>
      <c r="AW857" s="22">
        <v>0</v>
      </c>
      <c r="AX857" s="22">
        <v>20</v>
      </c>
      <c r="AY857" s="22">
        <v>0</v>
      </c>
      <c r="AZ857" s="22">
        <v>0</v>
      </c>
      <c r="BA857" s="22">
        <v>7</v>
      </c>
      <c r="BB857" s="22">
        <v>10</v>
      </c>
      <c r="BC857" s="316">
        <f t="shared" si="145"/>
        <v>222</v>
      </c>
      <c r="BD857" s="58">
        <f t="shared" si="146"/>
        <v>8</v>
      </c>
      <c r="BE857" s="58">
        <f t="shared" si="147"/>
        <v>0</v>
      </c>
      <c r="BF857" s="58">
        <f t="shared" si="148"/>
        <v>0</v>
      </c>
      <c r="BG857" s="58">
        <f t="shared" si="149"/>
        <v>0</v>
      </c>
      <c r="BH857" s="58">
        <f t="shared" si="150"/>
        <v>0</v>
      </c>
      <c r="BI857" s="58">
        <f t="shared" si="151"/>
        <v>0</v>
      </c>
      <c r="BJ857" s="58">
        <f t="shared" si="152"/>
        <v>0</v>
      </c>
      <c r="BK857" s="58">
        <f t="shared" si="153"/>
        <v>8</v>
      </c>
    </row>
    <row r="858" spans="1:63" ht="27" customHeight="1">
      <c r="A858" s="238">
        <f t="shared" si="154"/>
        <v>856</v>
      </c>
      <c r="B858" s="239"/>
      <c r="C858" s="266">
        <v>3712</v>
      </c>
      <c r="D858" s="241" t="s">
        <v>5013</v>
      </c>
      <c r="E858" s="267" t="s">
        <v>5014</v>
      </c>
      <c r="F858" s="268" t="s">
        <v>540</v>
      </c>
      <c r="G858" s="269" t="s">
        <v>3598</v>
      </c>
      <c r="H858" s="245" t="s">
        <v>5015</v>
      </c>
      <c r="I858" s="246" t="s">
        <v>3600</v>
      </c>
      <c r="J858" s="270" t="s">
        <v>178</v>
      </c>
      <c r="K858" s="271">
        <v>34528</v>
      </c>
      <c r="L858" s="249" t="s">
        <v>179</v>
      </c>
      <c r="M858" s="272">
        <v>43762</v>
      </c>
      <c r="N858" s="272"/>
      <c r="O858" s="240"/>
      <c r="P858" s="238" t="s">
        <v>3649</v>
      </c>
      <c r="Q858" s="238" t="s">
        <v>249</v>
      </c>
      <c r="R858" s="240" t="s">
        <v>182</v>
      </c>
      <c r="S858" s="240" t="s">
        <v>256</v>
      </c>
      <c r="T858" s="251"/>
      <c r="U858" s="273"/>
      <c r="V858" s="274" t="s">
        <v>184</v>
      </c>
      <c r="W858" s="274" t="s">
        <v>184</v>
      </c>
      <c r="X858" s="275">
        <v>8</v>
      </c>
      <c r="Y858" s="267" t="s">
        <v>5016</v>
      </c>
      <c r="Z858" s="277"/>
      <c r="AA858" s="277" t="s">
        <v>186</v>
      </c>
      <c r="AB858" s="274"/>
      <c r="AC858" s="296"/>
      <c r="AD858" s="287" t="s">
        <v>188</v>
      </c>
      <c r="AE858" s="287"/>
      <c r="AF858" s="288"/>
      <c r="AG858" s="286"/>
      <c r="AH858" s="276"/>
      <c r="AI858" s="276"/>
      <c r="AJ858" s="274" t="s">
        <v>203</v>
      </c>
      <c r="AK858" s="274" t="s">
        <v>190</v>
      </c>
      <c r="AL858" s="274" t="s">
        <v>190</v>
      </c>
      <c r="AM858" s="260" t="s">
        <v>3859</v>
      </c>
      <c r="AN858" s="22">
        <v>182</v>
      </c>
      <c r="AO858" s="22">
        <v>0</v>
      </c>
      <c r="AP858" s="22">
        <v>20</v>
      </c>
      <c r="AQ858" s="22">
        <v>0</v>
      </c>
      <c r="AR858" s="22">
        <v>0</v>
      </c>
      <c r="AS858" s="22">
        <v>7</v>
      </c>
      <c r="AT858" s="22">
        <v>10</v>
      </c>
      <c r="AU858" s="316">
        <f t="shared" si="144"/>
        <v>219</v>
      </c>
      <c r="AV858" s="22">
        <v>190</v>
      </c>
      <c r="AW858" s="22">
        <v>0</v>
      </c>
      <c r="AX858" s="22">
        <v>20</v>
      </c>
      <c r="AY858" s="22">
        <v>0</v>
      </c>
      <c r="AZ858" s="22">
        <v>0</v>
      </c>
      <c r="BA858" s="22">
        <v>7</v>
      </c>
      <c r="BB858" s="22">
        <v>10</v>
      </c>
      <c r="BC858" s="316">
        <f t="shared" si="145"/>
        <v>227</v>
      </c>
      <c r="BD858" s="58">
        <f t="shared" si="146"/>
        <v>8</v>
      </c>
      <c r="BE858" s="58">
        <f t="shared" si="147"/>
        <v>0</v>
      </c>
      <c r="BF858" s="58">
        <f t="shared" si="148"/>
        <v>0</v>
      </c>
      <c r="BG858" s="58">
        <f t="shared" si="149"/>
        <v>0</v>
      </c>
      <c r="BH858" s="58">
        <f t="shared" si="150"/>
        <v>0</v>
      </c>
      <c r="BI858" s="58">
        <f t="shared" si="151"/>
        <v>0</v>
      </c>
      <c r="BJ858" s="58">
        <f t="shared" si="152"/>
        <v>0</v>
      </c>
      <c r="BK858" s="58">
        <f t="shared" si="153"/>
        <v>8</v>
      </c>
    </row>
    <row r="859" spans="1:63" ht="27" customHeight="1">
      <c r="A859" s="238">
        <f t="shared" si="154"/>
        <v>857</v>
      </c>
      <c r="B859" s="239"/>
      <c r="C859" s="266">
        <v>3713</v>
      </c>
      <c r="D859" s="284">
        <v>0</v>
      </c>
      <c r="E859" s="267" t="s">
        <v>296</v>
      </c>
      <c r="F859" s="268" t="s">
        <v>5017</v>
      </c>
      <c r="G859" s="269" t="s">
        <v>1809</v>
      </c>
      <c r="H859" s="245">
        <v>0</v>
      </c>
      <c r="I859" s="246">
        <v>0</v>
      </c>
      <c r="J859" s="270" t="s">
        <v>178</v>
      </c>
      <c r="K859" s="271">
        <v>36988</v>
      </c>
      <c r="L859" s="249" t="s">
        <v>179</v>
      </c>
      <c r="M859" s="272">
        <v>43762</v>
      </c>
      <c r="N859" s="272"/>
      <c r="O859" s="240"/>
      <c r="P859" s="238" t="s">
        <v>3940</v>
      </c>
      <c r="Q859" s="238" t="s">
        <v>249</v>
      </c>
      <c r="R859" s="240" t="s">
        <v>182</v>
      </c>
      <c r="S859" s="240" t="s">
        <v>256</v>
      </c>
      <c r="T859" s="251"/>
      <c r="U859" s="273"/>
      <c r="V859" s="274" t="s">
        <v>184</v>
      </c>
      <c r="W859" s="274">
        <v>235</v>
      </c>
      <c r="X859" s="275">
        <v>10</v>
      </c>
      <c r="Y859" s="267" t="s">
        <v>5018</v>
      </c>
      <c r="Z859" s="277" t="s">
        <v>186</v>
      </c>
      <c r="AA859" s="277"/>
      <c r="AB859" s="274"/>
      <c r="AC859" s="296"/>
      <c r="AD859" s="287"/>
      <c r="AE859" s="287"/>
      <c r="AF859" s="288"/>
      <c r="AG859" s="286"/>
      <c r="AH859" s="276"/>
      <c r="AI859" s="276"/>
      <c r="AJ859" s="274" t="s">
        <v>203</v>
      </c>
      <c r="AK859" s="274" t="s">
        <v>190</v>
      </c>
      <c r="AL859" s="274" t="s">
        <v>190</v>
      </c>
      <c r="AM859" s="260" t="s">
        <v>3859</v>
      </c>
      <c r="AN859" s="22">
        <v>177</v>
      </c>
      <c r="AO859" s="22">
        <v>0</v>
      </c>
      <c r="AP859" s="22">
        <v>20</v>
      </c>
      <c r="AQ859" s="22">
        <v>0</v>
      </c>
      <c r="AR859" s="22">
        <v>0</v>
      </c>
      <c r="AS859" s="22">
        <v>7</v>
      </c>
      <c r="AT859" s="22">
        <v>10</v>
      </c>
      <c r="AU859" s="316">
        <f t="shared" si="144"/>
        <v>214</v>
      </c>
      <c r="AV859" s="22">
        <v>185</v>
      </c>
      <c r="AW859" s="22">
        <v>0</v>
      </c>
      <c r="AX859" s="22">
        <v>20</v>
      </c>
      <c r="AY859" s="22">
        <v>0</v>
      </c>
      <c r="AZ859" s="22">
        <v>0</v>
      </c>
      <c r="BA859" s="22">
        <v>7</v>
      </c>
      <c r="BB859" s="22">
        <v>10</v>
      </c>
      <c r="BC859" s="316">
        <f t="shared" si="145"/>
        <v>222</v>
      </c>
      <c r="BD859" s="58">
        <f t="shared" si="146"/>
        <v>8</v>
      </c>
      <c r="BE859" s="58">
        <f t="shared" si="147"/>
        <v>0</v>
      </c>
      <c r="BF859" s="58">
        <f t="shared" si="148"/>
        <v>0</v>
      </c>
      <c r="BG859" s="58">
        <f t="shared" si="149"/>
        <v>0</v>
      </c>
      <c r="BH859" s="58">
        <f t="shared" si="150"/>
        <v>0</v>
      </c>
      <c r="BI859" s="58">
        <f t="shared" si="151"/>
        <v>0</v>
      </c>
      <c r="BJ859" s="58">
        <f t="shared" si="152"/>
        <v>0</v>
      </c>
      <c r="BK859" s="58">
        <f t="shared" si="153"/>
        <v>8</v>
      </c>
    </row>
    <row r="860" spans="1:63" ht="27" customHeight="1">
      <c r="A860" s="238">
        <f t="shared" si="154"/>
        <v>858</v>
      </c>
      <c r="B860" s="239"/>
      <c r="C860" s="266">
        <v>3714</v>
      </c>
      <c r="D860" s="241" t="s">
        <v>5019</v>
      </c>
      <c r="E860" s="267" t="s">
        <v>5020</v>
      </c>
      <c r="F860" s="268" t="s">
        <v>5021</v>
      </c>
      <c r="G860" s="269" t="s">
        <v>1325</v>
      </c>
      <c r="H860" s="245" t="s">
        <v>5022</v>
      </c>
      <c r="I860" s="246" t="s">
        <v>1872</v>
      </c>
      <c r="J860" s="270" t="s">
        <v>178</v>
      </c>
      <c r="K860" s="271">
        <v>30639</v>
      </c>
      <c r="L860" s="249" t="s">
        <v>179</v>
      </c>
      <c r="M860" s="272">
        <v>43762</v>
      </c>
      <c r="N860" s="272"/>
      <c r="O860" s="240"/>
      <c r="P860" s="238" t="s">
        <v>3940</v>
      </c>
      <c r="Q860" s="238" t="s">
        <v>249</v>
      </c>
      <c r="R860" s="240" t="s">
        <v>182</v>
      </c>
      <c r="S860" s="240" t="s">
        <v>256</v>
      </c>
      <c r="T860" s="251"/>
      <c r="U860" s="273"/>
      <c r="V860" s="274" t="s">
        <v>184</v>
      </c>
      <c r="W860" s="274" t="s">
        <v>184</v>
      </c>
      <c r="X860" s="275">
        <v>2</v>
      </c>
      <c r="Y860" s="267" t="s">
        <v>5023</v>
      </c>
      <c r="Z860" s="277"/>
      <c r="AA860" s="277" t="s">
        <v>186</v>
      </c>
      <c r="AB860" s="274"/>
      <c r="AC860" s="296"/>
      <c r="AD860" s="287" t="s">
        <v>138</v>
      </c>
      <c r="AE860" s="287" t="s">
        <v>188</v>
      </c>
      <c r="AF860" s="288" t="s">
        <v>189</v>
      </c>
      <c r="AG860" s="288" t="s">
        <v>189</v>
      </c>
      <c r="AH860" s="276"/>
      <c r="AI860" s="276"/>
      <c r="AJ860" s="274" t="s">
        <v>203</v>
      </c>
      <c r="AK860" s="274" t="s">
        <v>190</v>
      </c>
      <c r="AL860" s="274" t="s">
        <v>190</v>
      </c>
      <c r="AM860" s="260" t="s">
        <v>4830</v>
      </c>
      <c r="AN860" s="22">
        <v>182</v>
      </c>
      <c r="AO860" s="22">
        <v>0</v>
      </c>
      <c r="AP860" s="22">
        <v>0</v>
      </c>
      <c r="AQ860" s="22">
        <v>0</v>
      </c>
      <c r="AR860" s="22">
        <v>0</v>
      </c>
      <c r="AS860" s="22">
        <v>7</v>
      </c>
      <c r="AT860" s="22">
        <v>10</v>
      </c>
      <c r="AU860" s="316">
        <f t="shared" si="144"/>
        <v>199</v>
      </c>
      <c r="AV860" s="22">
        <v>190</v>
      </c>
      <c r="AW860" s="22">
        <v>0</v>
      </c>
      <c r="AX860" s="22">
        <v>0</v>
      </c>
      <c r="AY860" s="22">
        <v>0</v>
      </c>
      <c r="AZ860" s="22">
        <v>0</v>
      </c>
      <c r="BA860" s="22">
        <v>7</v>
      </c>
      <c r="BB860" s="22">
        <v>10</v>
      </c>
      <c r="BC860" s="316">
        <f t="shared" si="145"/>
        <v>207</v>
      </c>
      <c r="BD860" s="58">
        <f t="shared" si="146"/>
        <v>8</v>
      </c>
      <c r="BE860" s="58">
        <f t="shared" si="147"/>
        <v>0</v>
      </c>
      <c r="BF860" s="58">
        <f t="shared" si="148"/>
        <v>0</v>
      </c>
      <c r="BG860" s="58">
        <f t="shared" si="149"/>
        <v>0</v>
      </c>
      <c r="BH860" s="58">
        <f t="shared" si="150"/>
        <v>0</v>
      </c>
      <c r="BI860" s="58">
        <f t="shared" si="151"/>
        <v>0</v>
      </c>
      <c r="BJ860" s="58">
        <f t="shared" si="152"/>
        <v>0</v>
      </c>
      <c r="BK860" s="58">
        <f t="shared" si="153"/>
        <v>8</v>
      </c>
    </row>
    <row r="861" spans="1:63" ht="27" customHeight="1">
      <c r="A861" s="238">
        <f t="shared" si="154"/>
        <v>859</v>
      </c>
      <c r="B861" s="239"/>
      <c r="C861" s="266">
        <v>3683</v>
      </c>
      <c r="D861" s="241" t="s">
        <v>5024</v>
      </c>
      <c r="E861" s="267" t="s">
        <v>5025</v>
      </c>
      <c r="F861" s="268" t="s">
        <v>4767</v>
      </c>
      <c r="G861" s="269" t="s">
        <v>5026</v>
      </c>
      <c r="H861" s="245" t="s">
        <v>5027</v>
      </c>
      <c r="I861" s="246" t="s">
        <v>5028</v>
      </c>
      <c r="J861" s="270" t="s">
        <v>178</v>
      </c>
      <c r="K861" s="271">
        <v>30390</v>
      </c>
      <c r="L861" s="249" t="s">
        <v>179</v>
      </c>
      <c r="M861" s="272">
        <v>43762</v>
      </c>
      <c r="N861" s="272"/>
      <c r="O861" s="240"/>
      <c r="P861" s="238" t="s">
        <v>3634</v>
      </c>
      <c r="Q861" s="238" t="s">
        <v>249</v>
      </c>
      <c r="R861" s="240" t="s">
        <v>182</v>
      </c>
      <c r="S861" s="240" t="s">
        <v>183</v>
      </c>
      <c r="T861" s="251"/>
      <c r="U861" s="273"/>
      <c r="V861" s="274" t="s">
        <v>184</v>
      </c>
      <c r="W861" s="274" t="s">
        <v>184</v>
      </c>
      <c r="X861" s="275">
        <v>5</v>
      </c>
      <c r="Y861" s="267" t="s">
        <v>5029</v>
      </c>
      <c r="Z861" s="277" t="s">
        <v>186</v>
      </c>
      <c r="AA861" s="277"/>
      <c r="AB861" s="274"/>
      <c r="AC861" s="296"/>
      <c r="AD861" s="287"/>
      <c r="AE861" s="287"/>
      <c r="AF861" s="288"/>
      <c r="AG861" s="286"/>
      <c r="AH861" s="276"/>
      <c r="AI861" s="276"/>
      <c r="AJ861" s="274" t="s">
        <v>203</v>
      </c>
      <c r="AK861" s="274" t="s">
        <v>190</v>
      </c>
      <c r="AL861" s="274" t="s">
        <v>190</v>
      </c>
      <c r="AM861" s="260" t="s">
        <v>3859</v>
      </c>
      <c r="AN861" s="22">
        <v>177</v>
      </c>
      <c r="AO861" s="22">
        <v>0</v>
      </c>
      <c r="AP861" s="22">
        <v>20</v>
      </c>
      <c r="AQ861" s="22">
        <v>0</v>
      </c>
      <c r="AR861" s="22">
        <v>0</v>
      </c>
      <c r="AS861" s="22">
        <v>7</v>
      </c>
      <c r="AT861" s="22">
        <v>10</v>
      </c>
      <c r="AU861" s="316">
        <f t="shared" si="144"/>
        <v>214</v>
      </c>
      <c r="AV861" s="22">
        <v>185</v>
      </c>
      <c r="AW861" s="22">
        <v>0</v>
      </c>
      <c r="AX861" s="22">
        <v>20</v>
      </c>
      <c r="AY861" s="22">
        <v>0</v>
      </c>
      <c r="AZ861" s="22">
        <v>0</v>
      </c>
      <c r="BA861" s="22">
        <v>7</v>
      </c>
      <c r="BB861" s="22">
        <v>10</v>
      </c>
      <c r="BC861" s="316">
        <f t="shared" si="145"/>
        <v>222</v>
      </c>
      <c r="BD861" s="58">
        <f t="shared" si="146"/>
        <v>8</v>
      </c>
      <c r="BE861" s="58">
        <f t="shared" si="147"/>
        <v>0</v>
      </c>
      <c r="BF861" s="58">
        <f t="shared" si="148"/>
        <v>0</v>
      </c>
      <c r="BG861" s="58">
        <f t="shared" si="149"/>
        <v>0</v>
      </c>
      <c r="BH861" s="58">
        <f t="shared" si="150"/>
        <v>0</v>
      </c>
      <c r="BI861" s="58">
        <f t="shared" si="151"/>
        <v>0</v>
      </c>
      <c r="BJ861" s="58">
        <f t="shared" si="152"/>
        <v>0</v>
      </c>
      <c r="BK861" s="58">
        <f t="shared" si="153"/>
        <v>8</v>
      </c>
    </row>
    <row r="862" spans="1:63" ht="27" customHeight="1">
      <c r="A862" s="238">
        <f t="shared" si="154"/>
        <v>860</v>
      </c>
      <c r="B862" s="239"/>
      <c r="C862" s="266">
        <v>3750</v>
      </c>
      <c r="D862" s="241" t="s">
        <v>5030</v>
      </c>
      <c r="E862" s="302" t="s">
        <v>5031</v>
      </c>
      <c r="F862" s="268" t="s">
        <v>1230</v>
      </c>
      <c r="G862" s="269" t="s">
        <v>5032</v>
      </c>
      <c r="H862" s="245" t="s">
        <v>5033</v>
      </c>
      <c r="I862" s="246" t="s">
        <v>5034</v>
      </c>
      <c r="J862" s="270" t="s">
        <v>178</v>
      </c>
      <c r="K862" s="271">
        <v>31169</v>
      </c>
      <c r="L862" s="249" t="s">
        <v>179</v>
      </c>
      <c r="M862" s="272">
        <v>43762</v>
      </c>
      <c r="N862" s="272"/>
      <c r="O862" s="240"/>
      <c r="P862" s="238" t="s">
        <v>3638</v>
      </c>
      <c r="Q862" s="238" t="s">
        <v>249</v>
      </c>
      <c r="R862" s="240" t="s">
        <v>182</v>
      </c>
      <c r="S862" s="240" t="s">
        <v>228</v>
      </c>
      <c r="T862" s="251"/>
      <c r="U862" s="273"/>
      <c r="V862" s="274" t="s">
        <v>184</v>
      </c>
      <c r="W862" s="274" t="s">
        <v>184</v>
      </c>
      <c r="X862" s="275">
        <v>5</v>
      </c>
      <c r="Y862" s="267" t="s">
        <v>5035</v>
      </c>
      <c r="Z862" s="277"/>
      <c r="AA862" s="277" t="s">
        <v>186</v>
      </c>
      <c r="AB862" s="274"/>
      <c r="AC862" s="296"/>
      <c r="AD862" s="287"/>
      <c r="AE862" s="287"/>
      <c r="AF862" s="288"/>
      <c r="AG862" s="286"/>
      <c r="AH862" s="276"/>
      <c r="AI862" s="276"/>
      <c r="AJ862" s="274" t="s">
        <v>203</v>
      </c>
      <c r="AK862" s="274" t="s">
        <v>190</v>
      </c>
      <c r="AL862" s="274" t="s">
        <v>190</v>
      </c>
      <c r="AM862" s="260" t="s">
        <v>3859</v>
      </c>
      <c r="AN862" s="22">
        <v>182</v>
      </c>
      <c r="AO862" s="22">
        <v>0</v>
      </c>
      <c r="AP862" s="22">
        <v>20</v>
      </c>
      <c r="AQ862" s="22">
        <v>0</v>
      </c>
      <c r="AR862" s="22">
        <v>0</v>
      </c>
      <c r="AS862" s="22">
        <v>7</v>
      </c>
      <c r="AT862" s="22">
        <v>10</v>
      </c>
      <c r="AU862" s="316">
        <f t="shared" si="144"/>
        <v>219</v>
      </c>
      <c r="AV862" s="22">
        <v>190</v>
      </c>
      <c r="AW862" s="22">
        <v>0</v>
      </c>
      <c r="AX862" s="22">
        <v>20</v>
      </c>
      <c r="AY862" s="22">
        <v>0</v>
      </c>
      <c r="AZ862" s="22">
        <v>0</v>
      </c>
      <c r="BA862" s="22">
        <v>7</v>
      </c>
      <c r="BB862" s="22">
        <v>10</v>
      </c>
      <c r="BC862" s="316">
        <f t="shared" si="145"/>
        <v>227</v>
      </c>
      <c r="BD862" s="58">
        <f t="shared" si="146"/>
        <v>8</v>
      </c>
      <c r="BE862" s="58">
        <f t="shared" si="147"/>
        <v>0</v>
      </c>
      <c r="BF862" s="58">
        <f t="shared" si="148"/>
        <v>0</v>
      </c>
      <c r="BG862" s="58">
        <f t="shared" si="149"/>
        <v>0</v>
      </c>
      <c r="BH862" s="58">
        <f t="shared" si="150"/>
        <v>0</v>
      </c>
      <c r="BI862" s="58">
        <f t="shared" si="151"/>
        <v>0</v>
      </c>
      <c r="BJ862" s="58">
        <f t="shared" si="152"/>
        <v>0</v>
      </c>
      <c r="BK862" s="58">
        <f t="shared" si="153"/>
        <v>8</v>
      </c>
    </row>
    <row r="863" spans="1:63" ht="27" customHeight="1">
      <c r="A863" s="238">
        <f t="shared" si="154"/>
        <v>861</v>
      </c>
      <c r="B863" s="239"/>
      <c r="C863" s="266">
        <v>3749</v>
      </c>
      <c r="D863" s="241" t="s">
        <v>5036</v>
      </c>
      <c r="E863" s="267" t="s">
        <v>5037</v>
      </c>
      <c r="F863" s="268" t="s">
        <v>4195</v>
      </c>
      <c r="G863" s="269" t="s">
        <v>5032</v>
      </c>
      <c r="H863" s="245" t="s">
        <v>474</v>
      </c>
      <c r="I863" s="246" t="s">
        <v>5034</v>
      </c>
      <c r="J863" s="270" t="s">
        <v>178</v>
      </c>
      <c r="K863" s="271">
        <v>31533</v>
      </c>
      <c r="L863" s="249" t="s">
        <v>179</v>
      </c>
      <c r="M863" s="272">
        <v>43762</v>
      </c>
      <c r="N863" s="272"/>
      <c r="O863" s="240"/>
      <c r="P863" s="238" t="s">
        <v>1385</v>
      </c>
      <c r="Q863" s="238" t="s">
        <v>249</v>
      </c>
      <c r="R863" s="240" t="s">
        <v>182</v>
      </c>
      <c r="S863" s="240" t="s">
        <v>331</v>
      </c>
      <c r="T863" s="251"/>
      <c r="U863" s="273"/>
      <c r="V863" s="274" t="s">
        <v>184</v>
      </c>
      <c r="W863" s="274" t="s">
        <v>184</v>
      </c>
      <c r="X863" s="275"/>
      <c r="Y863" s="267" t="s">
        <v>5038</v>
      </c>
      <c r="Z863" s="277"/>
      <c r="AA863" s="277" t="s">
        <v>186</v>
      </c>
      <c r="AB863" s="274"/>
      <c r="AC863" s="296"/>
      <c r="AD863" s="287"/>
      <c r="AE863" s="287"/>
      <c r="AF863" s="288"/>
      <c r="AG863" s="286"/>
      <c r="AH863" s="276"/>
      <c r="AI863" s="276"/>
      <c r="AJ863" s="274" t="s">
        <v>203</v>
      </c>
      <c r="AK863" s="274" t="s">
        <v>190</v>
      </c>
      <c r="AL863" s="274" t="s">
        <v>190</v>
      </c>
      <c r="AM863" s="260" t="s">
        <v>3859</v>
      </c>
      <c r="AN863" s="22">
        <v>177</v>
      </c>
      <c r="AO863" s="22">
        <v>0</v>
      </c>
      <c r="AP863" s="22">
        <v>20</v>
      </c>
      <c r="AQ863" s="22">
        <v>0</v>
      </c>
      <c r="AR863" s="22">
        <v>0</v>
      </c>
      <c r="AS863" s="22">
        <v>7</v>
      </c>
      <c r="AT863" s="22">
        <v>10</v>
      </c>
      <c r="AU863" s="316">
        <f t="shared" si="144"/>
        <v>214</v>
      </c>
      <c r="AV863" s="22">
        <v>185</v>
      </c>
      <c r="AW863" s="22">
        <v>0</v>
      </c>
      <c r="AX863" s="22">
        <v>20</v>
      </c>
      <c r="AY863" s="22">
        <v>0</v>
      </c>
      <c r="AZ863" s="22">
        <v>0</v>
      </c>
      <c r="BA863" s="22">
        <v>7</v>
      </c>
      <c r="BB863" s="22">
        <v>10</v>
      </c>
      <c r="BC863" s="316">
        <f t="shared" si="145"/>
        <v>222</v>
      </c>
      <c r="BD863" s="58">
        <f t="shared" si="146"/>
        <v>8</v>
      </c>
      <c r="BE863" s="58">
        <f t="shared" si="147"/>
        <v>0</v>
      </c>
      <c r="BF863" s="58">
        <f t="shared" si="148"/>
        <v>0</v>
      </c>
      <c r="BG863" s="58">
        <f t="shared" si="149"/>
        <v>0</v>
      </c>
      <c r="BH863" s="58">
        <f t="shared" si="150"/>
        <v>0</v>
      </c>
      <c r="BI863" s="58">
        <f t="shared" si="151"/>
        <v>0</v>
      </c>
      <c r="BJ863" s="58">
        <f t="shared" si="152"/>
        <v>0</v>
      </c>
      <c r="BK863" s="58">
        <f t="shared" si="153"/>
        <v>8</v>
      </c>
    </row>
    <row r="864" spans="1:63" ht="27" customHeight="1">
      <c r="A864" s="238">
        <f t="shared" si="154"/>
        <v>862</v>
      </c>
      <c r="B864" s="239"/>
      <c r="C864" s="266">
        <v>3748</v>
      </c>
      <c r="D864" s="241">
        <v>0</v>
      </c>
      <c r="E864" s="267" t="s">
        <v>5039</v>
      </c>
      <c r="F864" s="268" t="s">
        <v>716</v>
      </c>
      <c r="G864" s="269" t="s">
        <v>874</v>
      </c>
      <c r="H864" s="245" t="s">
        <v>935</v>
      </c>
      <c r="I864" s="246" t="s">
        <v>4379</v>
      </c>
      <c r="J864" s="270" t="s">
        <v>178</v>
      </c>
      <c r="K864" s="271">
        <v>32151</v>
      </c>
      <c r="L864" s="249" t="s">
        <v>179</v>
      </c>
      <c r="M864" s="272">
        <v>43762</v>
      </c>
      <c r="N864" s="272"/>
      <c r="O864" s="240"/>
      <c r="P864" s="238" t="s">
        <v>3649</v>
      </c>
      <c r="Q864" s="238" t="s">
        <v>249</v>
      </c>
      <c r="R864" s="240" t="s">
        <v>182</v>
      </c>
      <c r="S864" s="240" t="s">
        <v>256</v>
      </c>
      <c r="T864" s="251"/>
      <c r="U864" s="273"/>
      <c r="V864" s="274" t="s">
        <v>200</v>
      </c>
      <c r="W864" s="274" t="s">
        <v>184</v>
      </c>
      <c r="X864" s="275">
        <v>12</v>
      </c>
      <c r="Y864" s="267" t="s">
        <v>5040</v>
      </c>
      <c r="Z864" s="277"/>
      <c r="AA864" s="277" t="s">
        <v>186</v>
      </c>
      <c r="AB864" s="274"/>
      <c r="AC864" s="296"/>
      <c r="AD864" s="287"/>
      <c r="AE864" s="287"/>
      <c r="AF864" s="288"/>
      <c r="AG864" s="286"/>
      <c r="AH864" s="276"/>
      <c r="AI864" s="276"/>
      <c r="AJ864" s="274" t="s">
        <v>203</v>
      </c>
      <c r="AK864" s="274" t="s">
        <v>190</v>
      </c>
      <c r="AL864" s="274" t="s">
        <v>190</v>
      </c>
      <c r="AM864" s="260" t="s">
        <v>3916</v>
      </c>
      <c r="AN864" s="22">
        <v>182</v>
      </c>
      <c r="AO864" s="22">
        <v>0</v>
      </c>
      <c r="AP864" s="22">
        <v>20</v>
      </c>
      <c r="AQ864" s="22">
        <v>0</v>
      </c>
      <c r="AR864" s="22">
        <v>0</v>
      </c>
      <c r="AS864" s="22">
        <v>7</v>
      </c>
      <c r="AT864" s="22">
        <v>10</v>
      </c>
      <c r="AU864" s="316">
        <f t="shared" si="144"/>
        <v>219</v>
      </c>
      <c r="AV864" s="22">
        <v>190</v>
      </c>
      <c r="AW864" s="22">
        <v>0</v>
      </c>
      <c r="AX864" s="22">
        <v>20</v>
      </c>
      <c r="AY864" s="22">
        <v>0</v>
      </c>
      <c r="AZ864" s="22">
        <v>0</v>
      </c>
      <c r="BA864" s="22">
        <v>7</v>
      </c>
      <c r="BB864" s="22">
        <v>10</v>
      </c>
      <c r="BC864" s="316">
        <f t="shared" si="145"/>
        <v>227</v>
      </c>
      <c r="BD864" s="58">
        <f t="shared" si="146"/>
        <v>8</v>
      </c>
      <c r="BE864" s="58">
        <f t="shared" si="147"/>
        <v>0</v>
      </c>
      <c r="BF864" s="58">
        <f t="shared" si="148"/>
        <v>0</v>
      </c>
      <c r="BG864" s="58">
        <f t="shared" si="149"/>
        <v>0</v>
      </c>
      <c r="BH864" s="58">
        <f t="shared" si="150"/>
        <v>0</v>
      </c>
      <c r="BI864" s="58">
        <f t="shared" si="151"/>
        <v>0</v>
      </c>
      <c r="BJ864" s="58">
        <f t="shared" si="152"/>
        <v>0</v>
      </c>
      <c r="BK864" s="58">
        <f t="shared" si="153"/>
        <v>8</v>
      </c>
    </row>
    <row r="865" spans="1:63" ht="27" customHeight="1">
      <c r="A865" s="238">
        <f t="shared" si="154"/>
        <v>863</v>
      </c>
      <c r="B865" s="239"/>
      <c r="C865" s="266">
        <v>3747</v>
      </c>
      <c r="D865" s="241" t="s">
        <v>5041</v>
      </c>
      <c r="E865" s="267" t="s">
        <v>5042</v>
      </c>
      <c r="F865" s="268" t="s">
        <v>1304</v>
      </c>
      <c r="G865" s="269" t="s">
        <v>847</v>
      </c>
      <c r="H865" s="245" t="s">
        <v>5043</v>
      </c>
      <c r="I865" s="246" t="s">
        <v>849</v>
      </c>
      <c r="J865" s="270" t="s">
        <v>178</v>
      </c>
      <c r="K865" s="271">
        <v>30628</v>
      </c>
      <c r="L865" s="249" t="s">
        <v>179</v>
      </c>
      <c r="M865" s="272">
        <v>43762</v>
      </c>
      <c r="N865" s="272"/>
      <c r="O865" s="240"/>
      <c r="P865" s="238" t="s">
        <v>3649</v>
      </c>
      <c r="Q865" s="238" t="s">
        <v>249</v>
      </c>
      <c r="R865" s="240" t="s">
        <v>182</v>
      </c>
      <c r="S865" s="240" t="s">
        <v>211</v>
      </c>
      <c r="T865" s="251"/>
      <c r="U865" s="273"/>
      <c r="V865" s="274" t="s">
        <v>184</v>
      </c>
      <c r="W865" s="274" t="s">
        <v>184</v>
      </c>
      <c r="X865" s="275">
        <v>5</v>
      </c>
      <c r="Y865" s="267" t="s">
        <v>5044</v>
      </c>
      <c r="Z865" s="277"/>
      <c r="AA865" s="277" t="s">
        <v>186</v>
      </c>
      <c r="AB865" s="274"/>
      <c r="AC865" s="296"/>
      <c r="AD865" s="287"/>
      <c r="AE865" s="287"/>
      <c r="AF865" s="288"/>
      <c r="AG865" s="286"/>
      <c r="AH865" s="276"/>
      <c r="AI865" s="276"/>
      <c r="AJ865" s="274" t="s">
        <v>190</v>
      </c>
      <c r="AK865" s="274" t="s">
        <v>190</v>
      </c>
      <c r="AL865" s="274" t="s">
        <v>190</v>
      </c>
      <c r="AM865" s="260" t="s">
        <v>241</v>
      </c>
      <c r="AN865" s="22">
        <v>182</v>
      </c>
      <c r="AO865" s="22">
        <v>0</v>
      </c>
      <c r="AP865" s="22">
        <v>20</v>
      </c>
      <c r="AQ865" s="22">
        <v>0</v>
      </c>
      <c r="AR865" s="22">
        <v>0</v>
      </c>
      <c r="AS865" s="22">
        <v>7</v>
      </c>
      <c r="AT865" s="22">
        <v>10</v>
      </c>
      <c r="AU865" s="316">
        <f t="shared" si="144"/>
        <v>219</v>
      </c>
      <c r="AV865" s="22">
        <v>190</v>
      </c>
      <c r="AW865" s="22">
        <v>0</v>
      </c>
      <c r="AX865" s="22">
        <v>20</v>
      </c>
      <c r="AY865" s="22">
        <v>0</v>
      </c>
      <c r="AZ865" s="22">
        <v>0</v>
      </c>
      <c r="BA865" s="22">
        <v>7</v>
      </c>
      <c r="BB865" s="22">
        <v>10</v>
      </c>
      <c r="BC865" s="316">
        <f t="shared" si="145"/>
        <v>227</v>
      </c>
      <c r="BD865" s="58">
        <f t="shared" si="146"/>
        <v>8</v>
      </c>
      <c r="BE865" s="58">
        <f t="shared" si="147"/>
        <v>0</v>
      </c>
      <c r="BF865" s="58">
        <f t="shared" si="148"/>
        <v>0</v>
      </c>
      <c r="BG865" s="58">
        <f t="shared" si="149"/>
        <v>0</v>
      </c>
      <c r="BH865" s="58">
        <f t="shared" si="150"/>
        <v>0</v>
      </c>
      <c r="BI865" s="58">
        <f t="shared" si="151"/>
        <v>0</v>
      </c>
      <c r="BJ865" s="58">
        <f t="shared" si="152"/>
        <v>0</v>
      </c>
      <c r="BK865" s="58">
        <f t="shared" si="153"/>
        <v>8</v>
      </c>
    </row>
    <row r="866" spans="1:63" ht="27" customHeight="1">
      <c r="A866" s="238">
        <f t="shared" si="154"/>
        <v>864</v>
      </c>
      <c r="B866" s="239"/>
      <c r="C866" s="266">
        <v>3741</v>
      </c>
      <c r="D866" s="241" t="s">
        <v>5045</v>
      </c>
      <c r="E866" s="302" t="s">
        <v>5046</v>
      </c>
      <c r="F866" s="268" t="s">
        <v>649</v>
      </c>
      <c r="G866" s="269" t="s">
        <v>4282</v>
      </c>
      <c r="H866" s="245" t="s">
        <v>1536</v>
      </c>
      <c r="I866" s="246" t="s">
        <v>4283</v>
      </c>
      <c r="J866" s="270" t="s">
        <v>178</v>
      </c>
      <c r="K866" s="271">
        <v>32204</v>
      </c>
      <c r="L866" s="249" t="s">
        <v>179</v>
      </c>
      <c r="M866" s="272">
        <v>43762</v>
      </c>
      <c r="N866" s="272"/>
      <c r="O866" s="240"/>
      <c r="P866" s="238" t="s">
        <v>3940</v>
      </c>
      <c r="Q866" s="238" t="s">
        <v>249</v>
      </c>
      <c r="R866" s="240" t="s">
        <v>182</v>
      </c>
      <c r="S866" s="240" t="s">
        <v>228</v>
      </c>
      <c r="T866" s="251"/>
      <c r="U866" s="273"/>
      <c r="V866" s="274" t="s">
        <v>184</v>
      </c>
      <c r="W866" s="274" t="s">
        <v>184</v>
      </c>
      <c r="X866" s="275">
        <v>5</v>
      </c>
      <c r="Y866" s="267" t="s">
        <v>5047</v>
      </c>
      <c r="Z866" s="277"/>
      <c r="AA866" s="277" t="s">
        <v>186</v>
      </c>
      <c r="AB866" s="274"/>
      <c r="AC866" s="296"/>
      <c r="AD866" s="287" t="s">
        <v>188</v>
      </c>
      <c r="AE866" s="287" t="s">
        <v>188</v>
      </c>
      <c r="AF866" s="287"/>
      <c r="AG866" s="286"/>
      <c r="AH866" s="276"/>
      <c r="AI866" s="276"/>
      <c r="AJ866" s="274" t="s">
        <v>203</v>
      </c>
      <c r="AK866" s="274" t="s">
        <v>190</v>
      </c>
      <c r="AL866" s="274" t="s">
        <v>190</v>
      </c>
      <c r="AM866" s="260" t="s">
        <v>3859</v>
      </c>
      <c r="AN866" s="22">
        <v>182</v>
      </c>
      <c r="AO866" s="22">
        <v>0</v>
      </c>
      <c r="AP866" s="22">
        <v>20</v>
      </c>
      <c r="AQ866" s="22">
        <v>0</v>
      </c>
      <c r="AR866" s="22">
        <v>0</v>
      </c>
      <c r="AS866" s="22">
        <v>7</v>
      </c>
      <c r="AT866" s="22">
        <v>10</v>
      </c>
      <c r="AU866" s="316">
        <f t="shared" si="144"/>
        <v>219</v>
      </c>
      <c r="AV866" s="22">
        <v>190</v>
      </c>
      <c r="AW866" s="22">
        <v>0</v>
      </c>
      <c r="AX866" s="22">
        <v>20</v>
      </c>
      <c r="AY866" s="22">
        <v>0</v>
      </c>
      <c r="AZ866" s="22">
        <v>0</v>
      </c>
      <c r="BA866" s="22">
        <v>7</v>
      </c>
      <c r="BB866" s="22">
        <v>10</v>
      </c>
      <c r="BC866" s="316">
        <f t="shared" si="145"/>
        <v>227</v>
      </c>
      <c r="BD866" s="58">
        <f t="shared" si="146"/>
        <v>8</v>
      </c>
      <c r="BE866" s="58">
        <f t="shared" si="147"/>
        <v>0</v>
      </c>
      <c r="BF866" s="58">
        <f t="shared" si="148"/>
        <v>0</v>
      </c>
      <c r="BG866" s="58">
        <f t="shared" si="149"/>
        <v>0</v>
      </c>
      <c r="BH866" s="58">
        <f t="shared" si="150"/>
        <v>0</v>
      </c>
      <c r="BI866" s="58">
        <f t="shared" si="151"/>
        <v>0</v>
      </c>
      <c r="BJ866" s="58">
        <f t="shared" si="152"/>
        <v>0</v>
      </c>
      <c r="BK866" s="58">
        <f t="shared" si="153"/>
        <v>8</v>
      </c>
    </row>
    <row r="867" spans="1:63" ht="27" customHeight="1">
      <c r="A867" s="238">
        <f t="shared" si="154"/>
        <v>865</v>
      </c>
      <c r="B867" s="239"/>
      <c r="C867" s="266">
        <v>3708</v>
      </c>
      <c r="D867" s="241">
        <v>0</v>
      </c>
      <c r="E867" s="302" t="s">
        <v>5048</v>
      </c>
      <c r="F867" s="268" t="s">
        <v>5049</v>
      </c>
      <c r="G867" s="269" t="s">
        <v>5050</v>
      </c>
      <c r="H867" s="245" t="s">
        <v>1391</v>
      </c>
      <c r="I867" s="246" t="s">
        <v>1116</v>
      </c>
      <c r="J867" s="270" t="s">
        <v>178</v>
      </c>
      <c r="K867" s="271">
        <v>31424</v>
      </c>
      <c r="L867" s="249" t="s">
        <v>179</v>
      </c>
      <c r="M867" s="272">
        <v>43762</v>
      </c>
      <c r="N867" s="272"/>
      <c r="O867" s="240"/>
      <c r="P867" s="238" t="s">
        <v>3950</v>
      </c>
      <c r="Q867" s="238" t="s">
        <v>249</v>
      </c>
      <c r="R867" s="240" t="s">
        <v>3960</v>
      </c>
      <c r="S867" s="240" t="s">
        <v>228</v>
      </c>
      <c r="T867" s="251" t="s">
        <v>4153</v>
      </c>
      <c r="U867" s="273">
        <v>43788</v>
      </c>
      <c r="V867" s="274" t="s">
        <v>184</v>
      </c>
      <c r="W867" s="274" t="s">
        <v>184</v>
      </c>
      <c r="X867" s="275">
        <v>3</v>
      </c>
      <c r="Y867" s="267" t="s">
        <v>5051</v>
      </c>
      <c r="Z867" s="277"/>
      <c r="AA867" s="277" t="s">
        <v>186</v>
      </c>
      <c r="AB867" s="274"/>
      <c r="AC867" s="296"/>
      <c r="AD867" s="287" t="s">
        <v>188</v>
      </c>
      <c r="AE867" s="287" t="s">
        <v>189</v>
      </c>
      <c r="AF867" s="288"/>
      <c r="AG867" s="286"/>
      <c r="AH867" s="276"/>
      <c r="AI867" s="276"/>
      <c r="AJ867" s="274" t="s">
        <v>203</v>
      </c>
      <c r="AK867" s="274" t="s">
        <v>190</v>
      </c>
      <c r="AL867" s="274" t="s">
        <v>190</v>
      </c>
      <c r="AM867" s="260" t="s">
        <v>3859</v>
      </c>
      <c r="AN867" s="22">
        <v>182</v>
      </c>
      <c r="AO867" s="22">
        <v>0</v>
      </c>
      <c r="AP867" s="22">
        <v>0</v>
      </c>
      <c r="AQ867" s="22">
        <v>0</v>
      </c>
      <c r="AR867" s="22">
        <v>0</v>
      </c>
      <c r="AS867" s="22">
        <v>7</v>
      </c>
      <c r="AT867" s="22">
        <v>10</v>
      </c>
      <c r="AU867" s="316">
        <f t="shared" si="144"/>
        <v>199</v>
      </c>
      <c r="AV867" s="22">
        <v>190</v>
      </c>
      <c r="AW867" s="22">
        <v>0</v>
      </c>
      <c r="AX867" s="22">
        <v>0</v>
      </c>
      <c r="AY867" s="22">
        <v>0</v>
      </c>
      <c r="AZ867" s="22">
        <v>0</v>
      </c>
      <c r="BA867" s="22">
        <v>7</v>
      </c>
      <c r="BB867" s="22">
        <v>10</v>
      </c>
      <c r="BC867" s="316">
        <f t="shared" si="145"/>
        <v>207</v>
      </c>
      <c r="BD867" s="58">
        <f t="shared" si="146"/>
        <v>8</v>
      </c>
      <c r="BE867" s="58">
        <f t="shared" si="147"/>
        <v>0</v>
      </c>
      <c r="BF867" s="58">
        <f t="shared" si="148"/>
        <v>0</v>
      </c>
      <c r="BG867" s="58">
        <f t="shared" si="149"/>
        <v>0</v>
      </c>
      <c r="BH867" s="58">
        <f t="shared" si="150"/>
        <v>0</v>
      </c>
      <c r="BI867" s="58">
        <f t="shared" si="151"/>
        <v>0</v>
      </c>
      <c r="BJ867" s="58">
        <f t="shared" si="152"/>
        <v>0</v>
      </c>
      <c r="BK867" s="58">
        <f t="shared" si="153"/>
        <v>8</v>
      </c>
    </row>
    <row r="868" spans="1:63" ht="27" customHeight="1">
      <c r="A868" s="238">
        <f t="shared" si="154"/>
        <v>866</v>
      </c>
      <c r="B868" s="239"/>
      <c r="C868" s="266">
        <v>3706</v>
      </c>
      <c r="D868" s="241" t="s">
        <v>5052</v>
      </c>
      <c r="E868" s="302" t="s">
        <v>5053</v>
      </c>
      <c r="F868" s="268" t="s">
        <v>5054</v>
      </c>
      <c r="G868" s="269" t="s">
        <v>5055</v>
      </c>
      <c r="H868" s="245" t="s">
        <v>5056</v>
      </c>
      <c r="I868" s="246" t="s">
        <v>5057</v>
      </c>
      <c r="J868" s="270" t="s">
        <v>178</v>
      </c>
      <c r="K868" s="271">
        <v>36594</v>
      </c>
      <c r="L868" s="249" t="s">
        <v>179</v>
      </c>
      <c r="M868" s="272">
        <v>43762</v>
      </c>
      <c r="N868" s="272"/>
      <c r="O868" s="240"/>
      <c r="P868" s="238" t="s">
        <v>3638</v>
      </c>
      <c r="Q868" s="238" t="s">
        <v>249</v>
      </c>
      <c r="R868" s="240" t="s">
        <v>182</v>
      </c>
      <c r="S868" s="240" t="s">
        <v>310</v>
      </c>
      <c r="T868" s="251"/>
      <c r="U868" s="273"/>
      <c r="V868" s="274" t="s">
        <v>184</v>
      </c>
      <c r="W868" s="274" t="s">
        <v>184</v>
      </c>
      <c r="X868" s="275">
        <v>7</v>
      </c>
      <c r="Y868" s="267" t="s">
        <v>5058</v>
      </c>
      <c r="Z868" s="277"/>
      <c r="AA868" s="277" t="s">
        <v>186</v>
      </c>
      <c r="AB868" s="274"/>
      <c r="AC868" s="296"/>
      <c r="AD868" s="287" t="s">
        <v>189</v>
      </c>
      <c r="AE868" s="287"/>
      <c r="AF868" s="288"/>
      <c r="AG868" s="286"/>
      <c r="AH868" s="276"/>
      <c r="AI868" s="276"/>
      <c r="AJ868" s="274" t="s">
        <v>203</v>
      </c>
      <c r="AK868" s="274" t="s">
        <v>190</v>
      </c>
      <c r="AL868" s="274" t="s">
        <v>190</v>
      </c>
      <c r="AM868" s="260" t="s">
        <v>3859</v>
      </c>
      <c r="AN868" s="22">
        <v>182</v>
      </c>
      <c r="AO868" s="22">
        <v>0</v>
      </c>
      <c r="AP868" s="22">
        <v>20</v>
      </c>
      <c r="AQ868" s="22">
        <v>0</v>
      </c>
      <c r="AR868" s="22">
        <v>0</v>
      </c>
      <c r="AS868" s="22">
        <v>7</v>
      </c>
      <c r="AT868" s="22">
        <v>10</v>
      </c>
      <c r="AU868" s="316">
        <f t="shared" si="144"/>
        <v>219</v>
      </c>
      <c r="AV868" s="22">
        <v>190</v>
      </c>
      <c r="AW868" s="22">
        <v>0</v>
      </c>
      <c r="AX868" s="22">
        <v>20</v>
      </c>
      <c r="AY868" s="22">
        <v>0</v>
      </c>
      <c r="AZ868" s="22">
        <v>0</v>
      </c>
      <c r="BA868" s="22">
        <v>7</v>
      </c>
      <c r="BB868" s="22">
        <v>10</v>
      </c>
      <c r="BC868" s="316">
        <f t="shared" si="145"/>
        <v>227</v>
      </c>
      <c r="BD868" s="58">
        <f t="shared" si="146"/>
        <v>8</v>
      </c>
      <c r="BE868" s="58">
        <f t="shared" si="147"/>
        <v>0</v>
      </c>
      <c r="BF868" s="58">
        <f t="shared" si="148"/>
        <v>0</v>
      </c>
      <c r="BG868" s="58">
        <f t="shared" si="149"/>
        <v>0</v>
      </c>
      <c r="BH868" s="58">
        <f t="shared" si="150"/>
        <v>0</v>
      </c>
      <c r="BI868" s="58">
        <f t="shared" si="151"/>
        <v>0</v>
      </c>
      <c r="BJ868" s="58">
        <f t="shared" si="152"/>
        <v>0</v>
      </c>
      <c r="BK868" s="58">
        <f t="shared" si="153"/>
        <v>8</v>
      </c>
    </row>
    <row r="869" spans="1:63" ht="27" customHeight="1">
      <c r="A869" s="238">
        <f t="shared" si="154"/>
        <v>867</v>
      </c>
      <c r="B869" s="239"/>
      <c r="C869" s="266">
        <v>3704</v>
      </c>
      <c r="D869" s="241" t="s">
        <v>5059</v>
      </c>
      <c r="E869" s="302" t="s">
        <v>5060</v>
      </c>
      <c r="F869" s="268" t="s">
        <v>5061</v>
      </c>
      <c r="G869" s="269" t="s">
        <v>509</v>
      </c>
      <c r="H869" s="245" t="s">
        <v>5062</v>
      </c>
      <c r="I869" s="246" t="s">
        <v>511</v>
      </c>
      <c r="J869" s="270" t="s">
        <v>178</v>
      </c>
      <c r="K869" s="271">
        <v>36683</v>
      </c>
      <c r="L869" s="249" t="s">
        <v>179</v>
      </c>
      <c r="M869" s="272">
        <v>43762</v>
      </c>
      <c r="N869" s="272"/>
      <c r="O869" s="240"/>
      <c r="P869" s="238" t="s">
        <v>3638</v>
      </c>
      <c r="Q869" s="238" t="s">
        <v>249</v>
      </c>
      <c r="R869" s="240" t="s">
        <v>182</v>
      </c>
      <c r="S869" s="240" t="s">
        <v>211</v>
      </c>
      <c r="T869" s="251"/>
      <c r="U869" s="273"/>
      <c r="V869" s="274" t="s">
        <v>184</v>
      </c>
      <c r="W869" s="274" t="s">
        <v>184</v>
      </c>
      <c r="X869" s="275">
        <v>9</v>
      </c>
      <c r="Y869" s="267" t="s">
        <v>5063</v>
      </c>
      <c r="Z869" s="277" t="s">
        <v>186</v>
      </c>
      <c r="AA869" s="277"/>
      <c r="AB869" s="274"/>
      <c r="AC869" s="296"/>
      <c r="AD869" s="287"/>
      <c r="AE869" s="287"/>
      <c r="AF869" s="288"/>
      <c r="AG869" s="286"/>
      <c r="AH869" s="276"/>
      <c r="AI869" s="276"/>
      <c r="AJ869" s="274" t="s">
        <v>203</v>
      </c>
      <c r="AK869" s="274" t="s">
        <v>190</v>
      </c>
      <c r="AL869" s="274" t="s">
        <v>190</v>
      </c>
      <c r="AM869" s="260" t="s">
        <v>3859</v>
      </c>
      <c r="AN869" s="22">
        <v>177</v>
      </c>
      <c r="AO869" s="22">
        <v>0</v>
      </c>
      <c r="AP869" s="22">
        <v>20</v>
      </c>
      <c r="AQ869" s="22">
        <v>0</v>
      </c>
      <c r="AR869" s="22">
        <v>0</v>
      </c>
      <c r="AS869" s="22">
        <v>7</v>
      </c>
      <c r="AT869" s="22">
        <v>10</v>
      </c>
      <c r="AU869" s="316">
        <f t="shared" si="144"/>
        <v>214</v>
      </c>
      <c r="AV869" s="22">
        <v>185</v>
      </c>
      <c r="AW869" s="22">
        <v>0</v>
      </c>
      <c r="AX869" s="22">
        <v>20</v>
      </c>
      <c r="AY869" s="22">
        <v>0</v>
      </c>
      <c r="AZ869" s="22">
        <v>0</v>
      </c>
      <c r="BA869" s="22">
        <v>7</v>
      </c>
      <c r="BB869" s="22">
        <v>10</v>
      </c>
      <c r="BC869" s="316">
        <f t="shared" si="145"/>
        <v>222</v>
      </c>
      <c r="BD869" s="58">
        <f t="shared" si="146"/>
        <v>8</v>
      </c>
      <c r="BE869" s="58">
        <f t="shared" si="147"/>
        <v>0</v>
      </c>
      <c r="BF869" s="58">
        <f t="shared" si="148"/>
        <v>0</v>
      </c>
      <c r="BG869" s="58">
        <f t="shared" si="149"/>
        <v>0</v>
      </c>
      <c r="BH869" s="58">
        <f t="shared" si="150"/>
        <v>0</v>
      </c>
      <c r="BI869" s="58">
        <f t="shared" si="151"/>
        <v>0</v>
      </c>
      <c r="BJ869" s="58">
        <f t="shared" si="152"/>
        <v>0</v>
      </c>
      <c r="BK869" s="58">
        <f t="shared" si="153"/>
        <v>8</v>
      </c>
    </row>
    <row r="870" spans="1:63" ht="27" customHeight="1">
      <c r="A870" s="238">
        <f t="shared" si="154"/>
        <v>868</v>
      </c>
      <c r="B870" s="239"/>
      <c r="C870" s="304">
        <v>3703</v>
      </c>
      <c r="D870" s="241" t="s">
        <v>5064</v>
      </c>
      <c r="E870" s="302" t="s">
        <v>5065</v>
      </c>
      <c r="F870" s="268" t="s">
        <v>1423</v>
      </c>
      <c r="G870" s="269" t="s">
        <v>1014</v>
      </c>
      <c r="H870" s="245" t="s">
        <v>1425</v>
      </c>
      <c r="I870" s="246" t="s">
        <v>4717</v>
      </c>
      <c r="J870" s="270" t="s">
        <v>178</v>
      </c>
      <c r="K870" s="271">
        <v>33796</v>
      </c>
      <c r="L870" s="249" t="s">
        <v>179</v>
      </c>
      <c r="M870" s="272">
        <v>43762</v>
      </c>
      <c r="N870" s="272"/>
      <c r="O870" s="240"/>
      <c r="P870" s="238" t="s">
        <v>3950</v>
      </c>
      <c r="Q870" s="238" t="s">
        <v>249</v>
      </c>
      <c r="R870" s="240" t="s">
        <v>182</v>
      </c>
      <c r="S870" s="240" t="s">
        <v>219</v>
      </c>
      <c r="T870" s="251"/>
      <c r="U870" s="273"/>
      <c r="V870" s="274" t="s">
        <v>184</v>
      </c>
      <c r="W870" s="274" t="s">
        <v>184</v>
      </c>
      <c r="X870" s="275">
        <v>5</v>
      </c>
      <c r="Y870" s="267" t="s">
        <v>5066</v>
      </c>
      <c r="Z870" s="277"/>
      <c r="AA870" s="277" t="s">
        <v>186</v>
      </c>
      <c r="AB870" s="274"/>
      <c r="AC870" s="296"/>
      <c r="AD870" s="287"/>
      <c r="AE870" s="287"/>
      <c r="AF870" s="288"/>
      <c r="AG870" s="286"/>
      <c r="AH870" s="276"/>
      <c r="AI870" s="276"/>
      <c r="AJ870" s="274" t="s">
        <v>203</v>
      </c>
      <c r="AK870" s="274" t="s">
        <v>190</v>
      </c>
      <c r="AL870" s="274" t="s">
        <v>190</v>
      </c>
      <c r="AM870" s="260" t="s">
        <v>3859</v>
      </c>
      <c r="AN870" s="22">
        <v>177</v>
      </c>
      <c r="AO870" s="22">
        <v>0</v>
      </c>
      <c r="AP870" s="22">
        <v>20</v>
      </c>
      <c r="AQ870" s="22">
        <v>0</v>
      </c>
      <c r="AR870" s="22">
        <v>0</v>
      </c>
      <c r="AS870" s="22">
        <v>7</v>
      </c>
      <c r="AT870" s="22">
        <v>10</v>
      </c>
      <c r="AU870" s="316">
        <f t="shared" si="144"/>
        <v>214</v>
      </c>
      <c r="AV870" s="22">
        <v>185</v>
      </c>
      <c r="AW870" s="22">
        <v>0</v>
      </c>
      <c r="AX870" s="22">
        <v>20</v>
      </c>
      <c r="AY870" s="22">
        <v>0</v>
      </c>
      <c r="AZ870" s="22">
        <v>0</v>
      </c>
      <c r="BA870" s="22">
        <v>7</v>
      </c>
      <c r="BB870" s="22">
        <v>10</v>
      </c>
      <c r="BC870" s="316">
        <f t="shared" si="145"/>
        <v>222</v>
      </c>
      <c r="BD870" s="58">
        <f t="shared" si="146"/>
        <v>8</v>
      </c>
      <c r="BE870" s="58">
        <f t="shared" si="147"/>
        <v>0</v>
      </c>
      <c r="BF870" s="58">
        <f t="shared" si="148"/>
        <v>0</v>
      </c>
      <c r="BG870" s="58">
        <f t="shared" si="149"/>
        <v>0</v>
      </c>
      <c r="BH870" s="58">
        <f t="shared" si="150"/>
        <v>0</v>
      </c>
      <c r="BI870" s="58">
        <f t="shared" si="151"/>
        <v>0</v>
      </c>
      <c r="BJ870" s="58">
        <f t="shared" si="152"/>
        <v>0</v>
      </c>
      <c r="BK870" s="58">
        <f t="shared" si="153"/>
        <v>8</v>
      </c>
    </row>
    <row r="871" spans="1:63" ht="27" customHeight="1">
      <c r="A871" s="238">
        <f t="shared" si="154"/>
        <v>869</v>
      </c>
      <c r="B871" s="239"/>
      <c r="C871" s="266">
        <v>3700</v>
      </c>
      <c r="D871" s="241" t="s">
        <v>5067</v>
      </c>
      <c r="E871" s="302" t="s">
        <v>5068</v>
      </c>
      <c r="F871" s="268" t="s">
        <v>1603</v>
      </c>
      <c r="G871" s="269" t="s">
        <v>1253</v>
      </c>
      <c r="H871" s="245" t="s">
        <v>1605</v>
      </c>
      <c r="I871" s="246" t="s">
        <v>1255</v>
      </c>
      <c r="J871" s="270" t="s">
        <v>178</v>
      </c>
      <c r="K871" s="271">
        <v>34771</v>
      </c>
      <c r="L871" s="249" t="s">
        <v>179</v>
      </c>
      <c r="M871" s="272">
        <v>43762</v>
      </c>
      <c r="N871" s="272"/>
      <c r="O871" s="240"/>
      <c r="P871" s="238" t="s">
        <v>1385</v>
      </c>
      <c r="Q871" s="238" t="s">
        <v>249</v>
      </c>
      <c r="R871" s="240" t="s">
        <v>182</v>
      </c>
      <c r="S871" s="240" t="s">
        <v>228</v>
      </c>
      <c r="T871" s="251"/>
      <c r="U871" s="273"/>
      <c r="V871" s="274" t="s">
        <v>184</v>
      </c>
      <c r="W871" s="274" t="s">
        <v>184</v>
      </c>
      <c r="X871" s="275">
        <v>12</v>
      </c>
      <c r="Y871" s="267" t="s">
        <v>5069</v>
      </c>
      <c r="Z871" s="277"/>
      <c r="AA871" s="277" t="s">
        <v>186</v>
      </c>
      <c r="AB871" s="274"/>
      <c r="AC871" s="296"/>
      <c r="AD871" s="287"/>
      <c r="AE871" s="287"/>
      <c r="AF871" s="288"/>
      <c r="AG871" s="286"/>
      <c r="AH871" s="276"/>
      <c r="AI871" s="276"/>
      <c r="AJ871" s="274" t="s">
        <v>203</v>
      </c>
      <c r="AK871" s="274" t="s">
        <v>190</v>
      </c>
      <c r="AL871" s="274" t="s">
        <v>190</v>
      </c>
      <c r="AM871" s="260" t="s">
        <v>4830</v>
      </c>
      <c r="AN871" s="22">
        <v>177</v>
      </c>
      <c r="AO871" s="22">
        <v>0</v>
      </c>
      <c r="AP871" s="22">
        <v>20</v>
      </c>
      <c r="AQ871" s="22">
        <v>0</v>
      </c>
      <c r="AR871" s="22">
        <v>0</v>
      </c>
      <c r="AS871" s="22">
        <v>7</v>
      </c>
      <c r="AT871" s="22">
        <v>10</v>
      </c>
      <c r="AU871" s="316">
        <f t="shared" si="144"/>
        <v>214</v>
      </c>
      <c r="AV871" s="22">
        <v>185</v>
      </c>
      <c r="AW871" s="22">
        <v>0</v>
      </c>
      <c r="AX871" s="22">
        <v>20</v>
      </c>
      <c r="AY871" s="22">
        <v>0</v>
      </c>
      <c r="AZ871" s="22">
        <v>0</v>
      </c>
      <c r="BA871" s="22">
        <v>7</v>
      </c>
      <c r="BB871" s="22">
        <v>10</v>
      </c>
      <c r="BC871" s="316">
        <f t="shared" si="145"/>
        <v>222</v>
      </c>
      <c r="BD871" s="58">
        <f t="shared" si="146"/>
        <v>8</v>
      </c>
      <c r="BE871" s="58">
        <f t="shared" si="147"/>
        <v>0</v>
      </c>
      <c r="BF871" s="58">
        <f t="shared" si="148"/>
        <v>0</v>
      </c>
      <c r="BG871" s="58">
        <f t="shared" si="149"/>
        <v>0</v>
      </c>
      <c r="BH871" s="58">
        <f t="shared" si="150"/>
        <v>0</v>
      </c>
      <c r="BI871" s="58">
        <f t="shared" si="151"/>
        <v>0</v>
      </c>
      <c r="BJ871" s="58">
        <f t="shared" si="152"/>
        <v>0</v>
      </c>
      <c r="BK871" s="58">
        <f t="shared" si="153"/>
        <v>8</v>
      </c>
    </row>
    <row r="872" spans="1:63" ht="27" customHeight="1">
      <c r="A872" s="238">
        <f t="shared" si="154"/>
        <v>870</v>
      </c>
      <c r="B872" s="239"/>
      <c r="C872" s="266">
        <v>3701</v>
      </c>
      <c r="D872" s="241" t="s">
        <v>5070</v>
      </c>
      <c r="E872" s="302" t="s">
        <v>5071</v>
      </c>
      <c r="F872" s="268" t="s">
        <v>2309</v>
      </c>
      <c r="G872" s="269" t="s">
        <v>5072</v>
      </c>
      <c r="H872" s="245" t="s">
        <v>3987</v>
      </c>
      <c r="I872" s="246" t="s">
        <v>5073</v>
      </c>
      <c r="J872" s="270" t="s">
        <v>178</v>
      </c>
      <c r="K872" s="271">
        <v>35721</v>
      </c>
      <c r="L872" s="249" t="s">
        <v>179</v>
      </c>
      <c r="M872" s="272">
        <v>43762</v>
      </c>
      <c r="N872" s="272"/>
      <c r="O872" s="240"/>
      <c r="P872" s="238" t="s">
        <v>3638</v>
      </c>
      <c r="Q872" s="238" t="s">
        <v>249</v>
      </c>
      <c r="R872" s="240" t="s">
        <v>182</v>
      </c>
      <c r="S872" s="240" t="s">
        <v>228</v>
      </c>
      <c r="T872" s="251"/>
      <c r="U872" s="273"/>
      <c r="V872" s="274" t="s">
        <v>184</v>
      </c>
      <c r="W872" s="274" t="s">
        <v>184</v>
      </c>
      <c r="X872" s="275">
        <v>6</v>
      </c>
      <c r="Y872" s="267" t="s">
        <v>5074</v>
      </c>
      <c r="Z872" s="277" t="s">
        <v>186</v>
      </c>
      <c r="AA872" s="277"/>
      <c r="AB872" s="274"/>
      <c r="AC872" s="296"/>
      <c r="AD872" s="287"/>
      <c r="AE872" s="287"/>
      <c r="AF872" s="288"/>
      <c r="AG872" s="286"/>
      <c r="AH872" s="276"/>
      <c r="AI872" s="276"/>
      <c r="AJ872" s="274" t="s">
        <v>203</v>
      </c>
      <c r="AK872" s="274" t="s">
        <v>190</v>
      </c>
      <c r="AL872" s="274" t="s">
        <v>190</v>
      </c>
      <c r="AM872" s="260" t="s">
        <v>3859</v>
      </c>
      <c r="AN872" s="22">
        <v>177</v>
      </c>
      <c r="AO872" s="22">
        <v>0</v>
      </c>
      <c r="AP872" s="22">
        <v>20</v>
      </c>
      <c r="AQ872" s="22">
        <v>0</v>
      </c>
      <c r="AR872" s="22">
        <v>0</v>
      </c>
      <c r="AS872" s="22">
        <v>7</v>
      </c>
      <c r="AT872" s="22">
        <v>10</v>
      </c>
      <c r="AU872" s="316">
        <f t="shared" si="144"/>
        <v>214</v>
      </c>
      <c r="AV872" s="22">
        <v>185</v>
      </c>
      <c r="AW872" s="22">
        <v>0</v>
      </c>
      <c r="AX872" s="22">
        <v>20</v>
      </c>
      <c r="AY872" s="22">
        <v>0</v>
      </c>
      <c r="AZ872" s="22">
        <v>0</v>
      </c>
      <c r="BA872" s="22">
        <v>7</v>
      </c>
      <c r="BB872" s="22">
        <v>10</v>
      </c>
      <c r="BC872" s="316">
        <f t="shared" si="145"/>
        <v>222</v>
      </c>
      <c r="BD872" s="58">
        <f t="shared" si="146"/>
        <v>8</v>
      </c>
      <c r="BE872" s="58">
        <f t="shared" si="147"/>
        <v>0</v>
      </c>
      <c r="BF872" s="58">
        <f t="shared" si="148"/>
        <v>0</v>
      </c>
      <c r="BG872" s="58">
        <f t="shared" si="149"/>
        <v>0</v>
      </c>
      <c r="BH872" s="58">
        <f t="shared" si="150"/>
        <v>0</v>
      </c>
      <c r="BI872" s="58">
        <f t="shared" si="151"/>
        <v>0</v>
      </c>
      <c r="BJ872" s="58">
        <f t="shared" si="152"/>
        <v>0</v>
      </c>
      <c r="BK872" s="58">
        <f t="shared" si="153"/>
        <v>8</v>
      </c>
    </row>
    <row r="873" spans="1:63" ht="27" customHeight="1">
      <c r="A873" s="238">
        <f t="shared" si="154"/>
        <v>871</v>
      </c>
      <c r="B873" s="239"/>
      <c r="C873" s="266">
        <v>3746</v>
      </c>
      <c r="D873" s="241">
        <v>0</v>
      </c>
      <c r="E873" s="302" t="s">
        <v>5075</v>
      </c>
      <c r="F873" s="268" t="s">
        <v>392</v>
      </c>
      <c r="G873" s="269" t="s">
        <v>3350</v>
      </c>
      <c r="H873" s="245" t="s">
        <v>634</v>
      </c>
      <c r="I873" s="246" t="s">
        <v>5076</v>
      </c>
      <c r="J873" s="270" t="s">
        <v>178</v>
      </c>
      <c r="K873" s="271">
        <v>35191</v>
      </c>
      <c r="L873" s="249" t="s">
        <v>179</v>
      </c>
      <c r="M873" s="272">
        <v>43762</v>
      </c>
      <c r="N873" s="272"/>
      <c r="O873" s="240"/>
      <c r="P873" s="238" t="s">
        <v>3940</v>
      </c>
      <c r="Q873" s="238" t="s">
        <v>249</v>
      </c>
      <c r="R873" s="240" t="s">
        <v>182</v>
      </c>
      <c r="S873" s="240" t="s">
        <v>211</v>
      </c>
      <c r="T873" s="251"/>
      <c r="U873" s="273"/>
      <c r="V873" s="274" t="s">
        <v>184</v>
      </c>
      <c r="W873" s="274" t="s">
        <v>184</v>
      </c>
      <c r="X873" s="275">
        <v>5</v>
      </c>
      <c r="Y873" s="267" t="s">
        <v>5077</v>
      </c>
      <c r="Z873" s="277"/>
      <c r="AA873" s="277"/>
      <c r="AB873" s="277" t="s">
        <v>186</v>
      </c>
      <c r="AC873" s="296"/>
      <c r="AD873" s="287" t="s">
        <v>188</v>
      </c>
      <c r="AE873" s="287"/>
      <c r="AF873" s="288"/>
      <c r="AG873" s="286"/>
      <c r="AH873" s="276"/>
      <c r="AI873" s="276"/>
      <c r="AJ873" s="274" t="s">
        <v>203</v>
      </c>
      <c r="AK873" s="274" t="s">
        <v>190</v>
      </c>
      <c r="AL873" s="274" t="s">
        <v>190</v>
      </c>
      <c r="AM873" s="260" t="s">
        <v>3859</v>
      </c>
      <c r="AN873" s="22">
        <v>182</v>
      </c>
      <c r="AO873" s="22">
        <v>0</v>
      </c>
      <c r="AP873" s="22">
        <v>20</v>
      </c>
      <c r="AQ873" s="22">
        <v>0</v>
      </c>
      <c r="AR873" s="22">
        <v>0</v>
      </c>
      <c r="AS873" s="22">
        <v>7</v>
      </c>
      <c r="AT873" s="22">
        <v>10</v>
      </c>
      <c r="AU873" s="316">
        <f t="shared" si="144"/>
        <v>219</v>
      </c>
      <c r="AV873" s="22">
        <v>190</v>
      </c>
      <c r="AW873" s="22">
        <v>0</v>
      </c>
      <c r="AX873" s="22">
        <v>20</v>
      </c>
      <c r="AY873" s="22">
        <v>0</v>
      </c>
      <c r="AZ873" s="22">
        <v>0</v>
      </c>
      <c r="BA873" s="22">
        <v>7</v>
      </c>
      <c r="BB873" s="22">
        <v>10</v>
      </c>
      <c r="BC873" s="316">
        <f t="shared" si="145"/>
        <v>227</v>
      </c>
      <c r="BD873" s="58">
        <f t="shared" si="146"/>
        <v>8</v>
      </c>
      <c r="BE873" s="58">
        <f t="shared" si="147"/>
        <v>0</v>
      </c>
      <c r="BF873" s="58">
        <f t="shared" si="148"/>
        <v>0</v>
      </c>
      <c r="BG873" s="58">
        <f t="shared" si="149"/>
        <v>0</v>
      </c>
      <c r="BH873" s="58">
        <f t="shared" si="150"/>
        <v>0</v>
      </c>
      <c r="BI873" s="58">
        <f t="shared" si="151"/>
        <v>0</v>
      </c>
      <c r="BJ873" s="58">
        <f t="shared" si="152"/>
        <v>0</v>
      </c>
      <c r="BK873" s="58">
        <f t="shared" si="153"/>
        <v>8</v>
      </c>
    </row>
    <row r="874" spans="1:63" ht="27" customHeight="1">
      <c r="A874" s="238">
        <f t="shared" si="154"/>
        <v>872</v>
      </c>
      <c r="B874" s="239"/>
      <c r="C874" s="266">
        <v>3679</v>
      </c>
      <c r="D874" s="241" t="s">
        <v>5078</v>
      </c>
      <c r="E874" s="302" t="s">
        <v>5079</v>
      </c>
      <c r="F874" s="268" t="s">
        <v>391</v>
      </c>
      <c r="G874" s="269" t="s">
        <v>5080</v>
      </c>
      <c r="H874" s="245" t="s">
        <v>5081</v>
      </c>
      <c r="I874" s="246" t="s">
        <v>5082</v>
      </c>
      <c r="J874" s="270" t="s">
        <v>178</v>
      </c>
      <c r="K874" s="271">
        <v>32958</v>
      </c>
      <c r="L874" s="249" t="s">
        <v>179</v>
      </c>
      <c r="M874" s="272">
        <v>43762</v>
      </c>
      <c r="N874" s="272"/>
      <c r="O874" s="240"/>
      <c r="P874" s="238" t="s">
        <v>3950</v>
      </c>
      <c r="Q874" s="238" t="s">
        <v>249</v>
      </c>
      <c r="R874" s="240" t="s">
        <v>182</v>
      </c>
      <c r="S874" s="240" t="s">
        <v>228</v>
      </c>
      <c r="T874" s="251"/>
      <c r="U874" s="273"/>
      <c r="V874" s="274" t="s">
        <v>184</v>
      </c>
      <c r="W874" s="274" t="s">
        <v>184</v>
      </c>
      <c r="X874" s="275"/>
      <c r="Y874" s="267" t="s">
        <v>5083</v>
      </c>
      <c r="Z874" s="277"/>
      <c r="AA874" s="277" t="s">
        <v>186</v>
      </c>
      <c r="AB874" s="274"/>
      <c r="AC874" s="296"/>
      <c r="AD874" s="287"/>
      <c r="AE874" s="287"/>
      <c r="AF874" s="288"/>
      <c r="AG874" s="286"/>
      <c r="AH874" s="276"/>
      <c r="AI874" s="276"/>
      <c r="AJ874" s="274" t="s">
        <v>203</v>
      </c>
      <c r="AK874" s="274" t="s">
        <v>190</v>
      </c>
      <c r="AL874" s="274" t="s">
        <v>190</v>
      </c>
      <c r="AM874" s="260" t="s">
        <v>3859</v>
      </c>
      <c r="AN874" s="22">
        <v>177</v>
      </c>
      <c r="AO874" s="22">
        <v>0</v>
      </c>
      <c r="AP874" s="22">
        <v>20</v>
      </c>
      <c r="AQ874" s="22">
        <v>0</v>
      </c>
      <c r="AR874" s="22">
        <v>0</v>
      </c>
      <c r="AS874" s="22">
        <v>7</v>
      </c>
      <c r="AT874" s="22">
        <v>10</v>
      </c>
      <c r="AU874" s="316">
        <f t="shared" si="144"/>
        <v>214</v>
      </c>
      <c r="AV874" s="22">
        <v>185</v>
      </c>
      <c r="AW874" s="22">
        <v>0</v>
      </c>
      <c r="AX874" s="22">
        <v>20</v>
      </c>
      <c r="AY874" s="22">
        <v>0</v>
      </c>
      <c r="AZ874" s="22">
        <v>0</v>
      </c>
      <c r="BA874" s="22">
        <v>7</v>
      </c>
      <c r="BB874" s="22">
        <v>10</v>
      </c>
      <c r="BC874" s="316">
        <f t="shared" si="145"/>
        <v>222</v>
      </c>
      <c r="BD874" s="58">
        <f t="shared" si="146"/>
        <v>8</v>
      </c>
      <c r="BE874" s="58">
        <f t="shared" si="147"/>
        <v>0</v>
      </c>
      <c r="BF874" s="58">
        <f t="shared" si="148"/>
        <v>0</v>
      </c>
      <c r="BG874" s="58">
        <f t="shared" si="149"/>
        <v>0</v>
      </c>
      <c r="BH874" s="58">
        <f t="shared" si="150"/>
        <v>0</v>
      </c>
      <c r="BI874" s="58">
        <f t="shared" si="151"/>
        <v>0</v>
      </c>
      <c r="BJ874" s="58">
        <f t="shared" si="152"/>
        <v>0</v>
      </c>
      <c r="BK874" s="58">
        <f t="shared" si="153"/>
        <v>8</v>
      </c>
    </row>
    <row r="875" spans="1:63" ht="27" customHeight="1">
      <c r="A875" s="238">
        <f t="shared" si="154"/>
        <v>873</v>
      </c>
      <c r="B875" s="239"/>
      <c r="C875" s="266">
        <v>3684</v>
      </c>
      <c r="D875" s="241" t="s">
        <v>5084</v>
      </c>
      <c r="E875" s="302" t="s">
        <v>5085</v>
      </c>
      <c r="F875" s="268" t="s">
        <v>5086</v>
      </c>
      <c r="G875" s="269" t="s">
        <v>1577</v>
      </c>
      <c r="H875" s="245" t="s">
        <v>5087</v>
      </c>
      <c r="I875" s="246" t="s">
        <v>1579</v>
      </c>
      <c r="J875" s="270" t="s">
        <v>178</v>
      </c>
      <c r="K875" s="271">
        <v>34307</v>
      </c>
      <c r="L875" s="249" t="s">
        <v>179</v>
      </c>
      <c r="M875" s="272">
        <v>43762</v>
      </c>
      <c r="N875" s="272"/>
      <c r="O875" s="240"/>
      <c r="P875" s="240"/>
      <c r="Q875" s="238" t="s">
        <v>249</v>
      </c>
      <c r="R875" s="240" t="s">
        <v>182</v>
      </c>
      <c r="S875" s="240" t="s">
        <v>256</v>
      </c>
      <c r="T875" s="251"/>
      <c r="U875" s="273"/>
      <c r="V875" s="274" t="s">
        <v>184</v>
      </c>
      <c r="W875" s="274" t="s">
        <v>184</v>
      </c>
      <c r="X875" s="275"/>
      <c r="Y875" s="267" t="s">
        <v>5088</v>
      </c>
      <c r="Z875" s="277"/>
      <c r="AA875" s="277"/>
      <c r="AB875" s="277"/>
      <c r="AC875" s="296"/>
      <c r="AD875" s="287"/>
      <c r="AE875" s="287"/>
      <c r="AF875" s="288"/>
      <c r="AG875" s="286"/>
      <c r="AH875" s="276"/>
      <c r="AI875" s="276"/>
      <c r="AJ875" s="274" t="s">
        <v>203</v>
      </c>
      <c r="AK875" s="274" t="s">
        <v>190</v>
      </c>
      <c r="AL875" s="274" t="s">
        <v>190</v>
      </c>
      <c r="AM875" s="260" t="s">
        <v>241</v>
      </c>
      <c r="AN875" s="22">
        <v>182</v>
      </c>
      <c r="AO875" s="22">
        <v>0</v>
      </c>
      <c r="AP875" s="22">
        <v>20</v>
      </c>
      <c r="AQ875" s="22">
        <v>0</v>
      </c>
      <c r="AR875" s="22">
        <v>0</v>
      </c>
      <c r="AS875" s="22">
        <v>7</v>
      </c>
      <c r="AT875" s="22">
        <v>10</v>
      </c>
      <c r="AU875" s="316">
        <f t="shared" si="144"/>
        <v>219</v>
      </c>
      <c r="AV875" s="22">
        <v>190</v>
      </c>
      <c r="AW875" s="22">
        <v>0</v>
      </c>
      <c r="AX875" s="22">
        <v>20</v>
      </c>
      <c r="AY875" s="22">
        <v>0</v>
      </c>
      <c r="AZ875" s="22">
        <v>0</v>
      </c>
      <c r="BA875" s="22">
        <v>7</v>
      </c>
      <c r="BB875" s="22">
        <v>10</v>
      </c>
      <c r="BC875" s="316">
        <f t="shared" si="145"/>
        <v>227</v>
      </c>
      <c r="BD875" s="58">
        <f t="shared" si="146"/>
        <v>8</v>
      </c>
      <c r="BE875" s="58">
        <f t="shared" si="147"/>
        <v>0</v>
      </c>
      <c r="BF875" s="58">
        <f t="shared" si="148"/>
        <v>0</v>
      </c>
      <c r="BG875" s="58">
        <f t="shared" si="149"/>
        <v>0</v>
      </c>
      <c r="BH875" s="58">
        <f t="shared" si="150"/>
        <v>0</v>
      </c>
      <c r="BI875" s="58">
        <f t="shared" si="151"/>
        <v>0</v>
      </c>
      <c r="BJ875" s="58">
        <f t="shared" si="152"/>
        <v>0</v>
      </c>
      <c r="BK875" s="58">
        <f t="shared" si="153"/>
        <v>8</v>
      </c>
    </row>
    <row r="876" spans="1:63" ht="27" customHeight="1">
      <c r="A876" s="238">
        <f t="shared" si="154"/>
        <v>874</v>
      </c>
      <c r="B876" s="239"/>
      <c r="C876" s="266">
        <v>3759</v>
      </c>
      <c r="D876" s="241" t="s">
        <v>5089</v>
      </c>
      <c r="E876" s="302" t="s">
        <v>5090</v>
      </c>
      <c r="F876" s="268" t="s">
        <v>2141</v>
      </c>
      <c r="G876" s="269" t="s">
        <v>5091</v>
      </c>
      <c r="H876" s="245" t="s">
        <v>4993</v>
      </c>
      <c r="I876" s="246" t="s">
        <v>5092</v>
      </c>
      <c r="J876" s="270" t="s">
        <v>178</v>
      </c>
      <c r="K876" s="271">
        <v>36193</v>
      </c>
      <c r="L876" s="249" t="s">
        <v>179</v>
      </c>
      <c r="M876" s="272">
        <v>43762</v>
      </c>
      <c r="N876" s="272"/>
      <c r="O876" s="240"/>
      <c r="P876" s="238" t="s">
        <v>3638</v>
      </c>
      <c r="Q876" s="238" t="s">
        <v>249</v>
      </c>
      <c r="R876" s="240" t="s">
        <v>182</v>
      </c>
      <c r="S876" s="240" t="s">
        <v>211</v>
      </c>
      <c r="T876" s="251"/>
      <c r="U876" s="273"/>
      <c r="V876" s="274" t="s">
        <v>184</v>
      </c>
      <c r="W876" s="274" t="s">
        <v>184</v>
      </c>
      <c r="X876" s="275">
        <v>6</v>
      </c>
      <c r="Y876" s="267" t="s">
        <v>4995</v>
      </c>
      <c r="Z876" s="277" t="s">
        <v>186</v>
      </c>
      <c r="AA876" s="277"/>
      <c r="AB876" s="274"/>
      <c r="AC876" s="296"/>
      <c r="AD876" s="287"/>
      <c r="AE876" s="287"/>
      <c r="AF876" s="288"/>
      <c r="AG876" s="286"/>
      <c r="AH876" s="276"/>
      <c r="AI876" s="276"/>
      <c r="AJ876" s="274" t="s">
        <v>203</v>
      </c>
      <c r="AK876" s="274" t="s">
        <v>190</v>
      </c>
      <c r="AL876" s="274" t="s">
        <v>190</v>
      </c>
      <c r="AM876" s="260" t="s">
        <v>3859</v>
      </c>
      <c r="AN876" s="22">
        <v>182</v>
      </c>
      <c r="AO876" s="22">
        <v>0</v>
      </c>
      <c r="AP876" s="22">
        <v>20</v>
      </c>
      <c r="AQ876" s="22">
        <v>0</v>
      </c>
      <c r="AR876" s="22">
        <v>0</v>
      </c>
      <c r="AS876" s="22">
        <v>7</v>
      </c>
      <c r="AT876" s="22">
        <v>10</v>
      </c>
      <c r="AU876" s="316">
        <f t="shared" si="144"/>
        <v>219</v>
      </c>
      <c r="AV876" s="22">
        <v>190</v>
      </c>
      <c r="AW876" s="22">
        <v>0</v>
      </c>
      <c r="AX876" s="22">
        <v>20</v>
      </c>
      <c r="AY876" s="22">
        <v>0</v>
      </c>
      <c r="AZ876" s="22">
        <v>0</v>
      </c>
      <c r="BA876" s="22">
        <v>7</v>
      </c>
      <c r="BB876" s="22">
        <v>10</v>
      </c>
      <c r="BC876" s="316">
        <f t="shared" si="145"/>
        <v>227</v>
      </c>
      <c r="BD876" s="58">
        <f t="shared" si="146"/>
        <v>8</v>
      </c>
      <c r="BE876" s="58">
        <f t="shared" si="147"/>
        <v>0</v>
      </c>
      <c r="BF876" s="58">
        <f t="shared" si="148"/>
        <v>0</v>
      </c>
      <c r="BG876" s="58">
        <f t="shared" si="149"/>
        <v>0</v>
      </c>
      <c r="BH876" s="58">
        <f t="shared" si="150"/>
        <v>0</v>
      </c>
      <c r="BI876" s="58">
        <f t="shared" si="151"/>
        <v>0</v>
      </c>
      <c r="BJ876" s="58">
        <f t="shared" si="152"/>
        <v>0</v>
      </c>
      <c r="BK876" s="58">
        <f t="shared" si="153"/>
        <v>8</v>
      </c>
    </row>
    <row r="877" spans="1:63" ht="27" customHeight="1">
      <c r="A877" s="238">
        <f t="shared" si="154"/>
        <v>875</v>
      </c>
      <c r="B877" s="239"/>
      <c r="C877" s="266">
        <v>3758</v>
      </c>
      <c r="D877" s="241" t="s">
        <v>5093</v>
      </c>
      <c r="E877" s="302" t="s">
        <v>5094</v>
      </c>
      <c r="F877" s="268" t="s">
        <v>5095</v>
      </c>
      <c r="G877" s="269" t="s">
        <v>831</v>
      </c>
      <c r="H877" s="245" t="s">
        <v>1804</v>
      </c>
      <c r="I877" s="246" t="s">
        <v>1919</v>
      </c>
      <c r="J877" s="270" t="s">
        <v>178</v>
      </c>
      <c r="K877" s="271">
        <v>31448</v>
      </c>
      <c r="L877" s="249" t="s">
        <v>179</v>
      </c>
      <c r="M877" s="272">
        <v>43762</v>
      </c>
      <c r="N877" s="272"/>
      <c r="O877" s="240"/>
      <c r="P877" s="238" t="s">
        <v>3649</v>
      </c>
      <c r="Q877" s="238" t="s">
        <v>249</v>
      </c>
      <c r="R877" s="240" t="s">
        <v>182</v>
      </c>
      <c r="S877" s="240" t="s">
        <v>727</v>
      </c>
      <c r="T877" s="251"/>
      <c r="U877" s="273"/>
      <c r="V877" s="274" t="s">
        <v>184</v>
      </c>
      <c r="W877" s="274" t="s">
        <v>184</v>
      </c>
      <c r="X877" s="275">
        <v>5</v>
      </c>
      <c r="Y877" s="267" t="s">
        <v>5096</v>
      </c>
      <c r="Z877" s="277"/>
      <c r="AA877" s="277" t="s">
        <v>186</v>
      </c>
      <c r="AB877" s="274"/>
      <c r="AC877" s="296"/>
      <c r="AD877" s="287"/>
      <c r="AE877" s="287"/>
      <c r="AF877" s="288"/>
      <c r="AG877" s="286"/>
      <c r="AH877" s="276"/>
      <c r="AI877" s="276"/>
      <c r="AJ877" s="274" t="s">
        <v>203</v>
      </c>
      <c r="AK877" s="274" t="s">
        <v>190</v>
      </c>
      <c r="AL877" s="274" t="s">
        <v>190</v>
      </c>
      <c r="AM877" s="260" t="s">
        <v>3859</v>
      </c>
      <c r="AN877" s="22">
        <v>182</v>
      </c>
      <c r="AO877" s="22">
        <v>0</v>
      </c>
      <c r="AP877" s="22">
        <v>20</v>
      </c>
      <c r="AQ877" s="22">
        <v>0</v>
      </c>
      <c r="AR877" s="22">
        <v>0</v>
      </c>
      <c r="AS877" s="22">
        <v>7</v>
      </c>
      <c r="AT877" s="22">
        <v>10</v>
      </c>
      <c r="AU877" s="316">
        <f t="shared" si="144"/>
        <v>219</v>
      </c>
      <c r="AV877" s="22">
        <v>190</v>
      </c>
      <c r="AW877" s="22">
        <v>0</v>
      </c>
      <c r="AX877" s="22">
        <v>20</v>
      </c>
      <c r="AY877" s="22">
        <v>0</v>
      </c>
      <c r="AZ877" s="22">
        <v>0</v>
      </c>
      <c r="BA877" s="22">
        <v>7</v>
      </c>
      <c r="BB877" s="22">
        <v>10</v>
      </c>
      <c r="BC877" s="316">
        <f t="shared" si="145"/>
        <v>227</v>
      </c>
      <c r="BD877" s="58">
        <f t="shared" si="146"/>
        <v>8</v>
      </c>
      <c r="BE877" s="58">
        <f t="shared" si="147"/>
        <v>0</v>
      </c>
      <c r="BF877" s="58">
        <f t="shared" si="148"/>
        <v>0</v>
      </c>
      <c r="BG877" s="58">
        <f t="shared" si="149"/>
        <v>0</v>
      </c>
      <c r="BH877" s="58">
        <f t="shared" si="150"/>
        <v>0</v>
      </c>
      <c r="BI877" s="58">
        <f t="shared" si="151"/>
        <v>0</v>
      </c>
      <c r="BJ877" s="58">
        <f t="shared" si="152"/>
        <v>0</v>
      </c>
      <c r="BK877" s="58">
        <f t="shared" si="153"/>
        <v>8</v>
      </c>
    </row>
    <row r="878" spans="1:63" ht="27" customHeight="1">
      <c r="A878" s="238">
        <f t="shared" si="154"/>
        <v>876</v>
      </c>
      <c r="B878" s="239"/>
      <c r="C878" s="266">
        <v>3695</v>
      </c>
      <c r="D878" s="241">
        <v>0</v>
      </c>
      <c r="E878" s="302" t="s">
        <v>5097</v>
      </c>
      <c r="F878" s="268" t="s">
        <v>5098</v>
      </c>
      <c r="G878" s="269" t="s">
        <v>897</v>
      </c>
      <c r="H878" s="245" t="s">
        <v>5099</v>
      </c>
      <c r="I878" s="246" t="s">
        <v>899</v>
      </c>
      <c r="J878" s="270" t="s">
        <v>178</v>
      </c>
      <c r="K878" s="271">
        <v>33608</v>
      </c>
      <c r="L878" s="249" t="s">
        <v>179</v>
      </c>
      <c r="M878" s="272">
        <v>43762</v>
      </c>
      <c r="N878" s="272"/>
      <c r="O878" s="240"/>
      <c r="P878" s="238" t="s">
        <v>3950</v>
      </c>
      <c r="Q878" s="238" t="s">
        <v>249</v>
      </c>
      <c r="R878" s="240" t="s">
        <v>182</v>
      </c>
      <c r="S878" s="240" t="s">
        <v>228</v>
      </c>
      <c r="T878" s="251"/>
      <c r="U878" s="273"/>
      <c r="V878" s="274" t="s">
        <v>184</v>
      </c>
      <c r="W878" s="274" t="s">
        <v>184</v>
      </c>
      <c r="X878" s="275">
        <v>5</v>
      </c>
      <c r="Y878" s="267" t="s">
        <v>5051</v>
      </c>
      <c r="Z878" s="277" t="s">
        <v>186</v>
      </c>
      <c r="AA878" s="277"/>
      <c r="AB878" s="274"/>
      <c r="AC878" s="296"/>
      <c r="AD878" s="287"/>
      <c r="AE878" s="287"/>
      <c r="AF878" s="288"/>
      <c r="AG878" s="286"/>
      <c r="AH878" s="276"/>
      <c r="AI878" s="276"/>
      <c r="AJ878" s="274" t="s">
        <v>203</v>
      </c>
      <c r="AK878" s="274" t="s">
        <v>190</v>
      </c>
      <c r="AL878" s="274" t="s">
        <v>190</v>
      </c>
      <c r="AM878" s="260" t="s">
        <v>4830</v>
      </c>
      <c r="AN878" s="22">
        <v>182</v>
      </c>
      <c r="AO878" s="22">
        <v>0</v>
      </c>
      <c r="AP878" s="22">
        <v>0</v>
      </c>
      <c r="AQ878" s="22">
        <v>0</v>
      </c>
      <c r="AR878" s="22">
        <v>0</v>
      </c>
      <c r="AS878" s="22">
        <v>7</v>
      </c>
      <c r="AT878" s="22">
        <v>10</v>
      </c>
      <c r="AU878" s="316">
        <f t="shared" si="144"/>
        <v>199</v>
      </c>
      <c r="AV878" s="22">
        <v>190</v>
      </c>
      <c r="AW878" s="22">
        <v>0</v>
      </c>
      <c r="AX878" s="22">
        <v>0</v>
      </c>
      <c r="AY878" s="22">
        <v>0</v>
      </c>
      <c r="AZ878" s="22">
        <v>0</v>
      </c>
      <c r="BA878" s="22">
        <v>7</v>
      </c>
      <c r="BB878" s="22">
        <v>10</v>
      </c>
      <c r="BC878" s="316">
        <f t="shared" si="145"/>
        <v>207</v>
      </c>
      <c r="BD878" s="58">
        <f t="shared" si="146"/>
        <v>8</v>
      </c>
      <c r="BE878" s="58">
        <f t="shared" si="147"/>
        <v>0</v>
      </c>
      <c r="BF878" s="58">
        <f t="shared" si="148"/>
        <v>0</v>
      </c>
      <c r="BG878" s="58">
        <f t="shared" si="149"/>
        <v>0</v>
      </c>
      <c r="BH878" s="58">
        <f t="shared" si="150"/>
        <v>0</v>
      </c>
      <c r="BI878" s="58">
        <f t="shared" si="151"/>
        <v>0</v>
      </c>
      <c r="BJ878" s="58">
        <f t="shared" si="152"/>
        <v>0</v>
      </c>
      <c r="BK878" s="58">
        <f t="shared" si="153"/>
        <v>8</v>
      </c>
    </row>
    <row r="879" spans="1:63" ht="27" customHeight="1">
      <c r="A879" s="238">
        <f t="shared" si="154"/>
        <v>877</v>
      </c>
      <c r="B879" s="239"/>
      <c r="C879" s="266">
        <v>3696</v>
      </c>
      <c r="D879" s="241" t="s">
        <v>5100</v>
      </c>
      <c r="E879" s="302" t="s">
        <v>5101</v>
      </c>
      <c r="F879" s="268" t="s">
        <v>2098</v>
      </c>
      <c r="G879" s="269" t="s">
        <v>444</v>
      </c>
      <c r="H879" s="245" t="s">
        <v>4171</v>
      </c>
      <c r="I879" s="246" t="s">
        <v>5102</v>
      </c>
      <c r="J879" s="270" t="s">
        <v>178</v>
      </c>
      <c r="K879" s="271">
        <v>28171</v>
      </c>
      <c r="L879" s="249" t="s">
        <v>179</v>
      </c>
      <c r="M879" s="272">
        <v>43753</v>
      </c>
      <c r="N879" s="272"/>
      <c r="O879" s="240"/>
      <c r="P879" s="238" t="s">
        <v>3638</v>
      </c>
      <c r="Q879" s="238" t="s">
        <v>249</v>
      </c>
      <c r="R879" s="240" t="s">
        <v>182</v>
      </c>
      <c r="S879" s="240" t="s">
        <v>183</v>
      </c>
      <c r="T879" s="251"/>
      <c r="U879" s="273"/>
      <c r="V879" s="274" t="s">
        <v>184</v>
      </c>
      <c r="W879" s="274" t="s">
        <v>184</v>
      </c>
      <c r="X879" s="275">
        <v>5</v>
      </c>
      <c r="Y879" s="267" t="s">
        <v>5103</v>
      </c>
      <c r="Z879" s="277"/>
      <c r="AA879" s="277" t="s">
        <v>186</v>
      </c>
      <c r="AB879" s="274"/>
      <c r="AC879" s="296" t="s">
        <v>3888</v>
      </c>
      <c r="AD879" s="296" t="s">
        <v>3888</v>
      </c>
      <c r="AE879" s="296" t="s">
        <v>3888</v>
      </c>
      <c r="AF879" s="296" t="s">
        <v>3888</v>
      </c>
      <c r="AG879" s="296" t="s">
        <v>188</v>
      </c>
      <c r="AH879" s="296" t="s">
        <v>188</v>
      </c>
      <c r="AI879" s="296"/>
      <c r="AJ879" s="274" t="s">
        <v>203</v>
      </c>
      <c r="AK879" s="274" t="s">
        <v>190</v>
      </c>
      <c r="AL879" s="274" t="s">
        <v>190</v>
      </c>
      <c r="AM879" s="260" t="s">
        <v>3916</v>
      </c>
      <c r="AN879" s="22">
        <v>182</v>
      </c>
      <c r="AO879" s="22">
        <v>0</v>
      </c>
      <c r="AP879" s="22">
        <v>20</v>
      </c>
      <c r="AQ879" s="22">
        <v>0</v>
      </c>
      <c r="AR879" s="22">
        <v>0</v>
      </c>
      <c r="AS879" s="22">
        <v>7</v>
      </c>
      <c r="AT879" s="22">
        <v>10</v>
      </c>
      <c r="AU879" s="316">
        <f t="shared" si="144"/>
        <v>219</v>
      </c>
      <c r="AV879" s="22">
        <v>190</v>
      </c>
      <c r="AW879" s="22">
        <v>0</v>
      </c>
      <c r="AX879" s="22">
        <v>20</v>
      </c>
      <c r="AY879" s="22">
        <v>0</v>
      </c>
      <c r="AZ879" s="22">
        <v>0</v>
      </c>
      <c r="BA879" s="22">
        <v>7</v>
      </c>
      <c r="BB879" s="22">
        <v>10</v>
      </c>
      <c r="BC879" s="316">
        <f t="shared" si="145"/>
        <v>227</v>
      </c>
      <c r="BD879" s="58">
        <f t="shared" si="146"/>
        <v>8</v>
      </c>
      <c r="BE879" s="58">
        <f t="shared" si="147"/>
        <v>0</v>
      </c>
      <c r="BF879" s="58">
        <f t="shared" si="148"/>
        <v>0</v>
      </c>
      <c r="BG879" s="58">
        <f t="shared" si="149"/>
        <v>0</v>
      </c>
      <c r="BH879" s="58">
        <f t="shared" si="150"/>
        <v>0</v>
      </c>
      <c r="BI879" s="58">
        <f t="shared" si="151"/>
        <v>0</v>
      </c>
      <c r="BJ879" s="58">
        <f t="shared" si="152"/>
        <v>0</v>
      </c>
      <c r="BK879" s="58">
        <f t="shared" si="153"/>
        <v>8</v>
      </c>
    </row>
    <row r="880" spans="1:63" ht="27" customHeight="1">
      <c r="A880" s="238">
        <f t="shared" si="154"/>
        <v>878</v>
      </c>
      <c r="B880" s="239"/>
      <c r="C880" s="266">
        <v>3697</v>
      </c>
      <c r="D880" s="241" t="s">
        <v>5104</v>
      </c>
      <c r="E880" s="302" t="s">
        <v>5105</v>
      </c>
      <c r="F880" s="268" t="s">
        <v>5106</v>
      </c>
      <c r="G880" s="269" t="s">
        <v>413</v>
      </c>
      <c r="H880" s="245" t="s">
        <v>3873</v>
      </c>
      <c r="I880" s="246" t="s">
        <v>5107</v>
      </c>
      <c r="J880" s="270" t="s">
        <v>178</v>
      </c>
      <c r="K880" s="271">
        <v>34561</v>
      </c>
      <c r="L880" s="249" t="s">
        <v>179</v>
      </c>
      <c r="M880" s="272">
        <v>43762</v>
      </c>
      <c r="N880" s="272"/>
      <c r="O880" s="240"/>
      <c r="P880" s="238" t="s">
        <v>3638</v>
      </c>
      <c r="Q880" s="238" t="s">
        <v>249</v>
      </c>
      <c r="R880" s="240" t="s">
        <v>182</v>
      </c>
      <c r="S880" s="240" t="s">
        <v>228</v>
      </c>
      <c r="T880" s="251"/>
      <c r="U880" s="273"/>
      <c r="V880" s="274" t="s">
        <v>184</v>
      </c>
      <c r="W880" s="274" t="s">
        <v>184</v>
      </c>
      <c r="X880" s="275">
        <v>4</v>
      </c>
      <c r="Y880" s="267" t="s">
        <v>5108</v>
      </c>
      <c r="Z880" s="277"/>
      <c r="AA880" s="277" t="s">
        <v>186</v>
      </c>
      <c r="AB880" s="274"/>
      <c r="AC880" s="296"/>
      <c r="AD880" s="296"/>
      <c r="AE880" s="296"/>
      <c r="AF880" s="296"/>
      <c r="AG880" s="296"/>
      <c r="AH880" s="296"/>
      <c r="AI880" s="296"/>
      <c r="AJ880" s="274" t="s">
        <v>203</v>
      </c>
      <c r="AK880" s="274" t="s">
        <v>190</v>
      </c>
      <c r="AL880" s="274" t="s">
        <v>190</v>
      </c>
      <c r="AM880" s="260" t="s">
        <v>3859</v>
      </c>
      <c r="AN880" s="22">
        <v>182</v>
      </c>
      <c r="AO880" s="22">
        <v>0</v>
      </c>
      <c r="AP880" s="22">
        <v>20</v>
      </c>
      <c r="AQ880" s="22">
        <v>0</v>
      </c>
      <c r="AR880" s="22">
        <v>0</v>
      </c>
      <c r="AS880" s="22">
        <v>7</v>
      </c>
      <c r="AT880" s="22">
        <v>10</v>
      </c>
      <c r="AU880" s="316">
        <f t="shared" si="144"/>
        <v>219</v>
      </c>
      <c r="AV880" s="22">
        <v>190</v>
      </c>
      <c r="AW880" s="22">
        <v>0</v>
      </c>
      <c r="AX880" s="22">
        <v>20</v>
      </c>
      <c r="AY880" s="22">
        <v>0</v>
      </c>
      <c r="AZ880" s="22">
        <v>0</v>
      </c>
      <c r="BA880" s="22">
        <v>7</v>
      </c>
      <c r="BB880" s="22">
        <v>10</v>
      </c>
      <c r="BC880" s="316">
        <f t="shared" si="145"/>
        <v>227</v>
      </c>
      <c r="BD880" s="58">
        <f t="shared" si="146"/>
        <v>8</v>
      </c>
      <c r="BE880" s="58">
        <f t="shared" si="147"/>
        <v>0</v>
      </c>
      <c r="BF880" s="58">
        <f t="shared" si="148"/>
        <v>0</v>
      </c>
      <c r="BG880" s="58">
        <f t="shared" si="149"/>
        <v>0</v>
      </c>
      <c r="BH880" s="58">
        <f t="shared" si="150"/>
        <v>0</v>
      </c>
      <c r="BI880" s="58">
        <f t="shared" si="151"/>
        <v>0</v>
      </c>
      <c r="BJ880" s="58">
        <f t="shared" si="152"/>
        <v>0</v>
      </c>
      <c r="BK880" s="58">
        <f t="shared" si="153"/>
        <v>8</v>
      </c>
    </row>
    <row r="881" spans="1:63" ht="27" customHeight="1">
      <c r="A881" s="238">
        <f t="shared" si="154"/>
        <v>879</v>
      </c>
      <c r="B881" s="239"/>
      <c r="C881" s="266">
        <v>3698</v>
      </c>
      <c r="D881" s="241" t="s">
        <v>5109</v>
      </c>
      <c r="E881" s="302" t="s">
        <v>5110</v>
      </c>
      <c r="F881" s="268" t="s">
        <v>481</v>
      </c>
      <c r="G881" s="269" t="s">
        <v>5111</v>
      </c>
      <c r="H881" s="245" t="s">
        <v>1061</v>
      </c>
      <c r="I881" s="246" t="s">
        <v>5112</v>
      </c>
      <c r="J881" s="270" t="s">
        <v>178</v>
      </c>
      <c r="K881" s="271">
        <v>34366</v>
      </c>
      <c r="L881" s="249" t="s">
        <v>179</v>
      </c>
      <c r="M881" s="272">
        <v>43762</v>
      </c>
      <c r="N881" s="272"/>
      <c r="O881" s="240"/>
      <c r="P881" s="238" t="s">
        <v>3638</v>
      </c>
      <c r="Q881" s="238" t="s">
        <v>249</v>
      </c>
      <c r="R881" s="240" t="s">
        <v>182</v>
      </c>
      <c r="S881" s="240" t="s">
        <v>228</v>
      </c>
      <c r="T881" s="251"/>
      <c r="U881" s="273"/>
      <c r="V881" s="274" t="s">
        <v>184</v>
      </c>
      <c r="W881" s="274" t="s">
        <v>184</v>
      </c>
      <c r="X881" s="275">
        <v>5</v>
      </c>
      <c r="Y881" s="267" t="s">
        <v>5113</v>
      </c>
      <c r="Z881" s="277"/>
      <c r="AA881" s="277" t="s">
        <v>186</v>
      </c>
      <c r="AB881" s="274"/>
      <c r="AC881" s="296"/>
      <c r="AD881" s="296"/>
      <c r="AE881" s="296"/>
      <c r="AF881" s="296"/>
      <c r="AG881" s="296"/>
      <c r="AH881" s="296"/>
      <c r="AI881" s="296"/>
      <c r="AJ881" s="274" t="s">
        <v>203</v>
      </c>
      <c r="AK881" s="274" t="s">
        <v>190</v>
      </c>
      <c r="AL881" s="274" t="s">
        <v>190</v>
      </c>
      <c r="AM881" s="260" t="s">
        <v>5114</v>
      </c>
      <c r="AN881" s="22">
        <v>182</v>
      </c>
      <c r="AO881" s="22">
        <v>0</v>
      </c>
      <c r="AP881" s="22">
        <v>0</v>
      </c>
      <c r="AQ881" s="22">
        <v>0</v>
      </c>
      <c r="AR881" s="22">
        <v>0</v>
      </c>
      <c r="AS881" s="22">
        <v>7</v>
      </c>
      <c r="AT881" s="22">
        <v>10</v>
      </c>
      <c r="AU881" s="316">
        <f t="shared" si="144"/>
        <v>199</v>
      </c>
      <c r="AV881" s="22">
        <v>190</v>
      </c>
      <c r="AW881" s="22">
        <v>0</v>
      </c>
      <c r="AX881" s="22">
        <v>0</v>
      </c>
      <c r="AY881" s="22">
        <v>0</v>
      </c>
      <c r="AZ881" s="22">
        <v>0</v>
      </c>
      <c r="BA881" s="22">
        <v>7</v>
      </c>
      <c r="BB881" s="22">
        <v>10</v>
      </c>
      <c r="BC881" s="316">
        <f t="shared" si="145"/>
        <v>207</v>
      </c>
      <c r="BD881" s="58">
        <f t="shared" si="146"/>
        <v>8</v>
      </c>
      <c r="BE881" s="58">
        <f t="shared" si="147"/>
        <v>0</v>
      </c>
      <c r="BF881" s="58">
        <f t="shared" si="148"/>
        <v>0</v>
      </c>
      <c r="BG881" s="58">
        <f t="shared" si="149"/>
        <v>0</v>
      </c>
      <c r="BH881" s="58">
        <f t="shared" si="150"/>
        <v>0</v>
      </c>
      <c r="BI881" s="58">
        <f t="shared" si="151"/>
        <v>0</v>
      </c>
      <c r="BJ881" s="58">
        <f t="shared" si="152"/>
        <v>0</v>
      </c>
      <c r="BK881" s="58">
        <f t="shared" si="153"/>
        <v>8</v>
      </c>
    </row>
    <row r="882" spans="1:63" ht="27" customHeight="1">
      <c r="A882" s="238">
        <f t="shared" si="154"/>
        <v>880</v>
      </c>
      <c r="B882" s="239"/>
      <c r="C882" s="266">
        <v>3699</v>
      </c>
      <c r="D882" s="241" t="s">
        <v>5115</v>
      </c>
      <c r="E882" s="302" t="s">
        <v>5116</v>
      </c>
      <c r="F882" s="268" t="s">
        <v>398</v>
      </c>
      <c r="G882" s="269" t="s">
        <v>4149</v>
      </c>
      <c r="H882" s="245" t="s">
        <v>4592</v>
      </c>
      <c r="I882" s="246" t="s">
        <v>4151</v>
      </c>
      <c r="J882" s="270" t="s">
        <v>178</v>
      </c>
      <c r="K882" s="271">
        <v>33513</v>
      </c>
      <c r="L882" s="249" t="s">
        <v>179</v>
      </c>
      <c r="M882" s="272">
        <v>43762</v>
      </c>
      <c r="N882" s="272"/>
      <c r="O882" s="240"/>
      <c r="P882" s="238" t="s">
        <v>3638</v>
      </c>
      <c r="Q882" s="238" t="s">
        <v>249</v>
      </c>
      <c r="R882" s="240" t="s">
        <v>182</v>
      </c>
      <c r="S882" s="240" t="s">
        <v>228</v>
      </c>
      <c r="T882" s="251"/>
      <c r="U882" s="273"/>
      <c r="V882" s="274" t="s">
        <v>184</v>
      </c>
      <c r="W882" s="274" t="s">
        <v>184</v>
      </c>
      <c r="X882" s="275">
        <v>8</v>
      </c>
      <c r="Y882" s="267" t="s">
        <v>5117</v>
      </c>
      <c r="Z882" s="277"/>
      <c r="AA882" s="277" t="s">
        <v>186</v>
      </c>
      <c r="AB882" s="274"/>
      <c r="AC882" s="296"/>
      <c r="AD882" s="296"/>
      <c r="AE882" s="296"/>
      <c r="AF882" s="296"/>
      <c r="AG882" s="296"/>
      <c r="AH882" s="296"/>
      <c r="AI882" s="296"/>
      <c r="AJ882" s="274" t="s">
        <v>203</v>
      </c>
      <c r="AK882" s="274" t="s">
        <v>190</v>
      </c>
      <c r="AL882" s="274" t="s">
        <v>190</v>
      </c>
      <c r="AM882" s="260" t="s">
        <v>4830</v>
      </c>
      <c r="AN882" s="22">
        <v>182</v>
      </c>
      <c r="AO882" s="22">
        <v>0</v>
      </c>
      <c r="AP882" s="22">
        <v>20</v>
      </c>
      <c r="AQ882" s="22">
        <v>0</v>
      </c>
      <c r="AR882" s="22">
        <v>0</v>
      </c>
      <c r="AS882" s="22">
        <v>7</v>
      </c>
      <c r="AT882" s="22">
        <v>10</v>
      </c>
      <c r="AU882" s="316">
        <f t="shared" si="144"/>
        <v>219</v>
      </c>
      <c r="AV882" s="22">
        <v>190</v>
      </c>
      <c r="AW882" s="22">
        <v>0</v>
      </c>
      <c r="AX882" s="22">
        <v>20</v>
      </c>
      <c r="AY882" s="22">
        <v>0</v>
      </c>
      <c r="AZ882" s="22">
        <v>0</v>
      </c>
      <c r="BA882" s="22">
        <v>7</v>
      </c>
      <c r="BB882" s="22">
        <v>10</v>
      </c>
      <c r="BC882" s="316">
        <f t="shared" si="145"/>
        <v>227</v>
      </c>
      <c r="BD882" s="58">
        <f t="shared" si="146"/>
        <v>8</v>
      </c>
      <c r="BE882" s="58">
        <f t="shared" si="147"/>
        <v>0</v>
      </c>
      <c r="BF882" s="58">
        <f t="shared" si="148"/>
        <v>0</v>
      </c>
      <c r="BG882" s="58">
        <f t="shared" si="149"/>
        <v>0</v>
      </c>
      <c r="BH882" s="58">
        <f t="shared" si="150"/>
        <v>0</v>
      </c>
      <c r="BI882" s="58">
        <f t="shared" si="151"/>
        <v>0</v>
      </c>
      <c r="BJ882" s="58">
        <f t="shared" si="152"/>
        <v>0</v>
      </c>
      <c r="BK882" s="58">
        <f t="shared" si="153"/>
        <v>8</v>
      </c>
    </row>
    <row r="883" spans="1:63" ht="27" customHeight="1">
      <c r="A883" s="238">
        <f t="shared" si="154"/>
        <v>881</v>
      </c>
      <c r="B883" s="239"/>
      <c r="C883" s="266">
        <v>3687</v>
      </c>
      <c r="D883" s="241" t="s">
        <v>5118</v>
      </c>
      <c r="E883" s="302" t="s">
        <v>5119</v>
      </c>
      <c r="F883" s="268" t="s">
        <v>443</v>
      </c>
      <c r="G883" s="269" t="s">
        <v>3328</v>
      </c>
      <c r="H883" s="245" t="s">
        <v>964</v>
      </c>
      <c r="I883" s="246" t="s">
        <v>4834</v>
      </c>
      <c r="J883" s="270" t="s">
        <v>178</v>
      </c>
      <c r="K883" s="271">
        <v>35604</v>
      </c>
      <c r="L883" s="249" t="s">
        <v>179</v>
      </c>
      <c r="M883" s="272">
        <v>43762</v>
      </c>
      <c r="N883" s="272"/>
      <c r="O883" s="240"/>
      <c r="P883" s="238" t="s">
        <v>3940</v>
      </c>
      <c r="Q883" s="238" t="s">
        <v>249</v>
      </c>
      <c r="R883" s="240" t="s">
        <v>182</v>
      </c>
      <c r="S883" s="240" t="s">
        <v>228</v>
      </c>
      <c r="T883" s="251"/>
      <c r="U883" s="273"/>
      <c r="V883" s="274" t="s">
        <v>184</v>
      </c>
      <c r="W883" s="274" t="s">
        <v>184</v>
      </c>
      <c r="X883" s="275">
        <v>3</v>
      </c>
      <c r="Y883" s="267" t="s">
        <v>5120</v>
      </c>
      <c r="Z883" s="277"/>
      <c r="AA883" s="277" t="s">
        <v>186</v>
      </c>
      <c r="AB883" s="274"/>
      <c r="AC883" s="296" t="s">
        <v>187</v>
      </c>
      <c r="AD883" s="296" t="s">
        <v>189</v>
      </c>
      <c r="AE883" s="296"/>
      <c r="AF883" s="296"/>
      <c r="AG883" s="296"/>
      <c r="AH883" s="296"/>
      <c r="AI883" s="296"/>
      <c r="AJ883" s="274" t="s">
        <v>203</v>
      </c>
      <c r="AK883" s="274" t="s">
        <v>190</v>
      </c>
      <c r="AL883" s="274" t="s">
        <v>190</v>
      </c>
      <c r="AM883" s="260" t="s">
        <v>3859</v>
      </c>
      <c r="AN883" s="22">
        <v>182</v>
      </c>
      <c r="AO883" s="22">
        <v>0</v>
      </c>
      <c r="AP883" s="22">
        <v>20</v>
      </c>
      <c r="AQ883" s="22">
        <v>0</v>
      </c>
      <c r="AR883" s="22">
        <v>0</v>
      </c>
      <c r="AS883" s="22">
        <v>7</v>
      </c>
      <c r="AT883" s="22">
        <v>10</v>
      </c>
      <c r="AU883" s="316">
        <f t="shared" si="144"/>
        <v>219</v>
      </c>
      <c r="AV883" s="22">
        <v>190</v>
      </c>
      <c r="AW883" s="22">
        <v>0</v>
      </c>
      <c r="AX883" s="22">
        <v>20</v>
      </c>
      <c r="AY883" s="22">
        <v>0</v>
      </c>
      <c r="AZ883" s="22">
        <v>0</v>
      </c>
      <c r="BA883" s="22">
        <v>7</v>
      </c>
      <c r="BB883" s="22">
        <v>10</v>
      </c>
      <c r="BC883" s="316">
        <f t="shared" si="145"/>
        <v>227</v>
      </c>
      <c r="BD883" s="58">
        <f t="shared" si="146"/>
        <v>8</v>
      </c>
      <c r="BE883" s="58">
        <f t="shared" si="147"/>
        <v>0</v>
      </c>
      <c r="BF883" s="58">
        <f t="shared" si="148"/>
        <v>0</v>
      </c>
      <c r="BG883" s="58">
        <f t="shared" si="149"/>
        <v>0</v>
      </c>
      <c r="BH883" s="58">
        <f t="shared" si="150"/>
        <v>0</v>
      </c>
      <c r="BI883" s="58">
        <f t="shared" si="151"/>
        <v>0</v>
      </c>
      <c r="BJ883" s="58">
        <f t="shared" si="152"/>
        <v>0</v>
      </c>
      <c r="BK883" s="58">
        <f t="shared" si="153"/>
        <v>8</v>
      </c>
    </row>
    <row r="884" spans="1:63" ht="27" customHeight="1">
      <c r="A884" s="238">
        <f t="shared" si="154"/>
        <v>882</v>
      </c>
      <c r="B884" s="239"/>
      <c r="C884" s="266">
        <v>3742</v>
      </c>
      <c r="D884" s="241" t="s">
        <v>5121</v>
      </c>
      <c r="E884" s="302" t="s">
        <v>5122</v>
      </c>
      <c r="F884" s="268" t="s">
        <v>2059</v>
      </c>
      <c r="G884" s="269" t="s">
        <v>3297</v>
      </c>
      <c r="H884" s="245" t="s">
        <v>4656</v>
      </c>
      <c r="I884" s="246" t="s">
        <v>3584</v>
      </c>
      <c r="J884" s="270" t="s">
        <v>178</v>
      </c>
      <c r="K884" s="271">
        <v>30387</v>
      </c>
      <c r="L884" s="249" t="s">
        <v>179</v>
      </c>
      <c r="M884" s="272">
        <v>43762</v>
      </c>
      <c r="N884" s="272"/>
      <c r="O884" s="240"/>
      <c r="P884" s="238" t="s">
        <v>3950</v>
      </c>
      <c r="Q884" s="238" t="s">
        <v>249</v>
      </c>
      <c r="R884" s="240" t="s">
        <v>182</v>
      </c>
      <c r="S884" s="240" t="s">
        <v>228</v>
      </c>
      <c r="T884" s="251"/>
      <c r="U884" s="273"/>
      <c r="V884" s="274" t="s">
        <v>184</v>
      </c>
      <c r="W884" s="274" t="s">
        <v>184</v>
      </c>
      <c r="X884" s="275">
        <v>4</v>
      </c>
      <c r="Y884" s="267" t="s">
        <v>5123</v>
      </c>
      <c r="Z884" s="277"/>
      <c r="AA884" s="277" t="s">
        <v>186</v>
      </c>
      <c r="AB884" s="274"/>
      <c r="AC884" s="296"/>
      <c r="AD884" s="296" t="s">
        <v>188</v>
      </c>
      <c r="AE884" s="296" t="s">
        <v>188</v>
      </c>
      <c r="AF884" s="296" t="s">
        <v>188</v>
      </c>
      <c r="AG884" s="296"/>
      <c r="AH884" s="296"/>
      <c r="AI884" s="296"/>
      <c r="AJ884" s="274" t="s">
        <v>203</v>
      </c>
      <c r="AK884" s="274" t="s">
        <v>190</v>
      </c>
      <c r="AL884" s="274" t="s">
        <v>190</v>
      </c>
      <c r="AM884" s="260" t="s">
        <v>4830</v>
      </c>
      <c r="AN884" s="22">
        <v>177</v>
      </c>
      <c r="AO884" s="22">
        <v>0</v>
      </c>
      <c r="AP884" s="22">
        <v>20</v>
      </c>
      <c r="AQ884" s="22">
        <v>0</v>
      </c>
      <c r="AR884" s="22">
        <v>0</v>
      </c>
      <c r="AS884" s="22">
        <v>7</v>
      </c>
      <c r="AT884" s="22">
        <v>10</v>
      </c>
      <c r="AU884" s="316">
        <f t="shared" si="144"/>
        <v>214</v>
      </c>
      <c r="AV884" s="22">
        <v>185</v>
      </c>
      <c r="AW884" s="22">
        <v>0</v>
      </c>
      <c r="AX884" s="22">
        <v>20</v>
      </c>
      <c r="AY884" s="22">
        <v>0</v>
      </c>
      <c r="AZ884" s="22">
        <v>0</v>
      </c>
      <c r="BA884" s="22">
        <v>7</v>
      </c>
      <c r="BB884" s="22">
        <v>10</v>
      </c>
      <c r="BC884" s="316">
        <f t="shared" si="145"/>
        <v>222</v>
      </c>
      <c r="BD884" s="58">
        <f t="shared" si="146"/>
        <v>8</v>
      </c>
      <c r="BE884" s="58">
        <f t="shared" si="147"/>
        <v>0</v>
      </c>
      <c r="BF884" s="58">
        <f t="shared" si="148"/>
        <v>0</v>
      </c>
      <c r="BG884" s="58">
        <f t="shared" si="149"/>
        <v>0</v>
      </c>
      <c r="BH884" s="58">
        <f t="shared" si="150"/>
        <v>0</v>
      </c>
      <c r="BI884" s="58">
        <f t="shared" si="151"/>
        <v>0</v>
      </c>
      <c r="BJ884" s="58">
        <f t="shared" si="152"/>
        <v>0</v>
      </c>
      <c r="BK884" s="58">
        <f t="shared" si="153"/>
        <v>8</v>
      </c>
    </row>
    <row r="885" spans="1:63" ht="27" customHeight="1">
      <c r="A885" s="238">
        <f t="shared" si="154"/>
        <v>883</v>
      </c>
      <c r="B885" s="239"/>
      <c r="C885" s="266">
        <v>3743</v>
      </c>
      <c r="D885" s="241" t="s">
        <v>5124</v>
      </c>
      <c r="E885" s="302" t="s">
        <v>5125</v>
      </c>
      <c r="F885" s="268" t="s">
        <v>3471</v>
      </c>
      <c r="G885" s="269" t="s">
        <v>5126</v>
      </c>
      <c r="H885" s="245" t="s">
        <v>5127</v>
      </c>
      <c r="I885" s="246" t="s">
        <v>5128</v>
      </c>
      <c r="J885" s="270" t="s">
        <v>178</v>
      </c>
      <c r="K885" s="271">
        <v>34888</v>
      </c>
      <c r="L885" s="249" t="s">
        <v>179</v>
      </c>
      <c r="M885" s="272">
        <v>43762</v>
      </c>
      <c r="N885" s="272"/>
      <c r="O885" s="240"/>
      <c r="P885" s="238" t="s">
        <v>3950</v>
      </c>
      <c r="Q885" s="238" t="s">
        <v>249</v>
      </c>
      <c r="R885" s="240" t="s">
        <v>182</v>
      </c>
      <c r="S885" s="240" t="s">
        <v>228</v>
      </c>
      <c r="T885" s="251"/>
      <c r="U885" s="273"/>
      <c r="V885" s="274" t="s">
        <v>184</v>
      </c>
      <c r="W885" s="274" t="s">
        <v>184</v>
      </c>
      <c r="X885" s="275">
        <v>10</v>
      </c>
      <c r="Y885" s="267" t="s">
        <v>5129</v>
      </c>
      <c r="Z885" s="277"/>
      <c r="AA885" s="277" t="s">
        <v>186</v>
      </c>
      <c r="AB885" s="274"/>
      <c r="AC885" s="296"/>
      <c r="AD885" s="296" t="s">
        <v>189</v>
      </c>
      <c r="AE885" s="296"/>
      <c r="AF885" s="296"/>
      <c r="AG885" s="296"/>
      <c r="AH885" s="296"/>
      <c r="AI885" s="296"/>
      <c r="AJ885" s="274" t="s">
        <v>203</v>
      </c>
      <c r="AK885" s="274" t="s">
        <v>190</v>
      </c>
      <c r="AL885" s="274" t="s">
        <v>190</v>
      </c>
      <c r="AM885" s="260" t="s">
        <v>4830</v>
      </c>
      <c r="AN885" s="22">
        <v>177</v>
      </c>
      <c r="AO885" s="22">
        <v>0</v>
      </c>
      <c r="AP885" s="22">
        <v>20</v>
      </c>
      <c r="AQ885" s="22">
        <v>0</v>
      </c>
      <c r="AR885" s="22">
        <v>0</v>
      </c>
      <c r="AS885" s="22">
        <v>7</v>
      </c>
      <c r="AT885" s="22">
        <v>10</v>
      </c>
      <c r="AU885" s="316">
        <f t="shared" si="144"/>
        <v>214</v>
      </c>
      <c r="AV885" s="22">
        <v>185</v>
      </c>
      <c r="AW885" s="22">
        <v>0</v>
      </c>
      <c r="AX885" s="22">
        <v>20</v>
      </c>
      <c r="AY885" s="22">
        <v>0</v>
      </c>
      <c r="AZ885" s="22">
        <v>0</v>
      </c>
      <c r="BA885" s="22">
        <v>7</v>
      </c>
      <c r="BB885" s="22">
        <v>10</v>
      </c>
      <c r="BC885" s="316">
        <f t="shared" si="145"/>
        <v>222</v>
      </c>
      <c r="BD885" s="58">
        <f t="shared" si="146"/>
        <v>8</v>
      </c>
      <c r="BE885" s="58">
        <f t="shared" si="147"/>
        <v>0</v>
      </c>
      <c r="BF885" s="58">
        <f t="shared" si="148"/>
        <v>0</v>
      </c>
      <c r="BG885" s="58">
        <f t="shared" si="149"/>
        <v>0</v>
      </c>
      <c r="BH885" s="58">
        <f t="shared" si="150"/>
        <v>0</v>
      </c>
      <c r="BI885" s="58">
        <f t="shared" si="151"/>
        <v>0</v>
      </c>
      <c r="BJ885" s="58">
        <f t="shared" si="152"/>
        <v>0</v>
      </c>
      <c r="BK885" s="58">
        <f t="shared" si="153"/>
        <v>8</v>
      </c>
    </row>
    <row r="886" spans="1:63" ht="27" customHeight="1">
      <c r="A886" s="238">
        <f t="shared" si="154"/>
        <v>884</v>
      </c>
      <c r="B886" s="239"/>
      <c r="C886" s="266">
        <v>3744</v>
      </c>
      <c r="D886" s="241" t="s">
        <v>5130</v>
      </c>
      <c r="E886" s="302" t="s">
        <v>5131</v>
      </c>
      <c r="F886" s="268" t="s">
        <v>457</v>
      </c>
      <c r="G886" s="269" t="s">
        <v>2169</v>
      </c>
      <c r="H886" s="245" t="s">
        <v>459</v>
      </c>
      <c r="I886" s="246" t="s">
        <v>5132</v>
      </c>
      <c r="J886" s="270" t="s">
        <v>178</v>
      </c>
      <c r="K886" s="271">
        <v>29725</v>
      </c>
      <c r="L886" s="249" t="s">
        <v>179</v>
      </c>
      <c r="M886" s="272">
        <v>43762</v>
      </c>
      <c r="N886" s="272"/>
      <c r="O886" s="240"/>
      <c r="P886" s="238" t="s">
        <v>3638</v>
      </c>
      <c r="Q886" s="238" t="s">
        <v>249</v>
      </c>
      <c r="R886" s="240" t="s">
        <v>182</v>
      </c>
      <c r="S886" s="240" t="s">
        <v>310</v>
      </c>
      <c r="T886" s="251"/>
      <c r="U886" s="273"/>
      <c r="V886" s="274" t="s">
        <v>184</v>
      </c>
      <c r="W886" s="274" t="s">
        <v>184</v>
      </c>
      <c r="X886" s="275">
        <v>3</v>
      </c>
      <c r="Y886" s="267" t="s">
        <v>5133</v>
      </c>
      <c r="Z886" s="277"/>
      <c r="AA886" s="277" t="s">
        <v>186</v>
      </c>
      <c r="AB886" s="274"/>
      <c r="AC886" s="296"/>
      <c r="AD886" s="296"/>
      <c r="AE886" s="296"/>
      <c r="AF886" s="296"/>
      <c r="AG886" s="296"/>
      <c r="AH886" s="296"/>
      <c r="AI886" s="296"/>
      <c r="AJ886" s="274" t="s">
        <v>203</v>
      </c>
      <c r="AK886" s="274" t="s">
        <v>190</v>
      </c>
      <c r="AL886" s="274" t="s">
        <v>190</v>
      </c>
      <c r="AM886" s="260" t="s">
        <v>3859</v>
      </c>
      <c r="AN886" s="22">
        <v>177</v>
      </c>
      <c r="AO886" s="22">
        <v>0</v>
      </c>
      <c r="AP886" s="22">
        <v>20</v>
      </c>
      <c r="AQ886" s="22">
        <v>0</v>
      </c>
      <c r="AR886" s="22">
        <v>0</v>
      </c>
      <c r="AS886" s="22">
        <v>7</v>
      </c>
      <c r="AT886" s="22">
        <v>10</v>
      </c>
      <c r="AU886" s="316">
        <f t="shared" si="144"/>
        <v>214</v>
      </c>
      <c r="AV886" s="22">
        <v>185</v>
      </c>
      <c r="AW886" s="22">
        <v>0</v>
      </c>
      <c r="AX886" s="22">
        <v>20</v>
      </c>
      <c r="AY886" s="22">
        <v>0</v>
      </c>
      <c r="AZ886" s="22">
        <v>0</v>
      </c>
      <c r="BA886" s="22">
        <v>7</v>
      </c>
      <c r="BB886" s="22">
        <v>10</v>
      </c>
      <c r="BC886" s="316">
        <f t="shared" si="145"/>
        <v>222</v>
      </c>
      <c r="BD886" s="58">
        <f t="shared" si="146"/>
        <v>8</v>
      </c>
      <c r="BE886" s="58">
        <f t="shared" si="147"/>
        <v>0</v>
      </c>
      <c r="BF886" s="58">
        <f t="shared" si="148"/>
        <v>0</v>
      </c>
      <c r="BG886" s="58">
        <f t="shared" si="149"/>
        <v>0</v>
      </c>
      <c r="BH886" s="58">
        <f t="shared" si="150"/>
        <v>0</v>
      </c>
      <c r="BI886" s="58">
        <f t="shared" si="151"/>
        <v>0</v>
      </c>
      <c r="BJ886" s="58">
        <f t="shared" si="152"/>
        <v>0</v>
      </c>
      <c r="BK886" s="58">
        <f t="shared" si="153"/>
        <v>8</v>
      </c>
    </row>
    <row r="887" spans="1:63" ht="27" customHeight="1">
      <c r="A887" s="238">
        <f t="shared" si="154"/>
        <v>885</v>
      </c>
      <c r="B887" s="239"/>
      <c r="C887" s="266">
        <v>3691</v>
      </c>
      <c r="D887" s="241" t="s">
        <v>5134</v>
      </c>
      <c r="E887" s="302" t="s">
        <v>5135</v>
      </c>
      <c r="F887" s="268" t="s">
        <v>2234</v>
      </c>
      <c r="G887" s="269" t="s">
        <v>5136</v>
      </c>
      <c r="H887" s="245" t="s">
        <v>2235</v>
      </c>
      <c r="I887" s="246" t="s">
        <v>5137</v>
      </c>
      <c r="J887" s="270" t="s">
        <v>178</v>
      </c>
      <c r="K887" s="271">
        <v>31660</v>
      </c>
      <c r="L887" s="249" t="s">
        <v>179</v>
      </c>
      <c r="M887" s="272">
        <v>43762</v>
      </c>
      <c r="N887" s="272"/>
      <c r="O887" s="240"/>
      <c r="P887" s="238" t="s">
        <v>3940</v>
      </c>
      <c r="Q887" s="238" t="s">
        <v>249</v>
      </c>
      <c r="R887" s="240" t="s">
        <v>182</v>
      </c>
      <c r="S887" s="240" t="s">
        <v>228</v>
      </c>
      <c r="T887" s="251"/>
      <c r="U887" s="273"/>
      <c r="V887" s="274" t="s">
        <v>184</v>
      </c>
      <c r="W887" s="274" t="s">
        <v>184</v>
      </c>
      <c r="X887" s="275">
        <v>5</v>
      </c>
      <c r="Y887" s="267" t="s">
        <v>5138</v>
      </c>
      <c r="Z887" s="305"/>
      <c r="AA887" s="277" t="s">
        <v>186</v>
      </c>
      <c r="AB887" s="260"/>
      <c r="AC887" s="289"/>
      <c r="AD887" s="296"/>
      <c r="AE887" s="296"/>
      <c r="AF887" s="296"/>
      <c r="AG887" s="296"/>
      <c r="AH887" s="296"/>
      <c r="AI887" s="296"/>
      <c r="AJ887" s="260" t="s">
        <v>203</v>
      </c>
      <c r="AK887" s="260" t="s">
        <v>190</v>
      </c>
      <c r="AL887" s="260" t="s">
        <v>190</v>
      </c>
      <c r="AM887" s="260" t="s">
        <v>3859</v>
      </c>
      <c r="AN887" s="22">
        <v>182</v>
      </c>
      <c r="AO887" s="22">
        <v>0</v>
      </c>
      <c r="AP887" s="22">
        <v>0</v>
      </c>
      <c r="AQ887" s="22">
        <v>0</v>
      </c>
      <c r="AR887" s="22">
        <v>0</v>
      </c>
      <c r="AS887" s="22">
        <v>7</v>
      </c>
      <c r="AT887" s="22">
        <v>10</v>
      </c>
      <c r="AU887" s="316">
        <f t="shared" si="144"/>
        <v>199</v>
      </c>
      <c r="AV887" s="22">
        <v>190</v>
      </c>
      <c r="AW887" s="22">
        <v>0</v>
      </c>
      <c r="AX887" s="22">
        <v>0</v>
      </c>
      <c r="AY887" s="22">
        <v>0</v>
      </c>
      <c r="AZ887" s="22">
        <v>0</v>
      </c>
      <c r="BA887" s="22">
        <v>7</v>
      </c>
      <c r="BB887" s="22">
        <v>10</v>
      </c>
      <c r="BC887" s="316">
        <f t="shared" si="145"/>
        <v>207</v>
      </c>
      <c r="BD887" s="58">
        <f t="shared" si="146"/>
        <v>8</v>
      </c>
      <c r="BE887" s="58">
        <f t="shared" si="147"/>
        <v>0</v>
      </c>
      <c r="BF887" s="58">
        <f t="shared" si="148"/>
        <v>0</v>
      </c>
      <c r="BG887" s="58">
        <f t="shared" si="149"/>
        <v>0</v>
      </c>
      <c r="BH887" s="58">
        <f t="shared" si="150"/>
        <v>0</v>
      </c>
      <c r="BI887" s="58">
        <f t="shared" si="151"/>
        <v>0</v>
      </c>
      <c r="BJ887" s="58">
        <f t="shared" si="152"/>
        <v>0</v>
      </c>
      <c r="BK887" s="58">
        <f t="shared" si="153"/>
        <v>8</v>
      </c>
    </row>
    <row r="888" spans="1:63" ht="27" customHeight="1">
      <c r="A888" s="238">
        <f t="shared" si="154"/>
        <v>886</v>
      </c>
      <c r="B888" s="239"/>
      <c r="C888" s="266">
        <v>3692</v>
      </c>
      <c r="D888" s="241" t="s">
        <v>5139</v>
      </c>
      <c r="E888" s="302" t="s">
        <v>5140</v>
      </c>
      <c r="F888" s="268" t="s">
        <v>5141</v>
      </c>
      <c r="G888" s="269" t="s">
        <v>963</v>
      </c>
      <c r="H888" s="245" t="s">
        <v>5142</v>
      </c>
      <c r="I888" s="246" t="s">
        <v>964</v>
      </c>
      <c r="J888" s="270" t="s">
        <v>178</v>
      </c>
      <c r="K888" s="271">
        <v>27897</v>
      </c>
      <c r="L888" s="249" t="s">
        <v>179</v>
      </c>
      <c r="M888" s="272">
        <v>43762</v>
      </c>
      <c r="N888" s="272"/>
      <c r="O888" s="240"/>
      <c r="P888" s="238" t="s">
        <v>3950</v>
      </c>
      <c r="Q888" s="238" t="s">
        <v>249</v>
      </c>
      <c r="R888" s="240" t="s">
        <v>182</v>
      </c>
      <c r="S888" s="240" t="s">
        <v>211</v>
      </c>
      <c r="T888" s="251"/>
      <c r="U888" s="273"/>
      <c r="V888" s="274" t="s">
        <v>184</v>
      </c>
      <c r="W888" s="274" t="s">
        <v>184</v>
      </c>
      <c r="X888" s="275">
        <v>3</v>
      </c>
      <c r="Y888" s="267" t="s">
        <v>5143</v>
      </c>
      <c r="Z888" s="305"/>
      <c r="AA888" s="277" t="s">
        <v>186</v>
      </c>
      <c r="AB888" s="260"/>
      <c r="AC888" s="296" t="s">
        <v>187</v>
      </c>
      <c r="AD888" s="296"/>
      <c r="AE888" s="296"/>
      <c r="AF888" s="296"/>
      <c r="AG888" s="296"/>
      <c r="AH888" s="296"/>
      <c r="AI888" s="296"/>
      <c r="AJ888" s="260" t="s">
        <v>203</v>
      </c>
      <c r="AK888" s="260" t="s">
        <v>190</v>
      </c>
      <c r="AL888" s="260" t="s">
        <v>190</v>
      </c>
      <c r="AM888" s="260" t="s">
        <v>3859</v>
      </c>
      <c r="AN888" s="22">
        <v>177</v>
      </c>
      <c r="AO888" s="22">
        <v>0</v>
      </c>
      <c r="AP888" s="22">
        <v>20</v>
      </c>
      <c r="AQ888" s="22">
        <v>0</v>
      </c>
      <c r="AR888" s="22">
        <v>0</v>
      </c>
      <c r="AS888" s="22">
        <v>7</v>
      </c>
      <c r="AT888" s="22">
        <v>10</v>
      </c>
      <c r="AU888" s="316">
        <f t="shared" si="144"/>
        <v>214</v>
      </c>
      <c r="AV888" s="22">
        <v>185</v>
      </c>
      <c r="AW888" s="22">
        <v>0</v>
      </c>
      <c r="AX888" s="22">
        <v>20</v>
      </c>
      <c r="AY888" s="22">
        <v>0</v>
      </c>
      <c r="AZ888" s="22">
        <v>0</v>
      </c>
      <c r="BA888" s="22">
        <v>7</v>
      </c>
      <c r="BB888" s="22">
        <v>10</v>
      </c>
      <c r="BC888" s="316">
        <f t="shared" si="145"/>
        <v>222</v>
      </c>
      <c r="BD888" s="58">
        <f t="shared" si="146"/>
        <v>8</v>
      </c>
      <c r="BE888" s="58">
        <f t="shared" si="147"/>
        <v>0</v>
      </c>
      <c r="BF888" s="58">
        <f t="shared" si="148"/>
        <v>0</v>
      </c>
      <c r="BG888" s="58">
        <f t="shared" si="149"/>
        <v>0</v>
      </c>
      <c r="BH888" s="58">
        <f t="shared" si="150"/>
        <v>0</v>
      </c>
      <c r="BI888" s="58">
        <f t="shared" si="151"/>
        <v>0</v>
      </c>
      <c r="BJ888" s="58">
        <f t="shared" si="152"/>
        <v>0</v>
      </c>
      <c r="BK888" s="58">
        <f t="shared" si="153"/>
        <v>8</v>
      </c>
    </row>
    <row r="889" spans="1:63" ht="27" customHeight="1">
      <c r="A889" s="238">
        <f t="shared" si="154"/>
        <v>887</v>
      </c>
      <c r="B889" s="239"/>
      <c r="C889" s="266">
        <v>3693</v>
      </c>
      <c r="D889" s="241" t="s">
        <v>5144</v>
      </c>
      <c r="E889" s="302" t="s">
        <v>5145</v>
      </c>
      <c r="F889" s="268" t="s">
        <v>5146</v>
      </c>
      <c r="G889" s="269" t="s">
        <v>675</v>
      </c>
      <c r="H889" s="245" t="s">
        <v>1447</v>
      </c>
      <c r="I889" s="246" t="s">
        <v>1966</v>
      </c>
      <c r="J889" s="270" t="s">
        <v>178</v>
      </c>
      <c r="K889" s="271">
        <v>36347</v>
      </c>
      <c r="L889" s="249" t="s">
        <v>179</v>
      </c>
      <c r="M889" s="272">
        <v>43762</v>
      </c>
      <c r="N889" s="272"/>
      <c r="O889" s="240"/>
      <c r="P889" s="238" t="s">
        <v>3638</v>
      </c>
      <c r="Q889" s="238" t="s">
        <v>249</v>
      </c>
      <c r="R889" s="240" t="s">
        <v>182</v>
      </c>
      <c r="S889" s="240" t="s">
        <v>228</v>
      </c>
      <c r="T889" s="251"/>
      <c r="U889" s="273"/>
      <c r="V889" s="274" t="s">
        <v>184</v>
      </c>
      <c r="W889" s="274" t="s">
        <v>184</v>
      </c>
      <c r="X889" s="275">
        <v>7</v>
      </c>
      <c r="Y889" s="267" t="s">
        <v>5147</v>
      </c>
      <c r="Z889" s="277" t="s">
        <v>186</v>
      </c>
      <c r="AA889" s="305"/>
      <c r="AB889" s="260"/>
      <c r="AC889" s="296"/>
      <c r="AD889" s="296"/>
      <c r="AE889" s="296"/>
      <c r="AF889" s="296"/>
      <c r="AG889" s="296"/>
      <c r="AH889" s="296"/>
      <c r="AI889" s="296"/>
      <c r="AJ889" s="260" t="s">
        <v>203</v>
      </c>
      <c r="AK889" s="260" t="s">
        <v>190</v>
      </c>
      <c r="AL889" s="260" t="s">
        <v>190</v>
      </c>
      <c r="AM889" s="260" t="s">
        <v>3859</v>
      </c>
      <c r="AN889" s="22">
        <v>182</v>
      </c>
      <c r="AO889" s="22">
        <v>0</v>
      </c>
      <c r="AP889" s="22">
        <v>20</v>
      </c>
      <c r="AQ889" s="22">
        <v>0</v>
      </c>
      <c r="AR889" s="22">
        <v>0</v>
      </c>
      <c r="AS889" s="22">
        <v>7</v>
      </c>
      <c r="AT889" s="22">
        <v>10</v>
      </c>
      <c r="AU889" s="316">
        <f t="shared" si="144"/>
        <v>219</v>
      </c>
      <c r="AV889" s="22">
        <v>190</v>
      </c>
      <c r="AW889" s="22">
        <v>0</v>
      </c>
      <c r="AX889" s="22">
        <v>20</v>
      </c>
      <c r="AY889" s="22">
        <v>0</v>
      </c>
      <c r="AZ889" s="22">
        <v>0</v>
      </c>
      <c r="BA889" s="22">
        <v>7</v>
      </c>
      <c r="BB889" s="22">
        <v>10</v>
      </c>
      <c r="BC889" s="316">
        <f t="shared" si="145"/>
        <v>227</v>
      </c>
      <c r="BD889" s="58">
        <f t="shared" si="146"/>
        <v>8</v>
      </c>
      <c r="BE889" s="58">
        <f t="shared" si="147"/>
        <v>0</v>
      </c>
      <c r="BF889" s="58">
        <f t="shared" si="148"/>
        <v>0</v>
      </c>
      <c r="BG889" s="58">
        <f t="shared" si="149"/>
        <v>0</v>
      </c>
      <c r="BH889" s="58">
        <f t="shared" si="150"/>
        <v>0</v>
      </c>
      <c r="BI889" s="58">
        <f t="shared" si="151"/>
        <v>0</v>
      </c>
      <c r="BJ889" s="58">
        <f t="shared" si="152"/>
        <v>0</v>
      </c>
      <c r="BK889" s="58">
        <f t="shared" si="153"/>
        <v>8</v>
      </c>
    </row>
    <row r="890" spans="1:63" ht="27" customHeight="1">
      <c r="A890" s="238">
        <f t="shared" si="154"/>
        <v>888</v>
      </c>
      <c r="B890" s="239"/>
      <c r="C890" s="266">
        <v>3685</v>
      </c>
      <c r="D890" s="306">
        <v>0</v>
      </c>
      <c r="E890" s="302" t="s">
        <v>5148</v>
      </c>
      <c r="F890" s="268" t="s">
        <v>904</v>
      </c>
      <c r="G890" s="269" t="s">
        <v>705</v>
      </c>
      <c r="H890" s="245" t="s">
        <v>906</v>
      </c>
      <c r="I890" s="246" t="s">
        <v>17</v>
      </c>
      <c r="J890" s="270" t="s">
        <v>178</v>
      </c>
      <c r="K890" s="271">
        <v>32006</v>
      </c>
      <c r="L890" s="249" t="s">
        <v>179</v>
      </c>
      <c r="M890" s="272">
        <v>43762</v>
      </c>
      <c r="N890" s="272"/>
      <c r="O890" s="240"/>
      <c r="P890" s="238" t="s">
        <v>3638</v>
      </c>
      <c r="Q890" s="238" t="s">
        <v>249</v>
      </c>
      <c r="R890" s="240" t="s">
        <v>182</v>
      </c>
      <c r="S890" s="240" t="s">
        <v>228</v>
      </c>
      <c r="T890" s="251"/>
      <c r="U890" s="273"/>
      <c r="V890" s="274" t="s">
        <v>184</v>
      </c>
      <c r="W890" s="274" t="s">
        <v>184</v>
      </c>
      <c r="X890" s="275">
        <v>5</v>
      </c>
      <c r="Y890" s="267" t="s">
        <v>5149</v>
      </c>
      <c r="Z890" s="305"/>
      <c r="AA890" s="277" t="s">
        <v>186</v>
      </c>
      <c r="AB890" s="260"/>
      <c r="AC890" s="296"/>
      <c r="AD890" s="296"/>
      <c r="AE890" s="296"/>
      <c r="AF890" s="296"/>
      <c r="AG890" s="296"/>
      <c r="AH890" s="296"/>
      <c r="AI890" s="296"/>
      <c r="AJ890" s="260" t="s">
        <v>203</v>
      </c>
      <c r="AK890" s="260" t="s">
        <v>190</v>
      </c>
      <c r="AL890" s="260" t="s">
        <v>190</v>
      </c>
      <c r="AM890" s="260" t="s">
        <v>3859</v>
      </c>
      <c r="AN890" s="22">
        <v>182</v>
      </c>
      <c r="AO890" s="22">
        <v>0</v>
      </c>
      <c r="AP890" s="22">
        <v>20</v>
      </c>
      <c r="AQ890" s="22">
        <v>0</v>
      </c>
      <c r="AR890" s="22">
        <v>0</v>
      </c>
      <c r="AS890" s="22">
        <v>7</v>
      </c>
      <c r="AT890" s="22">
        <v>10</v>
      </c>
      <c r="AU890" s="316">
        <f t="shared" si="144"/>
        <v>219</v>
      </c>
      <c r="AV890" s="22">
        <v>190</v>
      </c>
      <c r="AW890" s="22">
        <v>0</v>
      </c>
      <c r="AX890" s="22">
        <v>20</v>
      </c>
      <c r="AY890" s="22">
        <v>0</v>
      </c>
      <c r="AZ890" s="22">
        <v>0</v>
      </c>
      <c r="BA890" s="22">
        <v>7</v>
      </c>
      <c r="BB890" s="22">
        <v>10</v>
      </c>
      <c r="BC890" s="316">
        <f t="shared" si="145"/>
        <v>227</v>
      </c>
      <c r="BD890" s="58">
        <f t="shared" si="146"/>
        <v>8</v>
      </c>
      <c r="BE890" s="58">
        <f t="shared" si="147"/>
        <v>0</v>
      </c>
      <c r="BF890" s="58">
        <f t="shared" si="148"/>
        <v>0</v>
      </c>
      <c r="BG890" s="58">
        <f t="shared" si="149"/>
        <v>0</v>
      </c>
      <c r="BH890" s="58">
        <f t="shared" si="150"/>
        <v>0</v>
      </c>
      <c r="BI890" s="58">
        <f t="shared" si="151"/>
        <v>0</v>
      </c>
      <c r="BJ890" s="58">
        <f t="shared" si="152"/>
        <v>0</v>
      </c>
      <c r="BK890" s="58">
        <f t="shared" si="153"/>
        <v>8</v>
      </c>
    </row>
    <row r="891" spans="1:63" ht="27" customHeight="1">
      <c r="A891" s="238">
        <f t="shared" si="154"/>
        <v>889</v>
      </c>
      <c r="B891" s="239"/>
      <c r="C891" s="266">
        <v>3630</v>
      </c>
      <c r="D891" s="241" t="s">
        <v>5150</v>
      </c>
      <c r="E891" s="302" t="s">
        <v>5151</v>
      </c>
      <c r="F891" s="268" t="s">
        <v>5152</v>
      </c>
      <c r="G891" s="269" t="s">
        <v>2971</v>
      </c>
      <c r="H891" s="245" t="s">
        <v>5153</v>
      </c>
      <c r="I891" s="246" t="s">
        <v>483</v>
      </c>
      <c r="J891" s="270" t="s">
        <v>178</v>
      </c>
      <c r="K891" s="271">
        <v>29545</v>
      </c>
      <c r="L891" s="249" t="s">
        <v>179</v>
      </c>
      <c r="M891" s="272">
        <v>43762</v>
      </c>
      <c r="N891" s="272"/>
      <c r="O891" s="240"/>
      <c r="P891" s="238" t="s">
        <v>3634</v>
      </c>
      <c r="Q891" s="238" t="s">
        <v>249</v>
      </c>
      <c r="R891" s="240" t="s">
        <v>182</v>
      </c>
      <c r="S891" s="240" t="s">
        <v>433</v>
      </c>
      <c r="T891" s="251"/>
      <c r="U891" s="273"/>
      <c r="V891" s="274" t="s">
        <v>184</v>
      </c>
      <c r="W891" s="274" t="s">
        <v>184</v>
      </c>
      <c r="X891" s="275">
        <v>3</v>
      </c>
      <c r="Y891" s="267" t="s">
        <v>5154</v>
      </c>
      <c r="Z891" s="305"/>
      <c r="AA891" s="277" t="s">
        <v>186</v>
      </c>
      <c r="AB891" s="260"/>
      <c r="AC891" s="296"/>
      <c r="AD891" s="296"/>
      <c r="AE891" s="296"/>
      <c r="AF891" s="296"/>
      <c r="AG891" s="296"/>
      <c r="AH891" s="296"/>
      <c r="AI891" s="296"/>
      <c r="AJ891" s="260" t="s">
        <v>203</v>
      </c>
      <c r="AK891" s="260" t="s">
        <v>190</v>
      </c>
      <c r="AL891" s="260" t="s">
        <v>190</v>
      </c>
      <c r="AM891" s="260" t="s">
        <v>3859</v>
      </c>
      <c r="AN891" s="22">
        <v>182</v>
      </c>
      <c r="AO891" s="22">
        <v>0</v>
      </c>
      <c r="AP891" s="22">
        <v>20</v>
      </c>
      <c r="AQ891" s="22">
        <v>0</v>
      </c>
      <c r="AR891" s="22">
        <v>0</v>
      </c>
      <c r="AS891" s="22">
        <v>7</v>
      </c>
      <c r="AT891" s="22">
        <v>10</v>
      </c>
      <c r="AU891" s="316">
        <f t="shared" si="144"/>
        <v>219</v>
      </c>
      <c r="AV891" s="22">
        <v>190</v>
      </c>
      <c r="AW891" s="22">
        <v>0</v>
      </c>
      <c r="AX891" s="22">
        <v>20</v>
      </c>
      <c r="AY891" s="22">
        <v>0</v>
      </c>
      <c r="AZ891" s="22">
        <v>0</v>
      </c>
      <c r="BA891" s="22">
        <v>7</v>
      </c>
      <c r="BB891" s="22">
        <v>10</v>
      </c>
      <c r="BC891" s="316">
        <f t="shared" si="145"/>
        <v>227</v>
      </c>
      <c r="BD891" s="58">
        <f t="shared" si="146"/>
        <v>8</v>
      </c>
      <c r="BE891" s="58">
        <f t="shared" si="147"/>
        <v>0</v>
      </c>
      <c r="BF891" s="58">
        <f t="shared" si="148"/>
        <v>0</v>
      </c>
      <c r="BG891" s="58">
        <f t="shared" si="149"/>
        <v>0</v>
      </c>
      <c r="BH891" s="58">
        <f t="shared" si="150"/>
        <v>0</v>
      </c>
      <c r="BI891" s="58">
        <f t="shared" si="151"/>
        <v>0</v>
      </c>
      <c r="BJ891" s="58">
        <f t="shared" si="152"/>
        <v>0</v>
      </c>
      <c r="BK891" s="58">
        <f t="shared" si="153"/>
        <v>8</v>
      </c>
    </row>
    <row r="892" spans="1:63" ht="27" customHeight="1">
      <c r="A892" s="238">
        <f t="shared" si="154"/>
        <v>890</v>
      </c>
      <c r="B892" s="239"/>
      <c r="C892" s="266">
        <v>3739</v>
      </c>
      <c r="D892" s="241" t="s">
        <v>5155</v>
      </c>
      <c r="E892" s="302" t="s">
        <v>5156</v>
      </c>
      <c r="F892" s="268" t="s">
        <v>2324</v>
      </c>
      <c r="G892" s="269" t="s">
        <v>5157</v>
      </c>
      <c r="H892" s="245" t="s">
        <v>5158</v>
      </c>
      <c r="I892" s="246" t="s">
        <v>5159</v>
      </c>
      <c r="J892" s="270" t="s">
        <v>178</v>
      </c>
      <c r="K892" s="271">
        <v>36659</v>
      </c>
      <c r="L892" s="249" t="s">
        <v>179</v>
      </c>
      <c r="M892" s="272">
        <v>43762</v>
      </c>
      <c r="N892" s="272"/>
      <c r="O892" s="240"/>
      <c r="P892" s="238" t="s">
        <v>3634</v>
      </c>
      <c r="Q892" s="238" t="s">
        <v>249</v>
      </c>
      <c r="R892" s="240" t="s">
        <v>182</v>
      </c>
      <c r="S892" s="240" t="s">
        <v>211</v>
      </c>
      <c r="T892" s="251"/>
      <c r="U892" s="273"/>
      <c r="V892" s="274" t="s">
        <v>184</v>
      </c>
      <c r="W892" s="274" t="s">
        <v>184</v>
      </c>
      <c r="X892" s="275">
        <v>11</v>
      </c>
      <c r="Y892" s="267" t="s">
        <v>5160</v>
      </c>
      <c r="Z892" s="277" t="s">
        <v>186</v>
      </c>
      <c r="AA892" s="305"/>
      <c r="AB892" s="260"/>
      <c r="AC892" s="296"/>
      <c r="AD892" s="296"/>
      <c r="AE892" s="296"/>
      <c r="AF892" s="296"/>
      <c r="AG892" s="296"/>
      <c r="AH892" s="296"/>
      <c r="AI892" s="296"/>
      <c r="AJ892" s="260" t="s">
        <v>203</v>
      </c>
      <c r="AK892" s="260" t="s">
        <v>190</v>
      </c>
      <c r="AL892" s="260" t="s">
        <v>190</v>
      </c>
      <c r="AM892" s="260" t="s">
        <v>3859</v>
      </c>
      <c r="AN892" s="22">
        <v>177</v>
      </c>
      <c r="AO892" s="22">
        <v>0</v>
      </c>
      <c r="AP892" s="22">
        <v>20</v>
      </c>
      <c r="AQ892" s="22">
        <v>0</v>
      </c>
      <c r="AR892" s="22">
        <v>0</v>
      </c>
      <c r="AS892" s="22">
        <v>7</v>
      </c>
      <c r="AT892" s="22">
        <v>10</v>
      </c>
      <c r="AU892" s="316">
        <f t="shared" si="144"/>
        <v>214</v>
      </c>
      <c r="AV892" s="22">
        <v>185</v>
      </c>
      <c r="AW892" s="22">
        <v>0</v>
      </c>
      <c r="AX892" s="22">
        <v>20</v>
      </c>
      <c r="AY892" s="22">
        <v>0</v>
      </c>
      <c r="AZ892" s="22">
        <v>0</v>
      </c>
      <c r="BA892" s="22">
        <v>7</v>
      </c>
      <c r="BB892" s="22">
        <v>10</v>
      </c>
      <c r="BC892" s="316">
        <f t="shared" si="145"/>
        <v>222</v>
      </c>
      <c r="BD892" s="58">
        <f t="shared" si="146"/>
        <v>8</v>
      </c>
      <c r="BE892" s="58">
        <f t="shared" si="147"/>
        <v>0</v>
      </c>
      <c r="BF892" s="58">
        <f t="shared" si="148"/>
        <v>0</v>
      </c>
      <c r="BG892" s="58">
        <f t="shared" si="149"/>
        <v>0</v>
      </c>
      <c r="BH892" s="58">
        <f t="shared" si="150"/>
        <v>0</v>
      </c>
      <c r="BI892" s="58">
        <f t="shared" si="151"/>
        <v>0</v>
      </c>
      <c r="BJ892" s="58">
        <f t="shared" si="152"/>
        <v>0</v>
      </c>
      <c r="BK892" s="58">
        <f t="shared" si="153"/>
        <v>8</v>
      </c>
    </row>
    <row r="893" spans="1:63" ht="27" customHeight="1">
      <c r="A893" s="238">
        <f t="shared" si="154"/>
        <v>891</v>
      </c>
      <c r="B893" s="239"/>
      <c r="C893" s="266">
        <v>3694</v>
      </c>
      <c r="D893" s="241">
        <v>0</v>
      </c>
      <c r="E893" s="302" t="s">
        <v>5161</v>
      </c>
      <c r="F893" s="268" t="s">
        <v>1154</v>
      </c>
      <c r="G893" s="269" t="s">
        <v>509</v>
      </c>
      <c r="H893" s="245" t="s">
        <v>5162</v>
      </c>
      <c r="I893" s="246" t="s">
        <v>511</v>
      </c>
      <c r="J893" s="270" t="s">
        <v>178</v>
      </c>
      <c r="K893" s="271">
        <v>33975</v>
      </c>
      <c r="L893" s="249" t="s">
        <v>179</v>
      </c>
      <c r="M893" s="272">
        <v>43762</v>
      </c>
      <c r="N893" s="272"/>
      <c r="O893" s="240"/>
      <c r="P893" s="238" t="s">
        <v>3940</v>
      </c>
      <c r="Q893" s="238" t="s">
        <v>249</v>
      </c>
      <c r="R893" s="240" t="s">
        <v>182</v>
      </c>
      <c r="S893" s="240" t="s">
        <v>503</v>
      </c>
      <c r="T893" s="251"/>
      <c r="U893" s="273"/>
      <c r="V893" s="274" t="s">
        <v>184</v>
      </c>
      <c r="W893" s="274" t="s">
        <v>184</v>
      </c>
      <c r="X893" s="275">
        <v>7</v>
      </c>
      <c r="Y893" s="267" t="s">
        <v>5163</v>
      </c>
      <c r="Z893" s="305"/>
      <c r="AA893" s="277" t="s">
        <v>186</v>
      </c>
      <c r="AB893" s="260"/>
      <c r="AC893" s="296" t="s">
        <v>3888</v>
      </c>
      <c r="AD893" s="296" t="s">
        <v>188</v>
      </c>
      <c r="AE893" s="296"/>
      <c r="AF893" s="296"/>
      <c r="AG893" s="296"/>
      <c r="AH893" s="296"/>
      <c r="AI893" s="296"/>
      <c r="AJ893" s="260" t="s">
        <v>203</v>
      </c>
      <c r="AK893" s="260" t="s">
        <v>190</v>
      </c>
      <c r="AL893" s="260" t="s">
        <v>190</v>
      </c>
      <c r="AM893" s="260" t="s">
        <v>241</v>
      </c>
      <c r="AN893" s="22">
        <v>182</v>
      </c>
      <c r="AO893" s="22">
        <v>0</v>
      </c>
      <c r="AP893" s="22">
        <v>0</v>
      </c>
      <c r="AQ893" s="22">
        <v>0</v>
      </c>
      <c r="AR893" s="22">
        <v>0</v>
      </c>
      <c r="AS893" s="22">
        <v>7</v>
      </c>
      <c r="AT893" s="22">
        <v>10</v>
      </c>
      <c r="AU893" s="316">
        <f t="shared" si="144"/>
        <v>199</v>
      </c>
      <c r="AV893" s="22">
        <v>190</v>
      </c>
      <c r="AW893" s="22">
        <v>0</v>
      </c>
      <c r="AX893" s="22">
        <v>0</v>
      </c>
      <c r="AY893" s="22">
        <v>0</v>
      </c>
      <c r="AZ893" s="22">
        <v>0</v>
      </c>
      <c r="BA893" s="22">
        <v>7</v>
      </c>
      <c r="BB893" s="22">
        <v>10</v>
      </c>
      <c r="BC893" s="316">
        <f t="shared" si="145"/>
        <v>207</v>
      </c>
      <c r="BD893" s="58">
        <f t="shared" si="146"/>
        <v>8</v>
      </c>
      <c r="BE893" s="58">
        <f t="shared" si="147"/>
        <v>0</v>
      </c>
      <c r="BF893" s="58">
        <f t="shared" si="148"/>
        <v>0</v>
      </c>
      <c r="BG893" s="58">
        <f t="shared" si="149"/>
        <v>0</v>
      </c>
      <c r="BH893" s="58">
        <f t="shared" si="150"/>
        <v>0</v>
      </c>
      <c r="BI893" s="58">
        <f t="shared" si="151"/>
        <v>0</v>
      </c>
      <c r="BJ893" s="58">
        <f t="shared" si="152"/>
        <v>0</v>
      </c>
      <c r="BK893" s="58">
        <f t="shared" si="153"/>
        <v>8</v>
      </c>
    </row>
    <row r="894" spans="1:63" ht="27" customHeight="1">
      <c r="A894" s="238">
        <f t="shared" si="154"/>
        <v>892</v>
      </c>
      <c r="B894" s="239"/>
      <c r="C894" s="266">
        <v>3737</v>
      </c>
      <c r="D894" s="241" t="s">
        <v>5164</v>
      </c>
      <c r="E894" s="302" t="s">
        <v>5165</v>
      </c>
      <c r="F894" s="268" t="s">
        <v>1789</v>
      </c>
      <c r="G894" s="269" t="s">
        <v>5166</v>
      </c>
      <c r="H894" s="245" t="s">
        <v>4234</v>
      </c>
      <c r="I894" s="246" t="s">
        <v>5167</v>
      </c>
      <c r="J894" s="270" t="s">
        <v>209</v>
      </c>
      <c r="K894" s="271">
        <v>36229</v>
      </c>
      <c r="L894" s="249" t="s">
        <v>179</v>
      </c>
      <c r="M894" s="272">
        <v>43758</v>
      </c>
      <c r="N894" s="272"/>
      <c r="O894" s="240"/>
      <c r="P894" s="240"/>
      <c r="Q894" s="238" t="s">
        <v>249</v>
      </c>
      <c r="R894" s="240" t="s">
        <v>182</v>
      </c>
      <c r="S894" s="240" t="s">
        <v>228</v>
      </c>
      <c r="T894" s="251"/>
      <c r="U894" s="273"/>
      <c r="V894" s="274" t="s">
        <v>184</v>
      </c>
      <c r="W894" s="274" t="s">
        <v>184</v>
      </c>
      <c r="X894" s="275">
        <v>9</v>
      </c>
      <c r="Y894" s="267" t="s">
        <v>3915</v>
      </c>
      <c r="Z894" s="277" t="s">
        <v>186</v>
      </c>
      <c r="AA894" s="305"/>
      <c r="AB894" s="260"/>
      <c r="AC894" s="296"/>
      <c r="AD894" s="296"/>
      <c r="AE894" s="296"/>
      <c r="AF894" s="296"/>
      <c r="AG894" s="296"/>
      <c r="AH894" s="296"/>
      <c r="AI894" s="296"/>
      <c r="AJ894" s="260" t="s">
        <v>203</v>
      </c>
      <c r="AK894" s="260" t="s">
        <v>190</v>
      </c>
      <c r="AL894" s="260" t="s">
        <v>190</v>
      </c>
      <c r="AM894" s="260" t="s">
        <v>3859</v>
      </c>
      <c r="AN894" s="22">
        <v>182</v>
      </c>
      <c r="AO894" s="22">
        <v>0</v>
      </c>
      <c r="AP894" s="22">
        <v>20</v>
      </c>
      <c r="AQ894" s="22">
        <v>0</v>
      </c>
      <c r="AR894" s="22">
        <v>0</v>
      </c>
      <c r="AS894" s="22">
        <v>7</v>
      </c>
      <c r="AT894" s="22">
        <v>10</v>
      </c>
      <c r="AU894" s="316">
        <f t="shared" si="144"/>
        <v>219</v>
      </c>
      <c r="AV894" s="22">
        <v>190</v>
      </c>
      <c r="AW894" s="22">
        <v>0</v>
      </c>
      <c r="AX894" s="22">
        <v>20</v>
      </c>
      <c r="AY894" s="22">
        <v>0</v>
      </c>
      <c r="AZ894" s="22">
        <v>0</v>
      </c>
      <c r="BA894" s="22">
        <v>7</v>
      </c>
      <c r="BB894" s="22">
        <v>10</v>
      </c>
      <c r="BC894" s="316">
        <f t="shared" si="145"/>
        <v>227</v>
      </c>
      <c r="BD894" s="58">
        <f t="shared" si="146"/>
        <v>8</v>
      </c>
      <c r="BE894" s="58">
        <f t="shared" si="147"/>
        <v>0</v>
      </c>
      <c r="BF894" s="58">
        <f t="shared" si="148"/>
        <v>0</v>
      </c>
      <c r="BG894" s="58">
        <f t="shared" si="149"/>
        <v>0</v>
      </c>
      <c r="BH894" s="58">
        <f t="shared" si="150"/>
        <v>0</v>
      </c>
      <c r="BI894" s="58">
        <f t="shared" si="151"/>
        <v>0</v>
      </c>
      <c r="BJ894" s="58">
        <f t="shared" si="152"/>
        <v>0</v>
      </c>
      <c r="BK894" s="58">
        <f t="shared" si="153"/>
        <v>8</v>
      </c>
    </row>
    <row r="895" spans="1:63" ht="27" customHeight="1">
      <c r="A895" s="238">
        <f t="shared" si="154"/>
        <v>893</v>
      </c>
      <c r="B895" s="239"/>
      <c r="C895" s="266">
        <v>3767</v>
      </c>
      <c r="D895" s="241" t="s">
        <v>5168</v>
      </c>
      <c r="E895" s="302" t="s">
        <v>5169</v>
      </c>
      <c r="F895" s="268" t="s">
        <v>549</v>
      </c>
      <c r="G895" s="269" t="s">
        <v>5170</v>
      </c>
      <c r="H895" s="245" t="s">
        <v>5171</v>
      </c>
      <c r="I895" s="246" t="s">
        <v>5172</v>
      </c>
      <c r="J895" s="270" t="s">
        <v>209</v>
      </c>
      <c r="K895" s="271">
        <v>28258</v>
      </c>
      <c r="L895" s="249" t="s">
        <v>179</v>
      </c>
      <c r="M895" s="272">
        <v>43762</v>
      </c>
      <c r="N895" s="272"/>
      <c r="O895" s="240"/>
      <c r="P895" s="238" t="s">
        <v>3940</v>
      </c>
      <c r="Q895" s="238" t="s">
        <v>249</v>
      </c>
      <c r="R895" s="240" t="s">
        <v>182</v>
      </c>
      <c r="S895" s="240" t="s">
        <v>228</v>
      </c>
      <c r="T895" s="251"/>
      <c r="U895" s="273"/>
      <c r="V895" s="274" t="s">
        <v>184</v>
      </c>
      <c r="W895" s="274" t="s">
        <v>184</v>
      </c>
      <c r="X895" s="275"/>
      <c r="Y895" s="267"/>
      <c r="Z895" s="305"/>
      <c r="AA895" s="277" t="s">
        <v>186</v>
      </c>
      <c r="AB895" s="260"/>
      <c r="AC895" s="296"/>
      <c r="AD895" s="296"/>
      <c r="AE895" s="296"/>
      <c r="AF895" s="296"/>
      <c r="AG895" s="296"/>
      <c r="AH895" s="296"/>
      <c r="AI895" s="296"/>
      <c r="AJ895" s="260" t="s">
        <v>203</v>
      </c>
      <c r="AK895" s="260" t="s">
        <v>190</v>
      </c>
      <c r="AL895" s="260" t="s">
        <v>190</v>
      </c>
      <c r="AM895" s="260" t="s">
        <v>3859</v>
      </c>
      <c r="AN895" s="22">
        <v>177</v>
      </c>
      <c r="AO895" s="22">
        <v>0</v>
      </c>
      <c r="AP895" s="22">
        <v>20</v>
      </c>
      <c r="AQ895" s="22">
        <v>0</v>
      </c>
      <c r="AR895" s="22">
        <v>0</v>
      </c>
      <c r="AS895" s="22">
        <v>7</v>
      </c>
      <c r="AT895" s="22">
        <v>10</v>
      </c>
      <c r="AU895" s="316">
        <f t="shared" si="144"/>
        <v>214</v>
      </c>
      <c r="AV895" s="22">
        <v>185</v>
      </c>
      <c r="AW895" s="22">
        <v>0</v>
      </c>
      <c r="AX895" s="22">
        <v>20</v>
      </c>
      <c r="AY895" s="22">
        <v>0</v>
      </c>
      <c r="AZ895" s="22">
        <v>0</v>
      </c>
      <c r="BA895" s="22">
        <v>7</v>
      </c>
      <c r="BB895" s="22">
        <v>10</v>
      </c>
      <c r="BC895" s="316">
        <f t="shared" si="145"/>
        <v>222</v>
      </c>
      <c r="BD895" s="58">
        <f t="shared" si="146"/>
        <v>8</v>
      </c>
      <c r="BE895" s="58">
        <f t="shared" si="147"/>
        <v>0</v>
      </c>
      <c r="BF895" s="58">
        <f t="shared" si="148"/>
        <v>0</v>
      </c>
      <c r="BG895" s="58">
        <f t="shared" si="149"/>
        <v>0</v>
      </c>
      <c r="BH895" s="58">
        <f t="shared" si="150"/>
        <v>0</v>
      </c>
      <c r="BI895" s="58">
        <f t="shared" si="151"/>
        <v>0</v>
      </c>
      <c r="BJ895" s="58">
        <f t="shared" si="152"/>
        <v>0</v>
      </c>
      <c r="BK895" s="58">
        <f t="shared" si="153"/>
        <v>8</v>
      </c>
    </row>
    <row r="896" spans="1:63" ht="27" customHeight="1">
      <c r="A896" s="238">
        <f t="shared" si="154"/>
        <v>894</v>
      </c>
      <c r="B896" s="239"/>
      <c r="C896" s="266">
        <v>3755</v>
      </c>
      <c r="D896" s="241">
        <v>0</v>
      </c>
      <c r="E896" s="302" t="s">
        <v>296</v>
      </c>
      <c r="F896" s="268" t="s">
        <v>3589</v>
      </c>
      <c r="G896" s="269" t="s">
        <v>1658</v>
      </c>
      <c r="H896" s="245">
        <v>0</v>
      </c>
      <c r="I896" s="246">
        <v>0</v>
      </c>
      <c r="J896" s="270" t="s">
        <v>209</v>
      </c>
      <c r="K896" s="271">
        <v>30230</v>
      </c>
      <c r="L896" s="249" t="s">
        <v>179</v>
      </c>
      <c r="M896" s="272">
        <v>43753</v>
      </c>
      <c r="N896" s="272"/>
      <c r="O896" s="240"/>
      <c r="P896" s="238" t="s">
        <v>3950</v>
      </c>
      <c r="Q896" s="238" t="s">
        <v>249</v>
      </c>
      <c r="R896" s="240" t="s">
        <v>182</v>
      </c>
      <c r="S896" s="240" t="s">
        <v>4192</v>
      </c>
      <c r="T896" s="251"/>
      <c r="U896" s="273"/>
      <c r="V896" s="274" t="s">
        <v>184</v>
      </c>
      <c r="W896" s="274" t="s">
        <v>184</v>
      </c>
      <c r="X896" s="275">
        <v>5</v>
      </c>
      <c r="Y896" s="267" t="s">
        <v>5173</v>
      </c>
      <c r="Z896" s="305"/>
      <c r="AA896" s="305"/>
      <c r="AB896" s="260"/>
      <c r="AC896" s="296"/>
      <c r="AD896" s="296"/>
      <c r="AE896" s="296"/>
      <c r="AF896" s="296"/>
      <c r="AG896" s="296"/>
      <c r="AH896" s="296"/>
      <c r="AI896" s="296"/>
      <c r="AJ896" s="260" t="s">
        <v>203</v>
      </c>
      <c r="AK896" s="260" t="s">
        <v>190</v>
      </c>
      <c r="AL896" s="260" t="s">
        <v>190</v>
      </c>
      <c r="AM896" s="260" t="s">
        <v>3859</v>
      </c>
      <c r="AN896" s="22">
        <v>182</v>
      </c>
      <c r="AO896" s="22">
        <v>0</v>
      </c>
      <c r="AP896" s="22">
        <v>20</v>
      </c>
      <c r="AQ896" s="22">
        <v>0</v>
      </c>
      <c r="AR896" s="22">
        <v>0</v>
      </c>
      <c r="AS896" s="22">
        <v>7</v>
      </c>
      <c r="AT896" s="22">
        <v>10</v>
      </c>
      <c r="AU896" s="316">
        <f t="shared" si="144"/>
        <v>219</v>
      </c>
      <c r="AV896" s="22">
        <v>190</v>
      </c>
      <c r="AW896" s="22">
        <v>0</v>
      </c>
      <c r="AX896" s="22">
        <v>20</v>
      </c>
      <c r="AY896" s="22">
        <v>0</v>
      </c>
      <c r="AZ896" s="22">
        <v>0</v>
      </c>
      <c r="BA896" s="22">
        <v>7</v>
      </c>
      <c r="BB896" s="22">
        <v>10</v>
      </c>
      <c r="BC896" s="316">
        <f t="shared" si="145"/>
        <v>227</v>
      </c>
      <c r="BD896" s="58">
        <f t="shared" si="146"/>
        <v>8</v>
      </c>
      <c r="BE896" s="58">
        <f t="shared" si="147"/>
        <v>0</v>
      </c>
      <c r="BF896" s="58">
        <f t="shared" si="148"/>
        <v>0</v>
      </c>
      <c r="BG896" s="58">
        <f t="shared" si="149"/>
        <v>0</v>
      </c>
      <c r="BH896" s="58">
        <f t="shared" si="150"/>
        <v>0</v>
      </c>
      <c r="BI896" s="58">
        <f t="shared" si="151"/>
        <v>0</v>
      </c>
      <c r="BJ896" s="58">
        <f t="shared" si="152"/>
        <v>0</v>
      </c>
      <c r="BK896" s="58">
        <f t="shared" si="153"/>
        <v>8</v>
      </c>
    </row>
    <row r="897" spans="1:63" ht="27" customHeight="1">
      <c r="A897" s="238">
        <f t="shared" si="154"/>
        <v>895</v>
      </c>
      <c r="B897" s="239"/>
      <c r="C897" s="266">
        <v>3629</v>
      </c>
      <c r="D897" s="241" t="s">
        <v>5174</v>
      </c>
      <c r="E897" s="302" t="s">
        <v>5175</v>
      </c>
      <c r="F897" s="268" t="s">
        <v>5152</v>
      </c>
      <c r="G897" s="269" t="s">
        <v>5176</v>
      </c>
      <c r="H897" s="245" t="s">
        <v>5177</v>
      </c>
      <c r="I897" s="246" t="s">
        <v>5178</v>
      </c>
      <c r="J897" s="270" t="s">
        <v>209</v>
      </c>
      <c r="K897" s="271">
        <v>33625</v>
      </c>
      <c r="L897" s="249" t="s">
        <v>179</v>
      </c>
      <c r="M897" s="272">
        <v>43762</v>
      </c>
      <c r="N897" s="272"/>
      <c r="O897" s="240"/>
      <c r="P897" s="238" t="s">
        <v>2821</v>
      </c>
      <c r="Q897" s="238" t="s">
        <v>249</v>
      </c>
      <c r="R897" s="240" t="s">
        <v>182</v>
      </c>
      <c r="S897" s="240" t="s">
        <v>433</v>
      </c>
      <c r="T897" s="251"/>
      <c r="U897" s="273"/>
      <c r="V897" s="274" t="s">
        <v>184</v>
      </c>
      <c r="W897" s="274" t="s">
        <v>184</v>
      </c>
      <c r="X897" s="275">
        <v>5</v>
      </c>
      <c r="Y897" s="267" t="s">
        <v>5154</v>
      </c>
      <c r="Z897" s="277" t="s">
        <v>186</v>
      </c>
      <c r="AA897" s="305"/>
      <c r="AB897" s="260"/>
      <c r="AC897" s="296"/>
      <c r="AD897" s="296"/>
      <c r="AE897" s="296"/>
      <c r="AF897" s="296"/>
      <c r="AG897" s="296"/>
      <c r="AH897" s="296"/>
      <c r="AI897" s="296"/>
      <c r="AJ897" s="260" t="s">
        <v>203</v>
      </c>
      <c r="AK897" s="260" t="s">
        <v>190</v>
      </c>
      <c r="AL897" s="260" t="s">
        <v>190</v>
      </c>
      <c r="AM897" s="260" t="s">
        <v>3859</v>
      </c>
      <c r="AN897" s="22">
        <v>177</v>
      </c>
      <c r="AO897" s="22">
        <v>0</v>
      </c>
      <c r="AP897" s="22">
        <v>20</v>
      </c>
      <c r="AQ897" s="22">
        <v>0</v>
      </c>
      <c r="AR897" s="22">
        <v>0</v>
      </c>
      <c r="AS897" s="22">
        <v>7</v>
      </c>
      <c r="AT897" s="22">
        <v>10</v>
      </c>
      <c r="AU897" s="316">
        <f t="shared" si="144"/>
        <v>214</v>
      </c>
      <c r="AV897" s="22">
        <v>185</v>
      </c>
      <c r="AW897" s="22">
        <v>0</v>
      </c>
      <c r="AX897" s="22">
        <v>20</v>
      </c>
      <c r="AY897" s="22">
        <v>0</v>
      </c>
      <c r="AZ897" s="22">
        <v>0</v>
      </c>
      <c r="BA897" s="22">
        <v>7</v>
      </c>
      <c r="BB897" s="22">
        <v>10</v>
      </c>
      <c r="BC897" s="316">
        <f t="shared" si="145"/>
        <v>222</v>
      </c>
      <c r="BD897" s="58">
        <f t="shared" si="146"/>
        <v>8</v>
      </c>
      <c r="BE897" s="58">
        <f t="shared" si="147"/>
        <v>0</v>
      </c>
      <c r="BF897" s="58">
        <f t="shared" si="148"/>
        <v>0</v>
      </c>
      <c r="BG897" s="58">
        <f t="shared" si="149"/>
        <v>0</v>
      </c>
      <c r="BH897" s="58">
        <f t="shared" si="150"/>
        <v>0</v>
      </c>
      <c r="BI897" s="58">
        <f t="shared" si="151"/>
        <v>0</v>
      </c>
      <c r="BJ897" s="58">
        <f t="shared" si="152"/>
        <v>0</v>
      </c>
      <c r="BK897" s="58">
        <f t="shared" si="153"/>
        <v>8</v>
      </c>
    </row>
    <row r="898" spans="1:63" ht="27" customHeight="1">
      <c r="A898" s="238">
        <f t="shared" si="154"/>
        <v>896</v>
      </c>
      <c r="B898" s="239"/>
      <c r="C898" s="266">
        <v>3724</v>
      </c>
      <c r="D898" s="241" t="s">
        <v>5179</v>
      </c>
      <c r="E898" s="302" t="s">
        <v>5180</v>
      </c>
      <c r="F898" s="268" t="s">
        <v>1253</v>
      </c>
      <c r="G898" s="269" t="s">
        <v>5181</v>
      </c>
      <c r="H898" s="245" t="s">
        <v>1255</v>
      </c>
      <c r="I898" s="246" t="s">
        <v>5182</v>
      </c>
      <c r="J898" s="270" t="s">
        <v>209</v>
      </c>
      <c r="K898" s="271">
        <v>36228</v>
      </c>
      <c r="L898" s="249" t="s">
        <v>179</v>
      </c>
      <c r="M898" s="272">
        <v>43762</v>
      </c>
      <c r="N898" s="272"/>
      <c r="O898" s="240"/>
      <c r="P898" s="238" t="s">
        <v>3940</v>
      </c>
      <c r="Q898" s="238" t="s">
        <v>249</v>
      </c>
      <c r="R898" s="240" t="s">
        <v>182</v>
      </c>
      <c r="S898" s="240" t="s">
        <v>183</v>
      </c>
      <c r="T898" s="251"/>
      <c r="U898" s="273"/>
      <c r="V898" s="274" t="s">
        <v>184</v>
      </c>
      <c r="W898" s="274" t="s">
        <v>184</v>
      </c>
      <c r="X898" s="275">
        <v>6</v>
      </c>
      <c r="Y898" s="267" t="s">
        <v>5183</v>
      </c>
      <c r="Z898" s="305"/>
      <c r="AA898" s="277" t="s">
        <v>186</v>
      </c>
      <c r="AB898" s="260"/>
      <c r="AC898" s="296" t="s">
        <v>187</v>
      </c>
      <c r="AD898" s="296"/>
      <c r="AE898" s="296"/>
      <c r="AF898" s="296"/>
      <c r="AG898" s="296"/>
      <c r="AH898" s="296"/>
      <c r="AI898" s="296"/>
      <c r="AJ898" s="260" t="s">
        <v>203</v>
      </c>
      <c r="AK898" s="260" t="s">
        <v>190</v>
      </c>
      <c r="AL898" s="260" t="s">
        <v>190</v>
      </c>
      <c r="AM898" s="260" t="s">
        <v>3859</v>
      </c>
      <c r="AN898" s="22">
        <v>177</v>
      </c>
      <c r="AO898" s="22">
        <v>0</v>
      </c>
      <c r="AP898" s="22">
        <v>20</v>
      </c>
      <c r="AQ898" s="22">
        <v>0</v>
      </c>
      <c r="AR898" s="22">
        <v>0</v>
      </c>
      <c r="AS898" s="22">
        <v>7</v>
      </c>
      <c r="AT898" s="22">
        <v>10</v>
      </c>
      <c r="AU898" s="316">
        <f t="shared" si="144"/>
        <v>214</v>
      </c>
      <c r="AV898" s="22">
        <v>185</v>
      </c>
      <c r="AW898" s="22">
        <v>0</v>
      </c>
      <c r="AX898" s="22">
        <v>20</v>
      </c>
      <c r="AY898" s="22">
        <v>0</v>
      </c>
      <c r="AZ898" s="22">
        <v>0</v>
      </c>
      <c r="BA898" s="22">
        <v>7</v>
      </c>
      <c r="BB898" s="22">
        <v>10</v>
      </c>
      <c r="BC898" s="316">
        <f t="shared" si="145"/>
        <v>222</v>
      </c>
      <c r="BD898" s="58">
        <f t="shared" si="146"/>
        <v>8</v>
      </c>
      <c r="BE898" s="58">
        <f t="shared" si="147"/>
        <v>0</v>
      </c>
      <c r="BF898" s="58">
        <f t="shared" si="148"/>
        <v>0</v>
      </c>
      <c r="BG898" s="58">
        <f t="shared" si="149"/>
        <v>0</v>
      </c>
      <c r="BH898" s="58">
        <f t="shared" si="150"/>
        <v>0</v>
      </c>
      <c r="BI898" s="58">
        <f t="shared" si="151"/>
        <v>0</v>
      </c>
      <c r="BJ898" s="58">
        <f t="shared" si="152"/>
        <v>0</v>
      </c>
      <c r="BK898" s="58">
        <f t="shared" si="153"/>
        <v>8</v>
      </c>
    </row>
    <row r="899" spans="1:63" ht="27" customHeight="1">
      <c r="A899" s="238">
        <f t="shared" si="154"/>
        <v>897</v>
      </c>
      <c r="B899" s="239"/>
      <c r="C899" s="266">
        <v>3725</v>
      </c>
      <c r="D899" s="241" t="s">
        <v>5184</v>
      </c>
      <c r="E899" s="302" t="s">
        <v>296</v>
      </c>
      <c r="F899" s="268" t="s">
        <v>2819</v>
      </c>
      <c r="G899" s="269" t="s">
        <v>5185</v>
      </c>
      <c r="H899" s="245" t="s">
        <v>4744</v>
      </c>
      <c r="I899" s="246" t="s">
        <v>5186</v>
      </c>
      <c r="J899" s="270" t="s">
        <v>209</v>
      </c>
      <c r="K899" s="271">
        <v>37304</v>
      </c>
      <c r="L899" s="249" t="s">
        <v>179</v>
      </c>
      <c r="M899" s="272">
        <v>43762</v>
      </c>
      <c r="N899" s="272"/>
      <c r="O899" s="240"/>
      <c r="P899" s="238" t="s">
        <v>3950</v>
      </c>
      <c r="Q899" s="238" t="s">
        <v>249</v>
      </c>
      <c r="R899" s="240" t="s">
        <v>182</v>
      </c>
      <c r="S899" s="240" t="s">
        <v>211</v>
      </c>
      <c r="T899" s="251"/>
      <c r="U899" s="273"/>
      <c r="V899" s="274" t="s">
        <v>184</v>
      </c>
      <c r="W899" s="274" t="s">
        <v>184</v>
      </c>
      <c r="X899" s="275">
        <v>10</v>
      </c>
      <c r="Y899" s="267" t="s">
        <v>5187</v>
      </c>
      <c r="Z899" s="277" t="s">
        <v>186</v>
      </c>
      <c r="AA899" s="305"/>
      <c r="AB899" s="260"/>
      <c r="AC899" s="296"/>
      <c r="AD899" s="296"/>
      <c r="AE899" s="296"/>
      <c r="AF899" s="296"/>
      <c r="AG899" s="296"/>
      <c r="AH899" s="296"/>
      <c r="AI899" s="296"/>
      <c r="AJ899" s="260" t="s">
        <v>203</v>
      </c>
      <c r="AK899" s="260" t="s">
        <v>190</v>
      </c>
      <c r="AL899" s="260" t="s">
        <v>190</v>
      </c>
      <c r="AM899" s="260" t="s">
        <v>3859</v>
      </c>
      <c r="AN899" s="22">
        <v>177</v>
      </c>
      <c r="AO899" s="22">
        <v>0</v>
      </c>
      <c r="AP899" s="22">
        <v>20</v>
      </c>
      <c r="AQ899" s="22">
        <v>0</v>
      </c>
      <c r="AR899" s="22">
        <v>0</v>
      </c>
      <c r="AS899" s="22">
        <v>7</v>
      </c>
      <c r="AT899" s="22">
        <v>10</v>
      </c>
      <c r="AU899" s="316">
        <f t="shared" si="144"/>
        <v>214</v>
      </c>
      <c r="AV899" s="22">
        <v>185</v>
      </c>
      <c r="AW899" s="22">
        <v>0</v>
      </c>
      <c r="AX899" s="22">
        <v>20</v>
      </c>
      <c r="AY899" s="22">
        <v>0</v>
      </c>
      <c r="AZ899" s="22">
        <v>0</v>
      </c>
      <c r="BA899" s="22">
        <v>7</v>
      </c>
      <c r="BB899" s="22">
        <v>10</v>
      </c>
      <c r="BC899" s="316">
        <f t="shared" si="145"/>
        <v>222</v>
      </c>
      <c r="BD899" s="58">
        <f t="shared" si="146"/>
        <v>8</v>
      </c>
      <c r="BE899" s="58">
        <f t="shared" si="147"/>
        <v>0</v>
      </c>
      <c r="BF899" s="58">
        <f t="shared" si="148"/>
        <v>0</v>
      </c>
      <c r="BG899" s="58">
        <f t="shared" si="149"/>
        <v>0</v>
      </c>
      <c r="BH899" s="58">
        <f t="shared" si="150"/>
        <v>0</v>
      </c>
      <c r="BI899" s="58">
        <f t="shared" si="151"/>
        <v>0</v>
      </c>
      <c r="BJ899" s="58">
        <f t="shared" si="152"/>
        <v>0</v>
      </c>
      <c r="BK899" s="58">
        <f t="shared" si="153"/>
        <v>8</v>
      </c>
    </row>
    <row r="900" spans="1:63" ht="27" customHeight="1">
      <c r="A900" s="238">
        <f t="shared" si="154"/>
        <v>898</v>
      </c>
      <c r="B900" s="239"/>
      <c r="C900" s="266">
        <v>3681</v>
      </c>
      <c r="D900" s="241" t="s">
        <v>5188</v>
      </c>
      <c r="E900" s="302" t="s">
        <v>5189</v>
      </c>
      <c r="F900" s="268" t="s">
        <v>451</v>
      </c>
      <c r="G900" s="269" t="s">
        <v>5190</v>
      </c>
      <c r="H900" s="245" t="s">
        <v>551</v>
      </c>
      <c r="I900" s="246" t="s">
        <v>5191</v>
      </c>
      <c r="J900" s="270" t="s">
        <v>209</v>
      </c>
      <c r="K900" s="271">
        <v>36253</v>
      </c>
      <c r="L900" s="249" t="s">
        <v>179</v>
      </c>
      <c r="M900" s="272">
        <v>43762</v>
      </c>
      <c r="N900" s="272"/>
      <c r="O900" s="240" t="s">
        <v>5192</v>
      </c>
      <c r="P900" s="238" t="s">
        <v>3940</v>
      </c>
      <c r="Q900" s="238" t="s">
        <v>249</v>
      </c>
      <c r="R900" s="240" t="s">
        <v>3960</v>
      </c>
      <c r="S900" s="240" t="s">
        <v>211</v>
      </c>
      <c r="T900" s="251" t="s">
        <v>4153</v>
      </c>
      <c r="U900" s="273">
        <v>43789</v>
      </c>
      <c r="V900" s="274" t="s">
        <v>184</v>
      </c>
      <c r="W900" s="274" t="s">
        <v>184</v>
      </c>
      <c r="X900" s="275">
        <v>2</v>
      </c>
      <c r="Y900" s="267" t="s">
        <v>5193</v>
      </c>
      <c r="Z900" s="277" t="s">
        <v>186</v>
      </c>
      <c r="AA900" s="305"/>
      <c r="AB900" s="260"/>
      <c r="AC900" s="296"/>
      <c r="AD900" s="296"/>
      <c r="AE900" s="296"/>
      <c r="AF900" s="296"/>
      <c r="AG900" s="296"/>
      <c r="AH900" s="296"/>
      <c r="AI900" s="296"/>
      <c r="AJ900" s="260" t="s">
        <v>203</v>
      </c>
      <c r="AK900" s="260" t="s">
        <v>190</v>
      </c>
      <c r="AL900" s="260" t="s">
        <v>190</v>
      </c>
      <c r="AM900" s="260" t="s">
        <v>3859</v>
      </c>
      <c r="AN900" s="22">
        <v>182</v>
      </c>
      <c r="AO900" s="22">
        <v>0</v>
      </c>
      <c r="AP900" s="22">
        <v>0</v>
      </c>
      <c r="AQ900" s="22">
        <v>0</v>
      </c>
      <c r="AR900" s="22">
        <v>0</v>
      </c>
      <c r="AS900" s="22">
        <v>7</v>
      </c>
      <c r="AT900" s="22">
        <v>10</v>
      </c>
      <c r="AU900" s="316">
        <f t="shared" ref="AU900:AU963" si="155">SUM(AN900:AT900)</f>
        <v>199</v>
      </c>
      <c r="AV900" s="22">
        <v>190</v>
      </c>
      <c r="AW900" s="22">
        <v>0</v>
      </c>
      <c r="AX900" s="22">
        <v>0</v>
      </c>
      <c r="AY900" s="22">
        <v>0</v>
      </c>
      <c r="AZ900" s="22">
        <v>0</v>
      </c>
      <c r="BA900" s="22">
        <v>7</v>
      </c>
      <c r="BB900" s="22">
        <v>10</v>
      </c>
      <c r="BC900" s="316">
        <f t="shared" ref="BC900:BC963" si="156">SUM(AV900:BB900)</f>
        <v>207</v>
      </c>
      <c r="BD900" s="58">
        <f t="shared" ref="BD900:BD963" si="157">AV900-AN900</f>
        <v>8</v>
      </c>
      <c r="BE900" s="58">
        <f t="shared" ref="BE900:BE963" si="158">AW900-AO900</f>
        <v>0</v>
      </c>
      <c r="BF900" s="58">
        <f t="shared" ref="BF900:BF963" si="159">AX900-AP900</f>
        <v>0</v>
      </c>
      <c r="BG900" s="58">
        <f t="shared" ref="BG900:BG963" si="160">AY900-AQ900</f>
        <v>0</v>
      </c>
      <c r="BH900" s="58">
        <f t="shared" ref="BH900:BH963" si="161">AZ900-AR900</f>
        <v>0</v>
      </c>
      <c r="BI900" s="58">
        <f t="shared" ref="BI900:BI963" si="162">BA900-AS900</f>
        <v>0</v>
      </c>
      <c r="BJ900" s="58">
        <f t="shared" ref="BJ900:BJ963" si="163">BB900-AT900</f>
        <v>0</v>
      </c>
      <c r="BK900" s="58">
        <f t="shared" ref="BK900:BK963" si="164">BC900-AU900</f>
        <v>8</v>
      </c>
    </row>
    <row r="901" spans="1:63" ht="27" customHeight="1">
      <c r="A901" s="238">
        <f t="shared" ref="A901:A964" si="165">1+A900</f>
        <v>899</v>
      </c>
      <c r="B901" s="239"/>
      <c r="C901" s="266">
        <v>3723</v>
      </c>
      <c r="D901" s="241" t="s">
        <v>5194</v>
      </c>
      <c r="E901" s="302" t="s">
        <v>5195</v>
      </c>
      <c r="F901" s="268" t="s">
        <v>1297</v>
      </c>
      <c r="G901" s="269" t="s">
        <v>2596</v>
      </c>
      <c r="H901" s="245" t="s">
        <v>1299</v>
      </c>
      <c r="I901" s="246" t="s">
        <v>5196</v>
      </c>
      <c r="J901" s="270" t="s">
        <v>209</v>
      </c>
      <c r="K901" s="271">
        <v>37424</v>
      </c>
      <c r="L901" s="249" t="s">
        <v>179</v>
      </c>
      <c r="M901" s="272">
        <v>43762</v>
      </c>
      <c r="N901" s="272"/>
      <c r="O901" s="240"/>
      <c r="P901" s="238" t="s">
        <v>3940</v>
      </c>
      <c r="Q901" s="238" t="s">
        <v>249</v>
      </c>
      <c r="R901" s="240" t="s">
        <v>182</v>
      </c>
      <c r="S901" s="240" t="s">
        <v>183</v>
      </c>
      <c r="T901" s="251"/>
      <c r="U901" s="273"/>
      <c r="V901" s="274" t="s">
        <v>184</v>
      </c>
      <c r="W901" s="274" t="s">
        <v>184</v>
      </c>
      <c r="X901" s="275">
        <v>6</v>
      </c>
      <c r="Y901" s="267" t="s">
        <v>5197</v>
      </c>
      <c r="Z901" s="277" t="s">
        <v>186</v>
      </c>
      <c r="AA901" s="305"/>
      <c r="AB901" s="260"/>
      <c r="AC901" s="296"/>
      <c r="AD901" s="296"/>
      <c r="AE901" s="296"/>
      <c r="AF901" s="296"/>
      <c r="AG901" s="296"/>
      <c r="AH901" s="296"/>
      <c r="AI901" s="296"/>
      <c r="AJ901" s="260" t="s">
        <v>203</v>
      </c>
      <c r="AK901" s="260" t="s">
        <v>190</v>
      </c>
      <c r="AL901" s="260" t="s">
        <v>190</v>
      </c>
      <c r="AM901" s="260" t="s">
        <v>3859</v>
      </c>
      <c r="AN901" s="22">
        <v>177</v>
      </c>
      <c r="AO901" s="22">
        <v>0</v>
      </c>
      <c r="AP901" s="22">
        <v>20</v>
      </c>
      <c r="AQ901" s="22">
        <v>0</v>
      </c>
      <c r="AR901" s="22">
        <v>0</v>
      </c>
      <c r="AS901" s="22">
        <v>7</v>
      </c>
      <c r="AT901" s="22">
        <v>10</v>
      </c>
      <c r="AU901" s="316">
        <f t="shared" si="155"/>
        <v>214</v>
      </c>
      <c r="AV901" s="22">
        <v>185</v>
      </c>
      <c r="AW901" s="22">
        <v>0</v>
      </c>
      <c r="AX901" s="22">
        <v>20</v>
      </c>
      <c r="AY901" s="22">
        <v>0</v>
      </c>
      <c r="AZ901" s="22">
        <v>0</v>
      </c>
      <c r="BA901" s="22">
        <v>7</v>
      </c>
      <c r="BB901" s="22">
        <v>10</v>
      </c>
      <c r="BC901" s="316">
        <f t="shared" si="156"/>
        <v>222</v>
      </c>
      <c r="BD901" s="58">
        <f t="shared" si="157"/>
        <v>8</v>
      </c>
      <c r="BE901" s="58">
        <f t="shared" si="158"/>
        <v>0</v>
      </c>
      <c r="BF901" s="58">
        <f t="shared" si="159"/>
        <v>0</v>
      </c>
      <c r="BG901" s="58">
        <f t="shared" si="160"/>
        <v>0</v>
      </c>
      <c r="BH901" s="58">
        <f t="shared" si="161"/>
        <v>0</v>
      </c>
      <c r="BI901" s="58">
        <f t="shared" si="162"/>
        <v>0</v>
      </c>
      <c r="BJ901" s="58">
        <f t="shared" si="163"/>
        <v>0</v>
      </c>
      <c r="BK901" s="58">
        <f t="shared" si="164"/>
        <v>8</v>
      </c>
    </row>
    <row r="902" spans="1:63" ht="27" customHeight="1">
      <c r="A902" s="238">
        <f t="shared" si="165"/>
        <v>900</v>
      </c>
      <c r="B902" s="239"/>
      <c r="C902" s="266">
        <v>3722</v>
      </c>
      <c r="D902" s="241" t="s">
        <v>5198</v>
      </c>
      <c r="E902" s="302" t="s">
        <v>5199</v>
      </c>
      <c r="F902" s="268" t="s">
        <v>4331</v>
      </c>
      <c r="G902" s="269" t="s">
        <v>4652</v>
      </c>
      <c r="H902" s="245" t="s">
        <v>5200</v>
      </c>
      <c r="I902" s="246" t="s">
        <v>370</v>
      </c>
      <c r="J902" s="270" t="s">
        <v>209</v>
      </c>
      <c r="K902" s="271">
        <v>36295</v>
      </c>
      <c r="L902" s="249" t="s">
        <v>179</v>
      </c>
      <c r="M902" s="272">
        <v>43762</v>
      </c>
      <c r="N902" s="272"/>
      <c r="O902" s="240"/>
      <c r="P902" s="238" t="s">
        <v>3638</v>
      </c>
      <c r="Q902" s="238" t="s">
        <v>249</v>
      </c>
      <c r="R902" s="240" t="s">
        <v>182</v>
      </c>
      <c r="S902" s="240" t="s">
        <v>228</v>
      </c>
      <c r="T902" s="251"/>
      <c r="U902" s="273"/>
      <c r="V902" s="274" t="s">
        <v>184</v>
      </c>
      <c r="W902" s="274" t="s">
        <v>184</v>
      </c>
      <c r="X902" s="275">
        <v>6</v>
      </c>
      <c r="Y902" s="267" t="s">
        <v>5201</v>
      </c>
      <c r="Z902" s="277" t="s">
        <v>186</v>
      </c>
      <c r="AA902" s="305"/>
      <c r="AB902" s="260"/>
      <c r="AC902" s="296"/>
      <c r="AD902" s="296"/>
      <c r="AE902" s="296"/>
      <c r="AF902" s="296"/>
      <c r="AG902" s="296"/>
      <c r="AH902" s="296"/>
      <c r="AI902" s="296"/>
      <c r="AJ902" s="260" t="s">
        <v>203</v>
      </c>
      <c r="AK902" s="260" t="s">
        <v>190</v>
      </c>
      <c r="AL902" s="260" t="s">
        <v>190</v>
      </c>
      <c r="AM902" s="260" t="s">
        <v>3859</v>
      </c>
      <c r="AN902" s="22">
        <v>182</v>
      </c>
      <c r="AO902" s="22">
        <v>0</v>
      </c>
      <c r="AP902" s="22">
        <v>20</v>
      </c>
      <c r="AQ902" s="22">
        <v>10</v>
      </c>
      <c r="AR902" s="22">
        <v>0</v>
      </c>
      <c r="AS902" s="22">
        <v>7</v>
      </c>
      <c r="AT902" s="22">
        <v>10</v>
      </c>
      <c r="AU902" s="316">
        <f t="shared" si="155"/>
        <v>229</v>
      </c>
      <c r="AV902" s="22">
        <v>190</v>
      </c>
      <c r="AW902" s="22">
        <v>0</v>
      </c>
      <c r="AX902" s="22">
        <v>20</v>
      </c>
      <c r="AY902" s="22">
        <v>10</v>
      </c>
      <c r="AZ902" s="22">
        <v>0</v>
      </c>
      <c r="BA902" s="22">
        <v>7</v>
      </c>
      <c r="BB902" s="22">
        <v>10</v>
      </c>
      <c r="BC902" s="316">
        <f t="shared" si="156"/>
        <v>237</v>
      </c>
      <c r="BD902" s="58">
        <f t="shared" si="157"/>
        <v>8</v>
      </c>
      <c r="BE902" s="58">
        <f t="shared" si="158"/>
        <v>0</v>
      </c>
      <c r="BF902" s="58">
        <f t="shared" si="159"/>
        <v>0</v>
      </c>
      <c r="BG902" s="58">
        <f t="shared" si="160"/>
        <v>0</v>
      </c>
      <c r="BH902" s="58">
        <f t="shared" si="161"/>
        <v>0</v>
      </c>
      <c r="BI902" s="58">
        <f t="shared" si="162"/>
        <v>0</v>
      </c>
      <c r="BJ902" s="58">
        <f t="shared" si="163"/>
        <v>0</v>
      </c>
      <c r="BK902" s="58">
        <f t="shared" si="164"/>
        <v>8</v>
      </c>
    </row>
    <row r="903" spans="1:63" ht="27" customHeight="1">
      <c r="A903" s="238">
        <f t="shared" si="165"/>
        <v>901</v>
      </c>
      <c r="B903" s="239"/>
      <c r="C903" s="266">
        <v>3720</v>
      </c>
      <c r="D903" s="241" t="s">
        <v>5202</v>
      </c>
      <c r="E903" s="302" t="s">
        <v>5203</v>
      </c>
      <c r="F903" s="268" t="s">
        <v>1603</v>
      </c>
      <c r="G903" s="269" t="s">
        <v>4680</v>
      </c>
      <c r="H903" s="245" t="s">
        <v>1605</v>
      </c>
      <c r="I903" s="246" t="s">
        <v>5204</v>
      </c>
      <c r="J903" s="270" t="s">
        <v>209</v>
      </c>
      <c r="K903" s="271">
        <v>34702</v>
      </c>
      <c r="L903" s="249" t="s">
        <v>179</v>
      </c>
      <c r="M903" s="272">
        <v>43762</v>
      </c>
      <c r="N903" s="272"/>
      <c r="O903" s="240"/>
      <c r="P903" s="238" t="s">
        <v>3940</v>
      </c>
      <c r="Q903" s="238" t="s">
        <v>249</v>
      </c>
      <c r="R903" s="240" t="s">
        <v>182</v>
      </c>
      <c r="S903" s="240" t="s">
        <v>228</v>
      </c>
      <c r="T903" s="251"/>
      <c r="U903" s="273"/>
      <c r="V903" s="274" t="s">
        <v>184</v>
      </c>
      <c r="W903" s="274" t="s">
        <v>184</v>
      </c>
      <c r="X903" s="275">
        <v>7</v>
      </c>
      <c r="Y903" s="267" t="s">
        <v>5205</v>
      </c>
      <c r="Z903" s="277" t="s">
        <v>186</v>
      </c>
      <c r="AA903" s="305"/>
      <c r="AB903" s="260"/>
      <c r="AC903" s="296"/>
      <c r="AD903" s="296"/>
      <c r="AE903" s="296"/>
      <c r="AF903" s="296"/>
      <c r="AG903" s="296"/>
      <c r="AH903" s="296"/>
      <c r="AI903" s="296"/>
      <c r="AJ903" s="260" t="s">
        <v>203</v>
      </c>
      <c r="AK903" s="260" t="s">
        <v>190</v>
      </c>
      <c r="AL903" s="260" t="s">
        <v>190</v>
      </c>
      <c r="AM903" s="260" t="s">
        <v>3859</v>
      </c>
      <c r="AN903" s="22">
        <v>182</v>
      </c>
      <c r="AO903" s="22">
        <v>0</v>
      </c>
      <c r="AP903" s="22">
        <v>20</v>
      </c>
      <c r="AQ903" s="22">
        <v>0</v>
      </c>
      <c r="AR903" s="22">
        <v>0</v>
      </c>
      <c r="AS903" s="22">
        <v>7</v>
      </c>
      <c r="AT903" s="22">
        <v>10</v>
      </c>
      <c r="AU903" s="316">
        <f t="shared" si="155"/>
        <v>219</v>
      </c>
      <c r="AV903" s="22">
        <v>190</v>
      </c>
      <c r="AW903" s="22">
        <v>0</v>
      </c>
      <c r="AX903" s="22">
        <v>20</v>
      </c>
      <c r="AY903" s="22">
        <v>0</v>
      </c>
      <c r="AZ903" s="22">
        <v>0</v>
      </c>
      <c r="BA903" s="22">
        <v>7</v>
      </c>
      <c r="BB903" s="22">
        <v>10</v>
      </c>
      <c r="BC903" s="316">
        <f t="shared" si="156"/>
        <v>227</v>
      </c>
      <c r="BD903" s="58">
        <f t="shared" si="157"/>
        <v>8</v>
      </c>
      <c r="BE903" s="58">
        <f t="shared" si="158"/>
        <v>0</v>
      </c>
      <c r="BF903" s="58">
        <f t="shared" si="159"/>
        <v>0</v>
      </c>
      <c r="BG903" s="58">
        <f t="shared" si="160"/>
        <v>0</v>
      </c>
      <c r="BH903" s="58">
        <f t="shared" si="161"/>
        <v>0</v>
      </c>
      <c r="BI903" s="58">
        <f t="shared" si="162"/>
        <v>0</v>
      </c>
      <c r="BJ903" s="58">
        <f t="shared" si="163"/>
        <v>0</v>
      </c>
      <c r="BK903" s="58">
        <f t="shared" si="164"/>
        <v>8</v>
      </c>
    </row>
    <row r="904" spans="1:63" ht="27" customHeight="1">
      <c r="A904" s="238">
        <f t="shared" si="165"/>
        <v>902</v>
      </c>
      <c r="B904" s="239"/>
      <c r="C904" s="266">
        <v>3736</v>
      </c>
      <c r="D904" s="241" t="s">
        <v>5206</v>
      </c>
      <c r="E904" s="302" t="s">
        <v>5207</v>
      </c>
      <c r="F904" s="268" t="s">
        <v>1081</v>
      </c>
      <c r="G904" s="269" t="s">
        <v>1390</v>
      </c>
      <c r="H904" s="245" t="s">
        <v>1083</v>
      </c>
      <c r="I904" s="246" t="s">
        <v>1392</v>
      </c>
      <c r="J904" s="270" t="s">
        <v>209</v>
      </c>
      <c r="K904" s="271">
        <v>33429</v>
      </c>
      <c r="L904" s="249" t="s">
        <v>179</v>
      </c>
      <c r="M904" s="272">
        <v>43762</v>
      </c>
      <c r="N904" s="272"/>
      <c r="O904" s="240"/>
      <c r="P904" s="238" t="s">
        <v>3940</v>
      </c>
      <c r="Q904" s="238" t="s">
        <v>249</v>
      </c>
      <c r="R904" s="240" t="s">
        <v>182</v>
      </c>
      <c r="S904" s="240" t="s">
        <v>228</v>
      </c>
      <c r="T904" s="251"/>
      <c r="U904" s="273"/>
      <c r="V904" s="274" t="s">
        <v>184</v>
      </c>
      <c r="W904" s="274" t="s">
        <v>184</v>
      </c>
      <c r="X904" s="275">
        <v>9</v>
      </c>
      <c r="Y904" s="267" t="s">
        <v>5208</v>
      </c>
      <c r="Z904" s="277" t="s">
        <v>186</v>
      </c>
      <c r="AA904" s="305"/>
      <c r="AB904" s="260"/>
      <c r="AC904" s="296"/>
      <c r="AD904" s="296"/>
      <c r="AE904" s="296"/>
      <c r="AF904" s="296"/>
      <c r="AG904" s="296"/>
      <c r="AH904" s="296"/>
      <c r="AI904" s="296"/>
      <c r="AJ904" s="260" t="s">
        <v>203</v>
      </c>
      <c r="AK904" s="260" t="s">
        <v>190</v>
      </c>
      <c r="AL904" s="260" t="s">
        <v>190</v>
      </c>
      <c r="AM904" s="260" t="s">
        <v>3859</v>
      </c>
      <c r="AN904" s="22">
        <v>182</v>
      </c>
      <c r="AO904" s="22">
        <v>0</v>
      </c>
      <c r="AP904" s="22">
        <v>20</v>
      </c>
      <c r="AQ904" s="22">
        <v>0</v>
      </c>
      <c r="AR904" s="22">
        <v>0</v>
      </c>
      <c r="AS904" s="22">
        <v>7</v>
      </c>
      <c r="AT904" s="22">
        <v>10</v>
      </c>
      <c r="AU904" s="316">
        <f t="shared" si="155"/>
        <v>219</v>
      </c>
      <c r="AV904" s="22">
        <v>190</v>
      </c>
      <c r="AW904" s="22">
        <v>0</v>
      </c>
      <c r="AX904" s="22">
        <v>20</v>
      </c>
      <c r="AY904" s="22">
        <v>0</v>
      </c>
      <c r="AZ904" s="22">
        <v>0</v>
      </c>
      <c r="BA904" s="22">
        <v>7</v>
      </c>
      <c r="BB904" s="22">
        <v>10</v>
      </c>
      <c r="BC904" s="316">
        <f t="shared" si="156"/>
        <v>227</v>
      </c>
      <c r="BD904" s="58">
        <f t="shared" si="157"/>
        <v>8</v>
      </c>
      <c r="BE904" s="58">
        <f t="shared" si="158"/>
        <v>0</v>
      </c>
      <c r="BF904" s="58">
        <f t="shared" si="159"/>
        <v>0</v>
      </c>
      <c r="BG904" s="58">
        <f t="shared" si="160"/>
        <v>0</v>
      </c>
      <c r="BH904" s="58">
        <f t="shared" si="161"/>
        <v>0</v>
      </c>
      <c r="BI904" s="58">
        <f t="shared" si="162"/>
        <v>0</v>
      </c>
      <c r="BJ904" s="58">
        <f t="shared" si="163"/>
        <v>0</v>
      </c>
      <c r="BK904" s="58">
        <f t="shared" si="164"/>
        <v>8</v>
      </c>
    </row>
    <row r="905" spans="1:63" ht="27" customHeight="1">
      <c r="A905" s="238">
        <f t="shared" si="165"/>
        <v>903</v>
      </c>
      <c r="B905" s="239"/>
      <c r="C905" s="266">
        <v>3735</v>
      </c>
      <c r="D905" s="241" t="s">
        <v>5209</v>
      </c>
      <c r="E905" s="302" t="s">
        <v>5210</v>
      </c>
      <c r="F905" s="268" t="s">
        <v>2339</v>
      </c>
      <c r="G905" s="269" t="s">
        <v>5211</v>
      </c>
      <c r="H905" s="245" t="s">
        <v>4361</v>
      </c>
      <c r="I905" s="246" t="s">
        <v>5212</v>
      </c>
      <c r="J905" s="270" t="s">
        <v>209</v>
      </c>
      <c r="K905" s="271">
        <v>36613</v>
      </c>
      <c r="L905" s="249" t="s">
        <v>179</v>
      </c>
      <c r="M905" s="272">
        <v>43762</v>
      </c>
      <c r="N905" s="272"/>
      <c r="O905" s="240"/>
      <c r="P905" s="238" t="s">
        <v>3940</v>
      </c>
      <c r="Q905" s="238" t="s">
        <v>249</v>
      </c>
      <c r="R905" s="240" t="s">
        <v>182</v>
      </c>
      <c r="S905" s="240" t="s">
        <v>211</v>
      </c>
      <c r="T905" s="251"/>
      <c r="U905" s="273"/>
      <c r="V905" s="274" t="s">
        <v>184</v>
      </c>
      <c r="W905" s="274" t="s">
        <v>184</v>
      </c>
      <c r="X905" s="275">
        <v>9</v>
      </c>
      <c r="Y905" s="267" t="s">
        <v>5213</v>
      </c>
      <c r="Z905" s="277" t="s">
        <v>186</v>
      </c>
      <c r="AA905" s="305"/>
      <c r="AB905" s="260"/>
      <c r="AC905" s="296"/>
      <c r="AD905" s="296"/>
      <c r="AE905" s="296"/>
      <c r="AF905" s="296"/>
      <c r="AG905" s="296"/>
      <c r="AH905" s="296"/>
      <c r="AI905" s="296"/>
      <c r="AJ905" s="260" t="s">
        <v>203</v>
      </c>
      <c r="AK905" s="260" t="s">
        <v>190</v>
      </c>
      <c r="AL905" s="260" t="s">
        <v>190</v>
      </c>
      <c r="AM905" s="260" t="s">
        <v>3859</v>
      </c>
      <c r="AN905" s="22">
        <v>177</v>
      </c>
      <c r="AO905" s="22">
        <v>0</v>
      </c>
      <c r="AP905" s="22">
        <v>20</v>
      </c>
      <c r="AQ905" s="22">
        <v>0</v>
      </c>
      <c r="AR905" s="22">
        <v>0</v>
      </c>
      <c r="AS905" s="22">
        <v>7</v>
      </c>
      <c r="AT905" s="22">
        <v>10</v>
      </c>
      <c r="AU905" s="316">
        <f t="shared" si="155"/>
        <v>214</v>
      </c>
      <c r="AV905" s="22">
        <v>185</v>
      </c>
      <c r="AW905" s="22">
        <v>0</v>
      </c>
      <c r="AX905" s="22">
        <v>20</v>
      </c>
      <c r="AY905" s="22">
        <v>0</v>
      </c>
      <c r="AZ905" s="22">
        <v>0</v>
      </c>
      <c r="BA905" s="22">
        <v>7</v>
      </c>
      <c r="BB905" s="22">
        <v>10</v>
      </c>
      <c r="BC905" s="316">
        <f t="shared" si="156"/>
        <v>222</v>
      </c>
      <c r="BD905" s="58">
        <f t="shared" si="157"/>
        <v>8</v>
      </c>
      <c r="BE905" s="58">
        <f t="shared" si="158"/>
        <v>0</v>
      </c>
      <c r="BF905" s="58">
        <f t="shared" si="159"/>
        <v>0</v>
      </c>
      <c r="BG905" s="58">
        <f t="shared" si="160"/>
        <v>0</v>
      </c>
      <c r="BH905" s="58">
        <f t="shared" si="161"/>
        <v>0</v>
      </c>
      <c r="BI905" s="58">
        <f t="shared" si="162"/>
        <v>0</v>
      </c>
      <c r="BJ905" s="58">
        <f t="shared" si="163"/>
        <v>0</v>
      </c>
      <c r="BK905" s="58">
        <f t="shared" si="164"/>
        <v>8</v>
      </c>
    </row>
    <row r="906" spans="1:63" ht="27" customHeight="1">
      <c r="A906" s="238">
        <f t="shared" si="165"/>
        <v>904</v>
      </c>
      <c r="B906" s="239"/>
      <c r="C906" s="266">
        <v>3730</v>
      </c>
      <c r="D906" s="241" t="s">
        <v>5214</v>
      </c>
      <c r="E906" s="302" t="s">
        <v>5215</v>
      </c>
      <c r="F906" s="268" t="s">
        <v>3097</v>
      </c>
      <c r="G906" s="269" t="s">
        <v>5216</v>
      </c>
      <c r="H906" s="245" t="s">
        <v>5217</v>
      </c>
      <c r="I906" s="246" t="s">
        <v>5218</v>
      </c>
      <c r="J906" s="270" t="s">
        <v>209</v>
      </c>
      <c r="K906" s="271">
        <v>33405</v>
      </c>
      <c r="L906" s="249" t="s">
        <v>179</v>
      </c>
      <c r="M906" s="272">
        <v>43762</v>
      </c>
      <c r="N906" s="272"/>
      <c r="O906" s="240"/>
      <c r="P906" s="238" t="s">
        <v>3940</v>
      </c>
      <c r="Q906" s="238" t="s">
        <v>249</v>
      </c>
      <c r="R906" s="240" t="s">
        <v>182</v>
      </c>
      <c r="S906" s="240" t="s">
        <v>4334</v>
      </c>
      <c r="T906" s="251"/>
      <c r="U906" s="273"/>
      <c r="V906" s="274" t="s">
        <v>184</v>
      </c>
      <c r="W906" s="274" t="s">
        <v>184</v>
      </c>
      <c r="X906" s="275">
        <v>5</v>
      </c>
      <c r="Y906" s="267" t="s">
        <v>5219</v>
      </c>
      <c r="Z906" s="305"/>
      <c r="AA906" s="305"/>
      <c r="AB906" s="260"/>
      <c r="AC906" s="296"/>
      <c r="AD906" s="296"/>
      <c r="AE906" s="296"/>
      <c r="AF906" s="296"/>
      <c r="AG906" s="296"/>
      <c r="AH906" s="296"/>
      <c r="AI906" s="296"/>
      <c r="AJ906" s="260" t="s">
        <v>203</v>
      </c>
      <c r="AK906" s="260" t="s">
        <v>190</v>
      </c>
      <c r="AL906" s="260" t="s">
        <v>190</v>
      </c>
      <c r="AM906" s="260" t="s">
        <v>3859</v>
      </c>
      <c r="AN906" s="22">
        <v>177</v>
      </c>
      <c r="AO906" s="22">
        <v>0</v>
      </c>
      <c r="AP906" s="22">
        <v>20</v>
      </c>
      <c r="AQ906" s="22">
        <v>0</v>
      </c>
      <c r="AR906" s="22">
        <v>0</v>
      </c>
      <c r="AS906" s="22">
        <v>7</v>
      </c>
      <c r="AT906" s="22">
        <v>10</v>
      </c>
      <c r="AU906" s="316">
        <f t="shared" si="155"/>
        <v>214</v>
      </c>
      <c r="AV906" s="22">
        <v>185</v>
      </c>
      <c r="AW906" s="22">
        <v>0</v>
      </c>
      <c r="AX906" s="22">
        <v>20</v>
      </c>
      <c r="AY906" s="22">
        <v>0</v>
      </c>
      <c r="AZ906" s="22">
        <v>0</v>
      </c>
      <c r="BA906" s="22">
        <v>7</v>
      </c>
      <c r="BB906" s="22">
        <v>10</v>
      </c>
      <c r="BC906" s="316">
        <f t="shared" si="156"/>
        <v>222</v>
      </c>
      <c r="BD906" s="58">
        <f t="shared" si="157"/>
        <v>8</v>
      </c>
      <c r="BE906" s="58">
        <f t="shared" si="158"/>
        <v>0</v>
      </c>
      <c r="BF906" s="58">
        <f t="shared" si="159"/>
        <v>0</v>
      </c>
      <c r="BG906" s="58">
        <f t="shared" si="160"/>
        <v>0</v>
      </c>
      <c r="BH906" s="58">
        <f t="shared" si="161"/>
        <v>0</v>
      </c>
      <c r="BI906" s="58">
        <f t="shared" si="162"/>
        <v>0</v>
      </c>
      <c r="BJ906" s="58">
        <f t="shared" si="163"/>
        <v>0</v>
      </c>
      <c r="BK906" s="58">
        <f t="shared" si="164"/>
        <v>8</v>
      </c>
    </row>
    <row r="907" spans="1:63" ht="27" customHeight="1">
      <c r="A907" s="238">
        <f t="shared" si="165"/>
        <v>905</v>
      </c>
      <c r="B907" s="239"/>
      <c r="C907" s="266">
        <v>3731</v>
      </c>
      <c r="D907" s="241" t="s">
        <v>5220</v>
      </c>
      <c r="E907" s="302" t="s">
        <v>5221</v>
      </c>
      <c r="F907" s="268" t="s">
        <v>540</v>
      </c>
      <c r="G907" s="269" t="s">
        <v>5222</v>
      </c>
      <c r="H907" s="245" t="s">
        <v>5015</v>
      </c>
      <c r="I907" s="246" t="s">
        <v>5223</v>
      </c>
      <c r="J907" s="270" t="s">
        <v>209</v>
      </c>
      <c r="K907" s="271">
        <v>34583</v>
      </c>
      <c r="L907" s="249" t="s">
        <v>179</v>
      </c>
      <c r="M907" s="272">
        <v>43762</v>
      </c>
      <c r="N907" s="272"/>
      <c r="O907" s="240" t="s">
        <v>4152</v>
      </c>
      <c r="P907" s="238" t="s">
        <v>3950</v>
      </c>
      <c r="Q907" s="238" t="s">
        <v>249</v>
      </c>
      <c r="R907" s="240" t="s">
        <v>3960</v>
      </c>
      <c r="S907" s="240" t="s">
        <v>228</v>
      </c>
      <c r="T907" s="251" t="s">
        <v>4153</v>
      </c>
      <c r="U907" s="273">
        <v>43789</v>
      </c>
      <c r="V907" s="274" t="s">
        <v>184</v>
      </c>
      <c r="W907" s="274" t="s">
        <v>184</v>
      </c>
      <c r="X907" s="275">
        <v>5</v>
      </c>
      <c r="Y907" s="267" t="s">
        <v>5224</v>
      </c>
      <c r="Z907" s="305"/>
      <c r="AA907" s="305"/>
      <c r="AB907" s="260"/>
      <c r="AC907" s="296"/>
      <c r="AD907" s="296"/>
      <c r="AE907" s="296"/>
      <c r="AF907" s="296"/>
      <c r="AG907" s="296"/>
      <c r="AH907" s="296"/>
      <c r="AI907" s="296"/>
      <c r="AJ907" s="260" t="s">
        <v>203</v>
      </c>
      <c r="AK907" s="260" t="s">
        <v>190</v>
      </c>
      <c r="AL907" s="260" t="s">
        <v>190</v>
      </c>
      <c r="AM907" s="260" t="s">
        <v>3859</v>
      </c>
      <c r="AN907" s="22">
        <v>182</v>
      </c>
      <c r="AO907" s="22">
        <v>0</v>
      </c>
      <c r="AP907" s="22">
        <v>0</v>
      </c>
      <c r="AQ907" s="22">
        <v>0</v>
      </c>
      <c r="AR907" s="22">
        <v>0</v>
      </c>
      <c r="AS907" s="22">
        <v>7</v>
      </c>
      <c r="AT907" s="22">
        <v>10</v>
      </c>
      <c r="AU907" s="316">
        <f t="shared" si="155"/>
        <v>199</v>
      </c>
      <c r="AV907" s="22">
        <v>190</v>
      </c>
      <c r="AW907" s="22">
        <v>0</v>
      </c>
      <c r="AX907" s="22">
        <v>0</v>
      </c>
      <c r="AY907" s="22">
        <v>0</v>
      </c>
      <c r="AZ907" s="22">
        <v>0</v>
      </c>
      <c r="BA907" s="22">
        <v>7</v>
      </c>
      <c r="BB907" s="22">
        <v>10</v>
      </c>
      <c r="BC907" s="316">
        <f t="shared" si="156"/>
        <v>207</v>
      </c>
      <c r="BD907" s="58">
        <f t="shared" si="157"/>
        <v>8</v>
      </c>
      <c r="BE907" s="58">
        <f t="shared" si="158"/>
        <v>0</v>
      </c>
      <c r="BF907" s="58">
        <f t="shared" si="159"/>
        <v>0</v>
      </c>
      <c r="BG907" s="58">
        <f t="shared" si="160"/>
        <v>0</v>
      </c>
      <c r="BH907" s="58">
        <f t="shared" si="161"/>
        <v>0</v>
      </c>
      <c r="BI907" s="58">
        <f t="shared" si="162"/>
        <v>0</v>
      </c>
      <c r="BJ907" s="58">
        <f t="shared" si="163"/>
        <v>0</v>
      </c>
      <c r="BK907" s="58">
        <f t="shared" si="164"/>
        <v>8</v>
      </c>
    </row>
    <row r="908" spans="1:63" ht="27" customHeight="1">
      <c r="A908" s="238">
        <f t="shared" si="165"/>
        <v>906</v>
      </c>
      <c r="B908" s="239"/>
      <c r="C908" s="266">
        <v>3729</v>
      </c>
      <c r="D908" s="241" t="s">
        <v>5225</v>
      </c>
      <c r="E908" s="302" t="s">
        <v>5226</v>
      </c>
      <c r="F908" s="268" t="s">
        <v>5227</v>
      </c>
      <c r="G908" s="269" t="s">
        <v>209</v>
      </c>
      <c r="H908" s="245" t="s">
        <v>1845</v>
      </c>
      <c r="I908" s="246" t="s">
        <v>4889</v>
      </c>
      <c r="J908" s="270" t="s">
        <v>209</v>
      </c>
      <c r="K908" s="271">
        <v>34560</v>
      </c>
      <c r="L908" s="249" t="s">
        <v>179</v>
      </c>
      <c r="M908" s="272">
        <v>43762</v>
      </c>
      <c r="N908" s="272"/>
      <c r="O908" s="240"/>
      <c r="P908" s="238" t="s">
        <v>3940</v>
      </c>
      <c r="Q908" s="238" t="s">
        <v>249</v>
      </c>
      <c r="R908" s="240" t="s">
        <v>182</v>
      </c>
      <c r="S908" s="240" t="s">
        <v>228</v>
      </c>
      <c r="T908" s="251"/>
      <c r="U908" s="273"/>
      <c r="V908" s="274" t="s">
        <v>184</v>
      </c>
      <c r="W908" s="274" t="s">
        <v>184</v>
      </c>
      <c r="X908" s="275">
        <v>7</v>
      </c>
      <c r="Y908" s="267" t="s">
        <v>5228</v>
      </c>
      <c r="Z908" s="305"/>
      <c r="AA908" s="277" t="s">
        <v>186</v>
      </c>
      <c r="AB908" s="260"/>
      <c r="AC908" s="296"/>
      <c r="AD908" s="296"/>
      <c r="AE908" s="296"/>
      <c r="AF908" s="296"/>
      <c r="AG908" s="296"/>
      <c r="AH908" s="296"/>
      <c r="AI908" s="296"/>
      <c r="AJ908" s="260" t="s">
        <v>203</v>
      </c>
      <c r="AK908" s="260" t="s">
        <v>190</v>
      </c>
      <c r="AL908" s="260" t="s">
        <v>190</v>
      </c>
      <c r="AM908" s="260" t="s">
        <v>241</v>
      </c>
      <c r="AN908" s="22">
        <v>182</v>
      </c>
      <c r="AO908" s="22">
        <v>0</v>
      </c>
      <c r="AP908" s="22">
        <v>20</v>
      </c>
      <c r="AQ908" s="22">
        <v>0</v>
      </c>
      <c r="AR908" s="22">
        <v>0</v>
      </c>
      <c r="AS908" s="22">
        <v>7</v>
      </c>
      <c r="AT908" s="22">
        <v>10</v>
      </c>
      <c r="AU908" s="316">
        <f t="shared" si="155"/>
        <v>219</v>
      </c>
      <c r="AV908" s="22">
        <v>190</v>
      </c>
      <c r="AW908" s="22">
        <v>0</v>
      </c>
      <c r="AX908" s="22">
        <v>20</v>
      </c>
      <c r="AY908" s="22">
        <v>0</v>
      </c>
      <c r="AZ908" s="22">
        <v>0</v>
      </c>
      <c r="BA908" s="22">
        <v>7</v>
      </c>
      <c r="BB908" s="22">
        <v>10</v>
      </c>
      <c r="BC908" s="316">
        <f t="shared" si="156"/>
        <v>227</v>
      </c>
      <c r="BD908" s="58">
        <f t="shared" si="157"/>
        <v>8</v>
      </c>
      <c r="BE908" s="58">
        <f t="shared" si="158"/>
        <v>0</v>
      </c>
      <c r="BF908" s="58">
        <f t="shared" si="159"/>
        <v>0</v>
      </c>
      <c r="BG908" s="58">
        <f t="shared" si="160"/>
        <v>0</v>
      </c>
      <c r="BH908" s="58">
        <f t="shared" si="161"/>
        <v>0</v>
      </c>
      <c r="BI908" s="58">
        <f t="shared" si="162"/>
        <v>0</v>
      </c>
      <c r="BJ908" s="58">
        <f t="shared" si="163"/>
        <v>0</v>
      </c>
      <c r="BK908" s="58">
        <f t="shared" si="164"/>
        <v>8</v>
      </c>
    </row>
    <row r="909" spans="1:63" ht="27" customHeight="1">
      <c r="A909" s="238">
        <f t="shared" si="165"/>
        <v>907</v>
      </c>
      <c r="B909" s="239"/>
      <c r="C909" s="266">
        <v>3726</v>
      </c>
      <c r="D909" s="241" t="s">
        <v>5229</v>
      </c>
      <c r="E909" s="302" t="s">
        <v>5230</v>
      </c>
      <c r="F909" s="268" t="s">
        <v>5231</v>
      </c>
      <c r="G909" s="269" t="s">
        <v>5232</v>
      </c>
      <c r="H909" s="245" t="s">
        <v>5233</v>
      </c>
      <c r="I909" s="246" t="s">
        <v>5234</v>
      </c>
      <c r="J909" s="270" t="s">
        <v>209</v>
      </c>
      <c r="K909" s="271">
        <v>32310</v>
      </c>
      <c r="L909" s="249" t="s">
        <v>179</v>
      </c>
      <c r="M909" s="272">
        <v>43762</v>
      </c>
      <c r="N909" s="272"/>
      <c r="O909" s="240"/>
      <c r="P909" s="238" t="s">
        <v>3959</v>
      </c>
      <c r="Q909" s="238" t="s">
        <v>249</v>
      </c>
      <c r="R909" s="240" t="s">
        <v>182</v>
      </c>
      <c r="S909" s="240" t="s">
        <v>331</v>
      </c>
      <c r="T909" s="251"/>
      <c r="U909" s="273"/>
      <c r="V909" s="274" t="s">
        <v>184</v>
      </c>
      <c r="W909" s="274">
        <v>185</v>
      </c>
      <c r="X909" s="275">
        <v>9</v>
      </c>
      <c r="Y909" s="267" t="s">
        <v>5235</v>
      </c>
      <c r="Z909" s="305"/>
      <c r="AA909" s="277" t="s">
        <v>186</v>
      </c>
      <c r="AB909" s="260"/>
      <c r="AC909" s="296"/>
      <c r="AD909" s="296" t="s">
        <v>188</v>
      </c>
      <c r="AE909" s="296"/>
      <c r="AF909" s="296"/>
      <c r="AG909" s="296"/>
      <c r="AH909" s="296"/>
      <c r="AI909" s="296"/>
      <c r="AJ909" s="260" t="s">
        <v>203</v>
      </c>
      <c r="AK909" s="260" t="s">
        <v>190</v>
      </c>
      <c r="AL909" s="260" t="s">
        <v>190</v>
      </c>
      <c r="AM909" s="260" t="s">
        <v>3859</v>
      </c>
      <c r="AN909" s="22">
        <v>182</v>
      </c>
      <c r="AO909" s="22">
        <v>0</v>
      </c>
      <c r="AP909" s="22">
        <v>0</v>
      </c>
      <c r="AQ909" s="22">
        <v>0</v>
      </c>
      <c r="AR909" s="22">
        <v>0</v>
      </c>
      <c r="AS909" s="22">
        <v>7</v>
      </c>
      <c r="AT909" s="22">
        <v>10</v>
      </c>
      <c r="AU909" s="316">
        <f t="shared" si="155"/>
        <v>199</v>
      </c>
      <c r="AV909" s="22">
        <v>190</v>
      </c>
      <c r="AW909" s="22">
        <v>0</v>
      </c>
      <c r="AX909" s="22">
        <v>0</v>
      </c>
      <c r="AY909" s="22">
        <v>0</v>
      </c>
      <c r="AZ909" s="22">
        <v>0</v>
      </c>
      <c r="BA909" s="22">
        <v>7</v>
      </c>
      <c r="BB909" s="22">
        <v>10</v>
      </c>
      <c r="BC909" s="316">
        <f t="shared" si="156"/>
        <v>207</v>
      </c>
      <c r="BD909" s="58">
        <f t="shared" si="157"/>
        <v>8</v>
      </c>
      <c r="BE909" s="58">
        <f t="shared" si="158"/>
        <v>0</v>
      </c>
      <c r="BF909" s="58">
        <f t="shared" si="159"/>
        <v>0</v>
      </c>
      <c r="BG909" s="58">
        <f t="shared" si="160"/>
        <v>0</v>
      </c>
      <c r="BH909" s="58">
        <f t="shared" si="161"/>
        <v>0</v>
      </c>
      <c r="BI909" s="58">
        <f t="shared" si="162"/>
        <v>0</v>
      </c>
      <c r="BJ909" s="58">
        <f t="shared" si="163"/>
        <v>0</v>
      </c>
      <c r="BK909" s="58">
        <f t="shared" si="164"/>
        <v>8</v>
      </c>
    </row>
    <row r="910" spans="1:63" ht="27" customHeight="1">
      <c r="A910" s="238">
        <f t="shared" si="165"/>
        <v>908</v>
      </c>
      <c r="B910" s="239"/>
      <c r="C910" s="266">
        <v>3716</v>
      </c>
      <c r="D910" s="241" t="s">
        <v>5236</v>
      </c>
      <c r="E910" s="302" t="s">
        <v>5237</v>
      </c>
      <c r="F910" s="268" t="s">
        <v>830</v>
      </c>
      <c r="G910" s="269" t="s">
        <v>5238</v>
      </c>
      <c r="H910" s="245" t="s">
        <v>1804</v>
      </c>
      <c r="I910" s="246" t="s">
        <v>5239</v>
      </c>
      <c r="J910" s="270" t="s">
        <v>209</v>
      </c>
      <c r="K910" s="271">
        <v>28160</v>
      </c>
      <c r="L910" s="249" t="s">
        <v>179</v>
      </c>
      <c r="M910" s="272">
        <v>43762</v>
      </c>
      <c r="N910" s="272"/>
      <c r="O910" s="240"/>
      <c r="P910" s="238" t="s">
        <v>3950</v>
      </c>
      <c r="Q910" s="238" t="s">
        <v>249</v>
      </c>
      <c r="R910" s="240" t="s">
        <v>182</v>
      </c>
      <c r="S910" s="240" t="s">
        <v>211</v>
      </c>
      <c r="T910" s="251"/>
      <c r="U910" s="273"/>
      <c r="V910" s="274" t="s">
        <v>184</v>
      </c>
      <c r="W910" s="274" t="s">
        <v>184</v>
      </c>
      <c r="X910" s="275">
        <v>7</v>
      </c>
      <c r="Y910" s="267" t="s">
        <v>5010</v>
      </c>
      <c r="Z910" s="305"/>
      <c r="AA910" s="277" t="s">
        <v>186</v>
      </c>
      <c r="AB910" s="260"/>
      <c r="AC910" s="296"/>
      <c r="AD910" s="296"/>
      <c r="AE910" s="296"/>
      <c r="AF910" s="296"/>
      <c r="AG910" s="296"/>
      <c r="AH910" s="296"/>
      <c r="AI910" s="296"/>
      <c r="AJ910" s="260" t="s">
        <v>203</v>
      </c>
      <c r="AK910" s="260" t="s">
        <v>190</v>
      </c>
      <c r="AL910" s="260" t="s">
        <v>190</v>
      </c>
      <c r="AM910" s="260" t="s">
        <v>3859</v>
      </c>
      <c r="AN910" s="22">
        <v>177</v>
      </c>
      <c r="AO910" s="22">
        <v>0</v>
      </c>
      <c r="AP910" s="22">
        <v>20</v>
      </c>
      <c r="AQ910" s="22">
        <v>0</v>
      </c>
      <c r="AR910" s="22">
        <v>0</v>
      </c>
      <c r="AS910" s="22">
        <v>7</v>
      </c>
      <c r="AT910" s="22">
        <v>10</v>
      </c>
      <c r="AU910" s="316">
        <f t="shared" si="155"/>
        <v>214</v>
      </c>
      <c r="AV910" s="22">
        <v>185</v>
      </c>
      <c r="AW910" s="22">
        <v>0</v>
      </c>
      <c r="AX910" s="22">
        <v>20</v>
      </c>
      <c r="AY910" s="22">
        <v>0</v>
      </c>
      <c r="AZ910" s="22">
        <v>0</v>
      </c>
      <c r="BA910" s="22">
        <v>7</v>
      </c>
      <c r="BB910" s="22">
        <v>10</v>
      </c>
      <c r="BC910" s="316">
        <f t="shared" si="156"/>
        <v>222</v>
      </c>
      <c r="BD910" s="58">
        <f t="shared" si="157"/>
        <v>8</v>
      </c>
      <c r="BE910" s="58">
        <f t="shared" si="158"/>
        <v>0</v>
      </c>
      <c r="BF910" s="58">
        <f t="shared" si="159"/>
        <v>0</v>
      </c>
      <c r="BG910" s="58">
        <f t="shared" si="160"/>
        <v>0</v>
      </c>
      <c r="BH910" s="58">
        <f t="shared" si="161"/>
        <v>0</v>
      </c>
      <c r="BI910" s="58">
        <f t="shared" si="162"/>
        <v>0</v>
      </c>
      <c r="BJ910" s="58">
        <f t="shared" si="163"/>
        <v>0</v>
      </c>
      <c r="BK910" s="58">
        <f t="shared" si="164"/>
        <v>8</v>
      </c>
    </row>
    <row r="911" spans="1:63" ht="27" customHeight="1">
      <c r="A911" s="238">
        <f t="shared" si="165"/>
        <v>909</v>
      </c>
      <c r="B911" s="239"/>
      <c r="C911" s="266">
        <v>3717</v>
      </c>
      <c r="D911" s="241" t="s">
        <v>5240</v>
      </c>
      <c r="E911" s="302" t="s">
        <v>296</v>
      </c>
      <c r="F911" s="268" t="s">
        <v>5241</v>
      </c>
      <c r="G911" s="269" t="s">
        <v>5242</v>
      </c>
      <c r="H911" s="245" t="s">
        <v>1829</v>
      </c>
      <c r="I911" s="246" t="s">
        <v>5243</v>
      </c>
      <c r="J911" s="270" t="s">
        <v>209</v>
      </c>
      <c r="K911" s="271">
        <v>34578</v>
      </c>
      <c r="L911" s="249" t="s">
        <v>179</v>
      </c>
      <c r="M911" s="272">
        <v>43762</v>
      </c>
      <c r="N911" s="272"/>
      <c r="O911" s="240"/>
      <c r="P911" s="238" t="s">
        <v>3950</v>
      </c>
      <c r="Q911" s="238" t="s">
        <v>249</v>
      </c>
      <c r="R911" s="240" t="s">
        <v>182</v>
      </c>
      <c r="S911" s="240" t="s">
        <v>1118</v>
      </c>
      <c r="T911" s="251"/>
      <c r="U911" s="273"/>
      <c r="V911" s="274" t="s">
        <v>184</v>
      </c>
      <c r="W911" s="274">
        <v>426</v>
      </c>
      <c r="X911" s="275">
        <v>4</v>
      </c>
      <c r="Y911" s="267" t="s">
        <v>5066</v>
      </c>
      <c r="Z911" s="305"/>
      <c r="AA911" s="277" t="s">
        <v>186</v>
      </c>
      <c r="AB911" s="260"/>
      <c r="AC911" s="296"/>
      <c r="AD911" s="296"/>
      <c r="AE911" s="296"/>
      <c r="AF911" s="296"/>
      <c r="AG911" s="296"/>
      <c r="AH911" s="296"/>
      <c r="AI911" s="296"/>
      <c r="AJ911" s="260" t="s">
        <v>203</v>
      </c>
      <c r="AK911" s="260" t="s">
        <v>190</v>
      </c>
      <c r="AL911" s="260" t="s">
        <v>190</v>
      </c>
      <c r="AM911" s="260" t="s">
        <v>3859</v>
      </c>
      <c r="AN911" s="22">
        <v>177</v>
      </c>
      <c r="AO911" s="22">
        <v>0</v>
      </c>
      <c r="AP911" s="22">
        <v>20</v>
      </c>
      <c r="AQ911" s="22">
        <v>0</v>
      </c>
      <c r="AR911" s="22">
        <v>0</v>
      </c>
      <c r="AS911" s="22">
        <v>7</v>
      </c>
      <c r="AT911" s="22">
        <v>10</v>
      </c>
      <c r="AU911" s="316">
        <f t="shared" si="155"/>
        <v>214</v>
      </c>
      <c r="AV911" s="22">
        <v>185</v>
      </c>
      <c r="AW911" s="22">
        <v>0</v>
      </c>
      <c r="AX911" s="22">
        <v>20</v>
      </c>
      <c r="AY911" s="22">
        <v>0</v>
      </c>
      <c r="AZ911" s="22">
        <v>0</v>
      </c>
      <c r="BA911" s="22">
        <v>7</v>
      </c>
      <c r="BB911" s="22">
        <v>10</v>
      </c>
      <c r="BC911" s="316">
        <f t="shared" si="156"/>
        <v>222</v>
      </c>
      <c r="BD911" s="58">
        <f t="shared" si="157"/>
        <v>8</v>
      </c>
      <c r="BE911" s="58">
        <f t="shared" si="158"/>
        <v>0</v>
      </c>
      <c r="BF911" s="58">
        <f t="shared" si="159"/>
        <v>0</v>
      </c>
      <c r="BG911" s="58">
        <f t="shared" si="160"/>
        <v>0</v>
      </c>
      <c r="BH911" s="58">
        <f t="shared" si="161"/>
        <v>0</v>
      </c>
      <c r="BI911" s="58">
        <f t="shared" si="162"/>
        <v>0</v>
      </c>
      <c r="BJ911" s="58">
        <f t="shared" si="163"/>
        <v>0</v>
      </c>
      <c r="BK911" s="58">
        <f t="shared" si="164"/>
        <v>8</v>
      </c>
    </row>
    <row r="912" spans="1:63" ht="27" customHeight="1">
      <c r="A912" s="238">
        <f t="shared" si="165"/>
        <v>910</v>
      </c>
      <c r="B912" s="239"/>
      <c r="C912" s="266">
        <v>3718</v>
      </c>
      <c r="D912" s="241" t="s">
        <v>5244</v>
      </c>
      <c r="E912" s="302" t="s">
        <v>5245</v>
      </c>
      <c r="F912" s="268" t="s">
        <v>1187</v>
      </c>
      <c r="G912" s="269" t="s">
        <v>5246</v>
      </c>
      <c r="H912" s="245" t="s">
        <v>5247</v>
      </c>
      <c r="I912" s="246" t="s">
        <v>5248</v>
      </c>
      <c r="J912" s="270" t="s">
        <v>209</v>
      </c>
      <c r="K912" s="271">
        <v>36257</v>
      </c>
      <c r="L912" s="249" t="s">
        <v>179</v>
      </c>
      <c r="M912" s="272">
        <v>43762</v>
      </c>
      <c r="N912" s="272"/>
      <c r="O912" s="240"/>
      <c r="P912" s="238" t="s">
        <v>3940</v>
      </c>
      <c r="Q912" s="238" t="s">
        <v>249</v>
      </c>
      <c r="R912" s="240" t="s">
        <v>182</v>
      </c>
      <c r="S912" s="240" t="s">
        <v>433</v>
      </c>
      <c r="T912" s="251"/>
      <c r="U912" s="273"/>
      <c r="V912" s="274" t="s">
        <v>184</v>
      </c>
      <c r="W912" s="274" t="s">
        <v>184</v>
      </c>
      <c r="X912" s="275">
        <v>7</v>
      </c>
      <c r="Y912" s="267" t="s">
        <v>5249</v>
      </c>
      <c r="Z912" s="305"/>
      <c r="AA912" s="305"/>
      <c r="AB912" s="260"/>
      <c r="AC912" s="296"/>
      <c r="AD912" s="296"/>
      <c r="AE912" s="296"/>
      <c r="AF912" s="296"/>
      <c r="AG912" s="296"/>
      <c r="AH912" s="296"/>
      <c r="AI912" s="296"/>
      <c r="AJ912" s="260" t="s">
        <v>203</v>
      </c>
      <c r="AK912" s="260" t="s">
        <v>190</v>
      </c>
      <c r="AL912" s="260" t="s">
        <v>190</v>
      </c>
      <c r="AM912" s="260" t="s">
        <v>3859</v>
      </c>
      <c r="AN912" s="22">
        <v>182</v>
      </c>
      <c r="AO912" s="22">
        <v>0</v>
      </c>
      <c r="AP912" s="22">
        <v>20</v>
      </c>
      <c r="AQ912" s="22">
        <v>0</v>
      </c>
      <c r="AR912" s="22">
        <v>0</v>
      </c>
      <c r="AS912" s="22">
        <v>7</v>
      </c>
      <c r="AT912" s="22">
        <v>10</v>
      </c>
      <c r="AU912" s="316">
        <f t="shared" si="155"/>
        <v>219</v>
      </c>
      <c r="AV912" s="22">
        <v>190</v>
      </c>
      <c r="AW912" s="22">
        <v>0</v>
      </c>
      <c r="AX912" s="22">
        <v>20</v>
      </c>
      <c r="AY912" s="22">
        <v>0</v>
      </c>
      <c r="AZ912" s="22">
        <v>0</v>
      </c>
      <c r="BA912" s="22">
        <v>7</v>
      </c>
      <c r="BB912" s="22">
        <v>10</v>
      </c>
      <c r="BC912" s="316">
        <f t="shared" si="156"/>
        <v>227</v>
      </c>
      <c r="BD912" s="58">
        <f t="shared" si="157"/>
        <v>8</v>
      </c>
      <c r="BE912" s="58">
        <f t="shared" si="158"/>
        <v>0</v>
      </c>
      <c r="BF912" s="58">
        <f t="shared" si="159"/>
        <v>0</v>
      </c>
      <c r="BG912" s="58">
        <f t="shared" si="160"/>
        <v>0</v>
      </c>
      <c r="BH912" s="58">
        <f t="shared" si="161"/>
        <v>0</v>
      </c>
      <c r="BI912" s="58">
        <f t="shared" si="162"/>
        <v>0</v>
      </c>
      <c r="BJ912" s="58">
        <f t="shared" si="163"/>
        <v>0</v>
      </c>
      <c r="BK912" s="58">
        <f t="shared" si="164"/>
        <v>8</v>
      </c>
    </row>
    <row r="913" spans="1:63" ht="27" customHeight="1">
      <c r="A913" s="238">
        <f t="shared" si="165"/>
        <v>911</v>
      </c>
      <c r="B913" s="239"/>
      <c r="C913" s="266">
        <v>3721</v>
      </c>
      <c r="D913" s="241" t="s">
        <v>5250</v>
      </c>
      <c r="E913" s="302" t="s">
        <v>5251</v>
      </c>
      <c r="F913" s="268" t="s">
        <v>1066</v>
      </c>
      <c r="G913" s="269" t="s">
        <v>5252</v>
      </c>
      <c r="H913" s="245" t="s">
        <v>1068</v>
      </c>
      <c r="I913" s="246" t="s">
        <v>5253</v>
      </c>
      <c r="J913" s="270" t="s">
        <v>209</v>
      </c>
      <c r="K913" s="271">
        <v>35065</v>
      </c>
      <c r="L913" s="249" t="s">
        <v>179</v>
      </c>
      <c r="M913" s="272">
        <v>43762</v>
      </c>
      <c r="N913" s="272"/>
      <c r="O913" s="240"/>
      <c r="P913" s="238" t="s">
        <v>3940</v>
      </c>
      <c r="Q913" s="238" t="s">
        <v>249</v>
      </c>
      <c r="R913" s="240" t="s">
        <v>182</v>
      </c>
      <c r="S913" s="240" t="s">
        <v>433</v>
      </c>
      <c r="T913" s="251"/>
      <c r="U913" s="273"/>
      <c r="V913" s="274" t="s">
        <v>184</v>
      </c>
      <c r="W913" s="274" t="s">
        <v>184</v>
      </c>
      <c r="X913" s="275">
        <v>9</v>
      </c>
      <c r="Y913" s="267" t="s">
        <v>5254</v>
      </c>
      <c r="Z913" s="277" t="s">
        <v>186</v>
      </c>
      <c r="AA913" s="305"/>
      <c r="AB913" s="260"/>
      <c r="AC913" s="296"/>
      <c r="AD913" s="296"/>
      <c r="AE913" s="296"/>
      <c r="AF913" s="296"/>
      <c r="AG913" s="296"/>
      <c r="AH913" s="296"/>
      <c r="AI913" s="296"/>
      <c r="AJ913" s="260" t="s">
        <v>203</v>
      </c>
      <c r="AK913" s="260" t="s">
        <v>190</v>
      </c>
      <c r="AL913" s="260" t="s">
        <v>190</v>
      </c>
      <c r="AM913" s="260" t="s">
        <v>3859</v>
      </c>
      <c r="AN913" s="22">
        <v>182</v>
      </c>
      <c r="AO913" s="22">
        <v>0</v>
      </c>
      <c r="AP913" s="22">
        <v>20</v>
      </c>
      <c r="AQ913" s="22">
        <v>10</v>
      </c>
      <c r="AR913" s="22">
        <v>0</v>
      </c>
      <c r="AS913" s="22">
        <v>7</v>
      </c>
      <c r="AT913" s="22">
        <v>10</v>
      </c>
      <c r="AU913" s="316">
        <f t="shared" si="155"/>
        <v>229</v>
      </c>
      <c r="AV913" s="22">
        <v>190</v>
      </c>
      <c r="AW913" s="22">
        <v>0</v>
      </c>
      <c r="AX913" s="22">
        <v>20</v>
      </c>
      <c r="AY913" s="22">
        <v>10</v>
      </c>
      <c r="AZ913" s="22">
        <v>0</v>
      </c>
      <c r="BA913" s="22">
        <v>7</v>
      </c>
      <c r="BB913" s="22">
        <v>10</v>
      </c>
      <c r="BC913" s="316">
        <f t="shared" si="156"/>
        <v>237</v>
      </c>
      <c r="BD913" s="58">
        <f t="shared" si="157"/>
        <v>8</v>
      </c>
      <c r="BE913" s="58">
        <f t="shared" si="158"/>
        <v>0</v>
      </c>
      <c r="BF913" s="58">
        <f t="shared" si="159"/>
        <v>0</v>
      </c>
      <c r="BG913" s="58">
        <f t="shared" si="160"/>
        <v>0</v>
      </c>
      <c r="BH913" s="58">
        <f t="shared" si="161"/>
        <v>0</v>
      </c>
      <c r="BI913" s="58">
        <f t="shared" si="162"/>
        <v>0</v>
      </c>
      <c r="BJ913" s="58">
        <f t="shared" si="163"/>
        <v>0</v>
      </c>
      <c r="BK913" s="58">
        <f t="shared" si="164"/>
        <v>8</v>
      </c>
    </row>
    <row r="914" spans="1:63" ht="27" customHeight="1">
      <c r="A914" s="238">
        <f t="shared" si="165"/>
        <v>912</v>
      </c>
      <c r="B914" s="239"/>
      <c r="C914" s="266">
        <v>3650</v>
      </c>
      <c r="D914" s="241" t="s">
        <v>5255</v>
      </c>
      <c r="E914" s="302" t="s">
        <v>5256</v>
      </c>
      <c r="F914" s="268" t="s">
        <v>5257</v>
      </c>
      <c r="G914" s="269" t="s">
        <v>1698</v>
      </c>
      <c r="H914" s="245" t="s">
        <v>495</v>
      </c>
      <c r="I914" s="246" t="s">
        <v>1299</v>
      </c>
      <c r="J914" s="270" t="s">
        <v>178</v>
      </c>
      <c r="K914" s="271">
        <v>28135</v>
      </c>
      <c r="L914" s="249" t="s">
        <v>179</v>
      </c>
      <c r="M914" s="272">
        <v>43755</v>
      </c>
      <c r="N914" s="272"/>
      <c r="O914" s="240"/>
      <c r="P914" s="238" t="s">
        <v>3785</v>
      </c>
      <c r="Q914" s="238" t="s">
        <v>249</v>
      </c>
      <c r="R914" s="240" t="s">
        <v>182</v>
      </c>
      <c r="S914" s="240" t="s">
        <v>228</v>
      </c>
      <c r="T914" s="251"/>
      <c r="U914" s="273"/>
      <c r="V914" s="274" t="s">
        <v>184</v>
      </c>
      <c r="W914" s="274" t="s">
        <v>184</v>
      </c>
      <c r="X914" s="275">
        <v>5</v>
      </c>
      <c r="Y914" s="267" t="s">
        <v>3915</v>
      </c>
      <c r="Z914" s="305"/>
      <c r="AA914" s="305"/>
      <c r="AB914" s="260"/>
      <c r="AC914" s="296"/>
      <c r="AD914" s="296"/>
      <c r="AE914" s="296"/>
      <c r="AF914" s="296"/>
      <c r="AG914" s="296"/>
      <c r="AH914" s="296"/>
      <c r="AI914" s="296"/>
      <c r="AJ914" s="260" t="s">
        <v>203</v>
      </c>
      <c r="AK914" s="260" t="s">
        <v>190</v>
      </c>
      <c r="AL914" s="260" t="s">
        <v>190</v>
      </c>
      <c r="AM914" s="260" t="s">
        <v>3916</v>
      </c>
      <c r="AN914" s="22">
        <v>177</v>
      </c>
      <c r="AO914" s="22">
        <v>0</v>
      </c>
      <c r="AP914" s="22">
        <v>20</v>
      </c>
      <c r="AQ914" s="22">
        <v>0</v>
      </c>
      <c r="AR914" s="22">
        <v>0</v>
      </c>
      <c r="AS914" s="22">
        <v>7</v>
      </c>
      <c r="AT914" s="22">
        <v>10</v>
      </c>
      <c r="AU914" s="316">
        <f t="shared" si="155"/>
        <v>214</v>
      </c>
      <c r="AV914" s="22">
        <v>185</v>
      </c>
      <c r="AW914" s="22">
        <v>0</v>
      </c>
      <c r="AX914" s="22">
        <v>20</v>
      </c>
      <c r="AY914" s="22">
        <v>0</v>
      </c>
      <c r="AZ914" s="22">
        <v>0</v>
      </c>
      <c r="BA914" s="22">
        <v>7</v>
      </c>
      <c r="BB914" s="22">
        <v>10</v>
      </c>
      <c r="BC914" s="316">
        <f t="shared" si="156"/>
        <v>222</v>
      </c>
      <c r="BD914" s="58">
        <f t="shared" si="157"/>
        <v>8</v>
      </c>
      <c r="BE914" s="58">
        <f t="shared" si="158"/>
        <v>0</v>
      </c>
      <c r="BF914" s="58">
        <f t="shared" si="159"/>
        <v>0</v>
      </c>
      <c r="BG914" s="58">
        <f t="shared" si="160"/>
        <v>0</v>
      </c>
      <c r="BH914" s="58">
        <f t="shared" si="161"/>
        <v>0</v>
      </c>
      <c r="BI914" s="58">
        <f t="shared" si="162"/>
        <v>0</v>
      </c>
      <c r="BJ914" s="58">
        <f t="shared" si="163"/>
        <v>0</v>
      </c>
      <c r="BK914" s="58">
        <f t="shared" si="164"/>
        <v>8</v>
      </c>
    </row>
    <row r="915" spans="1:63" ht="27" customHeight="1">
      <c r="A915" s="238">
        <f t="shared" si="165"/>
        <v>913</v>
      </c>
      <c r="B915" s="239"/>
      <c r="C915" s="266">
        <v>3768</v>
      </c>
      <c r="D915" s="241" t="s">
        <v>5258</v>
      </c>
      <c r="E915" s="302" t="s">
        <v>5259</v>
      </c>
      <c r="F915" s="268" t="s">
        <v>1518</v>
      </c>
      <c r="G915" s="269" t="s">
        <v>5055</v>
      </c>
      <c r="H915" s="245" t="s">
        <v>5260</v>
      </c>
      <c r="I915" s="246" t="s">
        <v>5057</v>
      </c>
      <c r="J915" s="270" t="s">
        <v>178</v>
      </c>
      <c r="K915" s="271">
        <v>36916</v>
      </c>
      <c r="L915" s="249" t="s">
        <v>179</v>
      </c>
      <c r="M915" s="272">
        <v>43763</v>
      </c>
      <c r="N915" s="272"/>
      <c r="O915" s="240"/>
      <c r="P915" s="238" t="s">
        <v>3950</v>
      </c>
      <c r="Q915" s="238" t="s">
        <v>249</v>
      </c>
      <c r="R915" s="240" t="s">
        <v>182</v>
      </c>
      <c r="S915" s="240" t="s">
        <v>4019</v>
      </c>
      <c r="T915" s="251"/>
      <c r="U915" s="273"/>
      <c r="V915" s="274" t="s">
        <v>184</v>
      </c>
      <c r="W915" s="274" t="s">
        <v>184</v>
      </c>
      <c r="X915" s="275">
        <v>6</v>
      </c>
      <c r="Y915" s="267" t="s">
        <v>5261</v>
      </c>
      <c r="Z915" s="305"/>
      <c r="AA915" s="277" t="s">
        <v>186</v>
      </c>
      <c r="AB915" s="260"/>
      <c r="AC915" s="296"/>
      <c r="AD915" s="296"/>
      <c r="AE915" s="296"/>
      <c r="AF915" s="296"/>
      <c r="AG915" s="296"/>
      <c r="AH915" s="296"/>
      <c r="AI915" s="296"/>
      <c r="AJ915" s="260" t="s">
        <v>203</v>
      </c>
      <c r="AK915" s="260" t="s">
        <v>190</v>
      </c>
      <c r="AL915" s="260" t="s">
        <v>190</v>
      </c>
      <c r="AM915" s="260" t="s">
        <v>3859</v>
      </c>
      <c r="AN915" s="22">
        <v>177</v>
      </c>
      <c r="AO915" s="22">
        <v>0</v>
      </c>
      <c r="AP915" s="22">
        <v>20</v>
      </c>
      <c r="AQ915" s="22">
        <v>20</v>
      </c>
      <c r="AR915" s="22">
        <v>0</v>
      </c>
      <c r="AS915" s="22">
        <v>7</v>
      </c>
      <c r="AT915" s="22">
        <v>10</v>
      </c>
      <c r="AU915" s="316">
        <f t="shared" si="155"/>
        <v>234</v>
      </c>
      <c r="AV915" s="22">
        <v>185</v>
      </c>
      <c r="AW915" s="22">
        <v>0</v>
      </c>
      <c r="AX915" s="22">
        <v>20</v>
      </c>
      <c r="AY915" s="22">
        <v>20</v>
      </c>
      <c r="AZ915" s="22">
        <v>0</v>
      </c>
      <c r="BA915" s="22">
        <v>7</v>
      </c>
      <c r="BB915" s="22">
        <v>10</v>
      </c>
      <c r="BC915" s="316">
        <f t="shared" si="156"/>
        <v>242</v>
      </c>
      <c r="BD915" s="58">
        <f t="shared" si="157"/>
        <v>8</v>
      </c>
      <c r="BE915" s="58">
        <f t="shared" si="158"/>
        <v>0</v>
      </c>
      <c r="BF915" s="58">
        <f t="shared" si="159"/>
        <v>0</v>
      </c>
      <c r="BG915" s="58">
        <f t="shared" si="160"/>
        <v>0</v>
      </c>
      <c r="BH915" s="58">
        <f t="shared" si="161"/>
        <v>0</v>
      </c>
      <c r="BI915" s="58">
        <f t="shared" si="162"/>
        <v>0</v>
      </c>
      <c r="BJ915" s="58">
        <f t="shared" si="163"/>
        <v>0</v>
      </c>
      <c r="BK915" s="58">
        <f t="shared" si="164"/>
        <v>8</v>
      </c>
    </row>
    <row r="916" spans="1:63" ht="27" customHeight="1">
      <c r="A916" s="238">
        <f t="shared" si="165"/>
        <v>914</v>
      </c>
      <c r="B916" s="239"/>
      <c r="C916" s="304">
        <v>3766</v>
      </c>
      <c r="D916" s="241" t="s">
        <v>5262</v>
      </c>
      <c r="E916" s="302" t="s">
        <v>5263</v>
      </c>
      <c r="F916" s="268" t="s">
        <v>5264</v>
      </c>
      <c r="G916" s="269" t="s">
        <v>5265</v>
      </c>
      <c r="H916" s="245" t="s">
        <v>5266</v>
      </c>
      <c r="I916" s="246" t="s">
        <v>5267</v>
      </c>
      <c r="J916" s="270" t="s">
        <v>209</v>
      </c>
      <c r="K916" s="271">
        <v>36546</v>
      </c>
      <c r="L916" s="249" t="s">
        <v>179</v>
      </c>
      <c r="M916" s="272">
        <v>43763</v>
      </c>
      <c r="N916" s="272"/>
      <c r="O916" s="240"/>
      <c r="P916" s="238" t="s">
        <v>3950</v>
      </c>
      <c r="Q916" s="238" t="s">
        <v>249</v>
      </c>
      <c r="R916" s="240" t="s">
        <v>182</v>
      </c>
      <c r="S916" s="240" t="s">
        <v>4019</v>
      </c>
      <c r="T916" s="251"/>
      <c r="U916" s="273"/>
      <c r="V916" s="274" t="s">
        <v>184</v>
      </c>
      <c r="W916" s="274" t="s">
        <v>184</v>
      </c>
      <c r="X916" s="275">
        <v>1</v>
      </c>
      <c r="Y916" s="267" t="s">
        <v>5261</v>
      </c>
      <c r="Z916" s="305"/>
      <c r="AA916" s="277" t="s">
        <v>186</v>
      </c>
      <c r="AB916" s="260"/>
      <c r="AC916" s="296"/>
      <c r="AD916" s="296"/>
      <c r="AE916" s="296"/>
      <c r="AF916" s="296"/>
      <c r="AG916" s="296"/>
      <c r="AH916" s="296"/>
      <c r="AI916" s="296"/>
      <c r="AJ916" s="260" t="s">
        <v>203</v>
      </c>
      <c r="AK916" s="260" t="s">
        <v>190</v>
      </c>
      <c r="AL916" s="260" t="s">
        <v>190</v>
      </c>
      <c r="AM916" s="260" t="s">
        <v>3859</v>
      </c>
      <c r="AN916" s="22">
        <v>177</v>
      </c>
      <c r="AO916" s="22">
        <v>0</v>
      </c>
      <c r="AP916" s="22">
        <v>20</v>
      </c>
      <c r="AQ916" s="22">
        <v>0</v>
      </c>
      <c r="AR916" s="22">
        <v>0</v>
      </c>
      <c r="AS916" s="22">
        <v>7</v>
      </c>
      <c r="AT916" s="22">
        <v>10</v>
      </c>
      <c r="AU916" s="316">
        <f t="shared" si="155"/>
        <v>214</v>
      </c>
      <c r="AV916" s="22">
        <v>185</v>
      </c>
      <c r="AW916" s="22">
        <v>0</v>
      </c>
      <c r="AX916" s="22">
        <v>20</v>
      </c>
      <c r="AY916" s="22">
        <v>0</v>
      </c>
      <c r="AZ916" s="22">
        <v>0</v>
      </c>
      <c r="BA916" s="22">
        <v>7</v>
      </c>
      <c r="BB916" s="22">
        <v>10</v>
      </c>
      <c r="BC916" s="316">
        <f t="shared" si="156"/>
        <v>222</v>
      </c>
      <c r="BD916" s="58">
        <f t="shared" si="157"/>
        <v>8</v>
      </c>
      <c r="BE916" s="58">
        <f t="shared" si="158"/>
        <v>0</v>
      </c>
      <c r="BF916" s="58">
        <f t="shared" si="159"/>
        <v>0</v>
      </c>
      <c r="BG916" s="58">
        <f t="shared" si="160"/>
        <v>0</v>
      </c>
      <c r="BH916" s="58">
        <f t="shared" si="161"/>
        <v>0</v>
      </c>
      <c r="BI916" s="58">
        <f t="shared" si="162"/>
        <v>0</v>
      </c>
      <c r="BJ916" s="58">
        <f t="shared" si="163"/>
        <v>0</v>
      </c>
      <c r="BK916" s="58">
        <f t="shared" si="164"/>
        <v>8</v>
      </c>
    </row>
    <row r="917" spans="1:63" ht="27" customHeight="1">
      <c r="A917" s="238">
        <f t="shared" si="165"/>
        <v>915</v>
      </c>
      <c r="B917" s="239"/>
      <c r="C917" s="266">
        <v>3628</v>
      </c>
      <c r="D917" s="241">
        <v>0</v>
      </c>
      <c r="E917" s="302" t="s">
        <v>5268</v>
      </c>
      <c r="F917" s="268" t="s">
        <v>5269</v>
      </c>
      <c r="G917" s="269" t="s">
        <v>2575</v>
      </c>
      <c r="H917" s="245" t="s">
        <v>5270</v>
      </c>
      <c r="I917" s="246" t="s">
        <v>3558</v>
      </c>
      <c r="J917" s="270" t="s">
        <v>209</v>
      </c>
      <c r="K917" s="271">
        <v>34677</v>
      </c>
      <c r="L917" s="249" t="s">
        <v>179</v>
      </c>
      <c r="M917" s="272">
        <v>43750</v>
      </c>
      <c r="N917" s="272"/>
      <c r="O917" s="240"/>
      <c r="P917" s="238" t="s">
        <v>3634</v>
      </c>
      <c r="Q917" s="238" t="s">
        <v>249</v>
      </c>
      <c r="R917" s="240" t="s">
        <v>182</v>
      </c>
      <c r="S917" s="240" t="s">
        <v>183</v>
      </c>
      <c r="T917" s="251"/>
      <c r="U917" s="273"/>
      <c r="V917" s="274" t="s">
        <v>184</v>
      </c>
      <c r="W917" s="274" t="s">
        <v>184</v>
      </c>
      <c r="X917" s="275">
        <v>7</v>
      </c>
      <c r="Y917" s="267" t="s">
        <v>5271</v>
      </c>
      <c r="Z917" s="305"/>
      <c r="AA917" s="277" t="s">
        <v>186</v>
      </c>
      <c r="AB917" s="260"/>
      <c r="AC917" s="296"/>
      <c r="AD917" s="296"/>
      <c r="AE917" s="296"/>
      <c r="AF917" s="296"/>
      <c r="AG917" s="296"/>
      <c r="AH917" s="296"/>
      <c r="AI917" s="296"/>
      <c r="AJ917" s="260" t="s">
        <v>190</v>
      </c>
      <c r="AK917" s="260" t="s">
        <v>190</v>
      </c>
      <c r="AL917" s="260" t="s">
        <v>190</v>
      </c>
      <c r="AM917" s="289" t="s">
        <v>3659</v>
      </c>
      <c r="AN917" s="22">
        <v>182</v>
      </c>
      <c r="AO917" s="22">
        <v>0</v>
      </c>
      <c r="AP917" s="22">
        <v>20</v>
      </c>
      <c r="AQ917" s="22">
        <v>0</v>
      </c>
      <c r="AR917" s="22">
        <v>0</v>
      </c>
      <c r="AS917" s="22">
        <v>7</v>
      </c>
      <c r="AT917" s="22">
        <v>10</v>
      </c>
      <c r="AU917" s="316">
        <f t="shared" si="155"/>
        <v>219</v>
      </c>
      <c r="AV917" s="22">
        <v>190</v>
      </c>
      <c r="AW917" s="22">
        <v>0</v>
      </c>
      <c r="AX917" s="22">
        <v>20</v>
      </c>
      <c r="AY917" s="22">
        <v>0</v>
      </c>
      <c r="AZ917" s="22">
        <v>0</v>
      </c>
      <c r="BA917" s="22">
        <v>7</v>
      </c>
      <c r="BB917" s="22">
        <v>10</v>
      </c>
      <c r="BC917" s="316">
        <f t="shared" si="156"/>
        <v>227</v>
      </c>
      <c r="BD917" s="58">
        <f t="shared" si="157"/>
        <v>8</v>
      </c>
      <c r="BE917" s="58">
        <f t="shared" si="158"/>
        <v>0</v>
      </c>
      <c r="BF917" s="58">
        <f t="shared" si="159"/>
        <v>0</v>
      </c>
      <c r="BG917" s="58">
        <f t="shared" si="160"/>
        <v>0</v>
      </c>
      <c r="BH917" s="58">
        <f t="shared" si="161"/>
        <v>0</v>
      </c>
      <c r="BI917" s="58">
        <f t="shared" si="162"/>
        <v>0</v>
      </c>
      <c r="BJ917" s="58">
        <f t="shared" si="163"/>
        <v>0</v>
      </c>
      <c r="BK917" s="58">
        <f t="shared" si="164"/>
        <v>8</v>
      </c>
    </row>
    <row r="918" spans="1:63" ht="27" customHeight="1">
      <c r="A918" s="238">
        <f t="shared" si="165"/>
        <v>916</v>
      </c>
      <c r="B918" s="239"/>
      <c r="C918" s="266">
        <v>3676</v>
      </c>
      <c r="D918" s="241" t="s">
        <v>5272</v>
      </c>
      <c r="E918" s="302" t="s">
        <v>5273</v>
      </c>
      <c r="F918" s="268" t="s">
        <v>5274</v>
      </c>
      <c r="G918" s="269" t="s">
        <v>5275</v>
      </c>
      <c r="H918" s="245" t="s">
        <v>5276</v>
      </c>
      <c r="I918" s="246" t="s">
        <v>5277</v>
      </c>
      <c r="J918" s="270" t="s">
        <v>178</v>
      </c>
      <c r="K918" s="271">
        <v>36253</v>
      </c>
      <c r="L918" s="249" t="s">
        <v>179</v>
      </c>
      <c r="M918" s="272">
        <v>43757</v>
      </c>
      <c r="N918" s="272"/>
      <c r="O918" s="240"/>
      <c r="P918" s="238" t="s">
        <v>318</v>
      </c>
      <c r="Q918" s="238" t="s">
        <v>249</v>
      </c>
      <c r="R918" s="240" t="s">
        <v>182</v>
      </c>
      <c r="S918" s="240" t="s">
        <v>228</v>
      </c>
      <c r="T918" s="251"/>
      <c r="U918" s="273"/>
      <c r="V918" s="274" t="s">
        <v>184</v>
      </c>
      <c r="W918" s="274" t="s">
        <v>184</v>
      </c>
      <c r="X918" s="275">
        <v>5</v>
      </c>
      <c r="Y918" s="267" t="s">
        <v>5278</v>
      </c>
      <c r="Z918" s="305"/>
      <c r="AA918" s="305"/>
      <c r="AB918" s="260"/>
      <c r="AC918" s="296"/>
      <c r="AD918" s="296"/>
      <c r="AE918" s="296"/>
      <c r="AF918" s="296"/>
      <c r="AG918" s="296"/>
      <c r="AH918" s="296"/>
      <c r="AI918" s="296"/>
      <c r="AJ918" s="260" t="s">
        <v>203</v>
      </c>
      <c r="AK918" s="260" t="s">
        <v>190</v>
      </c>
      <c r="AL918" s="260" t="s">
        <v>190</v>
      </c>
      <c r="AM918" s="260" t="s">
        <v>3859</v>
      </c>
      <c r="AN918" s="22">
        <v>182</v>
      </c>
      <c r="AO918" s="22">
        <v>0</v>
      </c>
      <c r="AP918" s="22">
        <v>20</v>
      </c>
      <c r="AQ918" s="22">
        <v>0</v>
      </c>
      <c r="AR918" s="22">
        <v>0</v>
      </c>
      <c r="AS918" s="22">
        <v>7</v>
      </c>
      <c r="AT918" s="22">
        <v>10</v>
      </c>
      <c r="AU918" s="316">
        <f t="shared" si="155"/>
        <v>219</v>
      </c>
      <c r="AV918" s="22">
        <v>190</v>
      </c>
      <c r="AW918" s="22">
        <v>0</v>
      </c>
      <c r="AX918" s="22">
        <v>20</v>
      </c>
      <c r="AY918" s="22">
        <v>0</v>
      </c>
      <c r="AZ918" s="22">
        <v>0</v>
      </c>
      <c r="BA918" s="22">
        <v>7</v>
      </c>
      <c r="BB918" s="22">
        <v>10</v>
      </c>
      <c r="BC918" s="316">
        <f t="shared" si="156"/>
        <v>227</v>
      </c>
      <c r="BD918" s="58">
        <f t="shared" si="157"/>
        <v>8</v>
      </c>
      <c r="BE918" s="58">
        <f t="shared" si="158"/>
        <v>0</v>
      </c>
      <c r="BF918" s="58">
        <f t="shared" si="159"/>
        <v>0</v>
      </c>
      <c r="BG918" s="58">
        <f t="shared" si="160"/>
        <v>0</v>
      </c>
      <c r="BH918" s="58">
        <f t="shared" si="161"/>
        <v>0</v>
      </c>
      <c r="BI918" s="58">
        <f t="shared" si="162"/>
        <v>0</v>
      </c>
      <c r="BJ918" s="58">
        <f t="shared" si="163"/>
        <v>0</v>
      </c>
      <c r="BK918" s="58">
        <f t="shared" si="164"/>
        <v>8</v>
      </c>
    </row>
    <row r="919" spans="1:63" ht="27" customHeight="1">
      <c r="A919" s="238">
        <f t="shared" si="165"/>
        <v>917</v>
      </c>
      <c r="B919" s="239"/>
      <c r="C919" s="266">
        <v>3678</v>
      </c>
      <c r="D919" s="241">
        <v>0</v>
      </c>
      <c r="E919" s="302" t="s">
        <v>5279</v>
      </c>
      <c r="F919" s="268" t="s">
        <v>1904</v>
      </c>
      <c r="G919" s="269" t="s">
        <v>4483</v>
      </c>
      <c r="H919" s="245" t="s">
        <v>1905</v>
      </c>
      <c r="I919" s="246" t="s">
        <v>4485</v>
      </c>
      <c r="J919" s="270" t="s">
        <v>178</v>
      </c>
      <c r="K919" s="271">
        <v>34341</v>
      </c>
      <c r="L919" s="249" t="s">
        <v>179</v>
      </c>
      <c r="M919" s="272">
        <v>43759</v>
      </c>
      <c r="N919" s="272"/>
      <c r="O919" s="240"/>
      <c r="P919" s="238" t="s">
        <v>3649</v>
      </c>
      <c r="Q919" s="238" t="s">
        <v>249</v>
      </c>
      <c r="R919" s="240" t="s">
        <v>182</v>
      </c>
      <c r="S919" s="240" t="s">
        <v>211</v>
      </c>
      <c r="T919" s="251"/>
      <c r="U919" s="273"/>
      <c r="V919" s="274" t="s">
        <v>184</v>
      </c>
      <c r="W919" s="274" t="s">
        <v>184</v>
      </c>
      <c r="X919" s="275">
        <v>5</v>
      </c>
      <c r="Y919" s="267" t="s">
        <v>5280</v>
      </c>
      <c r="Z919" s="305"/>
      <c r="AA919" s="277" t="s">
        <v>186</v>
      </c>
      <c r="AB919" s="260"/>
      <c r="AC919" s="296"/>
      <c r="AD919" s="296"/>
      <c r="AE919" s="296"/>
      <c r="AF919" s="296"/>
      <c r="AG919" s="296"/>
      <c r="AH919" s="296"/>
      <c r="AI919" s="296"/>
      <c r="AJ919" s="260" t="s">
        <v>190</v>
      </c>
      <c r="AK919" s="260" t="s">
        <v>190</v>
      </c>
      <c r="AL919" s="260" t="s">
        <v>190</v>
      </c>
      <c r="AM919" s="260" t="s">
        <v>241</v>
      </c>
      <c r="AN919" s="22">
        <v>182</v>
      </c>
      <c r="AO919" s="22">
        <v>0</v>
      </c>
      <c r="AP919" s="22">
        <v>0</v>
      </c>
      <c r="AQ919" s="22">
        <v>0</v>
      </c>
      <c r="AR919" s="22">
        <v>0</v>
      </c>
      <c r="AS919" s="22">
        <v>7</v>
      </c>
      <c r="AT919" s="22">
        <v>10</v>
      </c>
      <c r="AU919" s="316">
        <f t="shared" si="155"/>
        <v>199</v>
      </c>
      <c r="AV919" s="22">
        <v>190</v>
      </c>
      <c r="AW919" s="22">
        <v>0</v>
      </c>
      <c r="AX919" s="22">
        <v>0</v>
      </c>
      <c r="AY919" s="22">
        <v>0</v>
      </c>
      <c r="AZ919" s="22">
        <v>0</v>
      </c>
      <c r="BA919" s="22">
        <v>7</v>
      </c>
      <c r="BB919" s="22">
        <v>10</v>
      </c>
      <c r="BC919" s="316">
        <f t="shared" si="156"/>
        <v>207</v>
      </c>
      <c r="BD919" s="58">
        <f t="shared" si="157"/>
        <v>8</v>
      </c>
      <c r="BE919" s="58">
        <f t="shared" si="158"/>
        <v>0</v>
      </c>
      <c r="BF919" s="58">
        <f t="shared" si="159"/>
        <v>0</v>
      </c>
      <c r="BG919" s="58">
        <f t="shared" si="160"/>
        <v>0</v>
      </c>
      <c r="BH919" s="58">
        <f t="shared" si="161"/>
        <v>0</v>
      </c>
      <c r="BI919" s="58">
        <f t="shared" si="162"/>
        <v>0</v>
      </c>
      <c r="BJ919" s="58">
        <f t="shared" si="163"/>
        <v>0</v>
      </c>
      <c r="BK919" s="58">
        <f t="shared" si="164"/>
        <v>8</v>
      </c>
    </row>
    <row r="920" spans="1:63" ht="27" customHeight="1">
      <c r="A920" s="238">
        <f t="shared" si="165"/>
        <v>918</v>
      </c>
      <c r="B920" s="239"/>
      <c r="C920" s="266">
        <v>3771</v>
      </c>
      <c r="D920" s="241" t="s">
        <v>5281</v>
      </c>
      <c r="E920" s="302" t="s">
        <v>5282</v>
      </c>
      <c r="F920" s="268" t="s">
        <v>753</v>
      </c>
      <c r="G920" s="269" t="s">
        <v>2021</v>
      </c>
      <c r="H920" s="245" t="s">
        <v>754</v>
      </c>
      <c r="I920" s="246" t="s">
        <v>907</v>
      </c>
      <c r="J920" s="270" t="s">
        <v>178</v>
      </c>
      <c r="K920" s="271">
        <v>32576</v>
      </c>
      <c r="L920" s="249" t="s">
        <v>179</v>
      </c>
      <c r="M920" s="272">
        <v>43764</v>
      </c>
      <c r="N920" s="272"/>
      <c r="O920" s="240"/>
      <c r="P920" s="238" t="s">
        <v>282</v>
      </c>
      <c r="Q920" s="238" t="s">
        <v>249</v>
      </c>
      <c r="R920" s="240" t="s">
        <v>182</v>
      </c>
      <c r="S920" s="240" t="s">
        <v>228</v>
      </c>
      <c r="T920" s="251"/>
      <c r="U920" s="273"/>
      <c r="V920" s="274" t="s">
        <v>184</v>
      </c>
      <c r="W920" s="274" t="s">
        <v>184</v>
      </c>
      <c r="X920" s="275">
        <v>8</v>
      </c>
      <c r="Y920" s="267" t="s">
        <v>5283</v>
      </c>
      <c r="Z920" s="305"/>
      <c r="AA920" s="277" t="s">
        <v>186</v>
      </c>
      <c r="AB920" s="260"/>
      <c r="AC920" s="296"/>
      <c r="AD920" s="296"/>
      <c r="AE920" s="296"/>
      <c r="AF920" s="296"/>
      <c r="AG920" s="296"/>
      <c r="AH920" s="296"/>
      <c r="AI920" s="296"/>
      <c r="AJ920" s="260" t="s">
        <v>203</v>
      </c>
      <c r="AK920" s="260" t="s">
        <v>190</v>
      </c>
      <c r="AL920" s="260" t="s">
        <v>190</v>
      </c>
      <c r="AM920" s="260" t="s">
        <v>5284</v>
      </c>
      <c r="AN920" s="22">
        <v>182</v>
      </c>
      <c r="AO920" s="22">
        <v>0</v>
      </c>
      <c r="AP920" s="22">
        <v>20</v>
      </c>
      <c r="AQ920" s="22">
        <v>0</v>
      </c>
      <c r="AR920" s="22">
        <v>0</v>
      </c>
      <c r="AS920" s="22">
        <v>7</v>
      </c>
      <c r="AT920" s="22">
        <v>10</v>
      </c>
      <c r="AU920" s="316">
        <f t="shared" si="155"/>
        <v>219</v>
      </c>
      <c r="AV920" s="22">
        <v>190</v>
      </c>
      <c r="AW920" s="22">
        <v>0</v>
      </c>
      <c r="AX920" s="22">
        <v>20</v>
      </c>
      <c r="AY920" s="22">
        <v>0</v>
      </c>
      <c r="AZ920" s="22">
        <v>0</v>
      </c>
      <c r="BA920" s="22">
        <v>7</v>
      </c>
      <c r="BB920" s="22">
        <v>10</v>
      </c>
      <c r="BC920" s="316">
        <f t="shared" si="156"/>
        <v>227</v>
      </c>
      <c r="BD920" s="58">
        <f t="shared" si="157"/>
        <v>8</v>
      </c>
      <c r="BE920" s="58">
        <f t="shared" si="158"/>
        <v>0</v>
      </c>
      <c r="BF920" s="58">
        <f t="shared" si="159"/>
        <v>0</v>
      </c>
      <c r="BG920" s="58">
        <f t="shared" si="160"/>
        <v>0</v>
      </c>
      <c r="BH920" s="58">
        <f t="shared" si="161"/>
        <v>0</v>
      </c>
      <c r="BI920" s="58">
        <f t="shared" si="162"/>
        <v>0</v>
      </c>
      <c r="BJ920" s="58">
        <f t="shared" si="163"/>
        <v>0</v>
      </c>
      <c r="BK920" s="58">
        <f t="shared" si="164"/>
        <v>8</v>
      </c>
    </row>
    <row r="921" spans="1:63" ht="27" customHeight="1">
      <c r="A921" s="238">
        <f t="shared" si="165"/>
        <v>919</v>
      </c>
      <c r="B921" s="239"/>
      <c r="C921" s="266">
        <v>3770</v>
      </c>
      <c r="D921" s="241" t="s">
        <v>5285</v>
      </c>
      <c r="E921" s="302" t="s">
        <v>5286</v>
      </c>
      <c r="F921" s="268" t="s">
        <v>5287</v>
      </c>
      <c r="G921" s="269" t="s">
        <v>5288</v>
      </c>
      <c r="H921" s="245" t="s">
        <v>5289</v>
      </c>
      <c r="I921" s="246" t="s">
        <v>5290</v>
      </c>
      <c r="J921" s="270" t="s">
        <v>209</v>
      </c>
      <c r="K921" s="271">
        <v>29210</v>
      </c>
      <c r="L921" s="249" t="s">
        <v>179</v>
      </c>
      <c r="M921" s="272">
        <v>43764</v>
      </c>
      <c r="N921" s="272"/>
      <c r="O921" s="240" t="s">
        <v>5291</v>
      </c>
      <c r="P921" s="238" t="s">
        <v>3638</v>
      </c>
      <c r="Q921" s="238" t="s">
        <v>249</v>
      </c>
      <c r="R921" s="240" t="s">
        <v>3960</v>
      </c>
      <c r="S921" s="240" t="s">
        <v>219</v>
      </c>
      <c r="T921" s="251" t="s">
        <v>5292</v>
      </c>
      <c r="U921" s="273">
        <v>43789</v>
      </c>
      <c r="V921" s="274" t="s">
        <v>184</v>
      </c>
      <c r="W921" s="274" t="s">
        <v>184</v>
      </c>
      <c r="X921" s="275">
        <v>7</v>
      </c>
      <c r="Y921" s="267" t="s">
        <v>5293</v>
      </c>
      <c r="Z921" s="305"/>
      <c r="AA921" s="277" t="s">
        <v>186</v>
      </c>
      <c r="AB921" s="260"/>
      <c r="AC921" s="296" t="s">
        <v>187</v>
      </c>
      <c r="AD921" s="296"/>
      <c r="AE921" s="296"/>
      <c r="AF921" s="296"/>
      <c r="AG921" s="296"/>
      <c r="AH921" s="296"/>
      <c r="AI921" s="296"/>
      <c r="AJ921" s="260" t="s">
        <v>203</v>
      </c>
      <c r="AK921" s="260" t="s">
        <v>190</v>
      </c>
      <c r="AL921" s="260" t="s">
        <v>190</v>
      </c>
      <c r="AM921" s="260" t="s">
        <v>3859</v>
      </c>
      <c r="AN921" s="22">
        <v>182</v>
      </c>
      <c r="AO921" s="22">
        <v>0</v>
      </c>
      <c r="AP921" s="22">
        <v>0</v>
      </c>
      <c r="AQ921" s="22">
        <v>0</v>
      </c>
      <c r="AR921" s="22">
        <v>0</v>
      </c>
      <c r="AS921" s="22">
        <v>7</v>
      </c>
      <c r="AT921" s="22">
        <v>10</v>
      </c>
      <c r="AU921" s="316">
        <f t="shared" si="155"/>
        <v>199</v>
      </c>
      <c r="AV921" s="22">
        <v>190</v>
      </c>
      <c r="AW921" s="22">
        <v>0</v>
      </c>
      <c r="AX921" s="22">
        <v>0</v>
      </c>
      <c r="AY921" s="22">
        <v>0</v>
      </c>
      <c r="AZ921" s="22">
        <v>0</v>
      </c>
      <c r="BA921" s="22">
        <v>7</v>
      </c>
      <c r="BB921" s="22">
        <v>10</v>
      </c>
      <c r="BC921" s="316">
        <f t="shared" si="156"/>
        <v>207</v>
      </c>
      <c r="BD921" s="58">
        <f t="shared" si="157"/>
        <v>8</v>
      </c>
      <c r="BE921" s="58">
        <f t="shared" si="158"/>
        <v>0</v>
      </c>
      <c r="BF921" s="58">
        <f t="shared" si="159"/>
        <v>0</v>
      </c>
      <c r="BG921" s="58">
        <f t="shared" si="160"/>
        <v>0</v>
      </c>
      <c r="BH921" s="58">
        <f t="shared" si="161"/>
        <v>0</v>
      </c>
      <c r="BI921" s="58">
        <f t="shared" si="162"/>
        <v>0</v>
      </c>
      <c r="BJ921" s="58">
        <f t="shared" si="163"/>
        <v>0</v>
      </c>
      <c r="BK921" s="58">
        <f t="shared" si="164"/>
        <v>8</v>
      </c>
    </row>
    <row r="922" spans="1:63" ht="27" customHeight="1">
      <c r="A922" s="238">
        <f t="shared" si="165"/>
        <v>920</v>
      </c>
      <c r="B922" s="239"/>
      <c r="C922" s="266">
        <v>3618</v>
      </c>
      <c r="D922" s="241" t="s">
        <v>5294</v>
      </c>
      <c r="E922" s="302" t="s">
        <v>5295</v>
      </c>
      <c r="F922" s="268" t="s">
        <v>488</v>
      </c>
      <c r="G922" s="269" t="s">
        <v>5296</v>
      </c>
      <c r="H922" s="245" t="s">
        <v>98</v>
      </c>
      <c r="I922" s="246" t="s">
        <v>5297</v>
      </c>
      <c r="J922" s="270" t="s">
        <v>178</v>
      </c>
      <c r="K922" s="271">
        <v>34528</v>
      </c>
      <c r="L922" s="249" t="s">
        <v>179</v>
      </c>
      <c r="M922" s="272">
        <v>43750</v>
      </c>
      <c r="N922" s="272"/>
      <c r="O922" s="240"/>
      <c r="P922" s="238" t="s">
        <v>3754</v>
      </c>
      <c r="Q922" s="238" t="s">
        <v>249</v>
      </c>
      <c r="R922" s="240" t="s">
        <v>182</v>
      </c>
      <c r="S922" s="240" t="s">
        <v>533</v>
      </c>
      <c r="T922" s="251"/>
      <c r="U922" s="273"/>
      <c r="V922" s="274" t="s">
        <v>184</v>
      </c>
      <c r="W922" s="274" t="s">
        <v>184</v>
      </c>
      <c r="X922" s="275">
        <v>10</v>
      </c>
      <c r="Y922" s="267"/>
      <c r="Z922" s="305"/>
      <c r="AA922" s="305"/>
      <c r="AB922" s="260"/>
      <c r="AC922" s="296"/>
      <c r="AD922" s="296"/>
      <c r="AE922" s="296"/>
      <c r="AF922" s="296"/>
      <c r="AG922" s="296"/>
      <c r="AH922" s="296"/>
      <c r="AI922" s="296"/>
      <c r="AJ922" s="260" t="s">
        <v>190</v>
      </c>
      <c r="AK922" s="260" t="s">
        <v>190</v>
      </c>
      <c r="AL922" s="260" t="s">
        <v>190</v>
      </c>
      <c r="AM922" s="260" t="s">
        <v>241</v>
      </c>
      <c r="AN922" s="22">
        <v>182</v>
      </c>
      <c r="AO922" s="22">
        <v>0</v>
      </c>
      <c r="AP922" s="22">
        <v>20</v>
      </c>
      <c r="AQ922" s="22">
        <v>0</v>
      </c>
      <c r="AR922" s="22">
        <v>0</v>
      </c>
      <c r="AS922" s="22">
        <v>7</v>
      </c>
      <c r="AT922" s="22">
        <v>10</v>
      </c>
      <c r="AU922" s="316">
        <f t="shared" si="155"/>
        <v>219</v>
      </c>
      <c r="AV922" s="22">
        <v>190</v>
      </c>
      <c r="AW922" s="22">
        <v>0</v>
      </c>
      <c r="AX922" s="22">
        <v>20</v>
      </c>
      <c r="AY922" s="22">
        <v>0</v>
      </c>
      <c r="AZ922" s="22">
        <v>0</v>
      </c>
      <c r="BA922" s="22">
        <v>7</v>
      </c>
      <c r="BB922" s="22">
        <v>10</v>
      </c>
      <c r="BC922" s="316">
        <f t="shared" si="156"/>
        <v>227</v>
      </c>
      <c r="BD922" s="58">
        <f t="shared" si="157"/>
        <v>8</v>
      </c>
      <c r="BE922" s="58">
        <f t="shared" si="158"/>
        <v>0</v>
      </c>
      <c r="BF922" s="58">
        <f t="shared" si="159"/>
        <v>0</v>
      </c>
      <c r="BG922" s="58">
        <f t="shared" si="160"/>
        <v>0</v>
      </c>
      <c r="BH922" s="58">
        <f t="shared" si="161"/>
        <v>0</v>
      </c>
      <c r="BI922" s="58">
        <f t="shared" si="162"/>
        <v>0</v>
      </c>
      <c r="BJ922" s="58">
        <f t="shared" si="163"/>
        <v>0</v>
      </c>
      <c r="BK922" s="58">
        <f t="shared" si="164"/>
        <v>8</v>
      </c>
    </row>
    <row r="923" spans="1:63" ht="27" customHeight="1">
      <c r="A923" s="238">
        <f t="shared" si="165"/>
        <v>921</v>
      </c>
      <c r="B923" s="239"/>
      <c r="C923" s="266">
        <v>3769</v>
      </c>
      <c r="D923" s="241" t="s">
        <v>5298</v>
      </c>
      <c r="E923" s="302" t="s">
        <v>5299</v>
      </c>
      <c r="F923" s="268" t="s">
        <v>5300</v>
      </c>
      <c r="G923" s="269" t="s">
        <v>5301</v>
      </c>
      <c r="H923" s="245" t="s">
        <v>1287</v>
      </c>
      <c r="I923" s="246" t="s">
        <v>5302</v>
      </c>
      <c r="J923" s="270" t="s">
        <v>178</v>
      </c>
      <c r="K923" s="271">
        <v>30170</v>
      </c>
      <c r="L923" s="249" t="s">
        <v>179</v>
      </c>
      <c r="M923" s="272">
        <v>43764</v>
      </c>
      <c r="N923" s="272"/>
      <c r="O923" s="240"/>
      <c r="P923" s="238" t="s">
        <v>3940</v>
      </c>
      <c r="Q923" s="238" t="s">
        <v>249</v>
      </c>
      <c r="R923" s="240" t="s">
        <v>182</v>
      </c>
      <c r="S923" s="240" t="s">
        <v>256</v>
      </c>
      <c r="T923" s="251"/>
      <c r="U923" s="273"/>
      <c r="V923" s="274" t="s">
        <v>184</v>
      </c>
      <c r="W923" s="274" t="s">
        <v>184</v>
      </c>
      <c r="X923" s="275">
        <v>5</v>
      </c>
      <c r="Y923" s="267" t="s">
        <v>5303</v>
      </c>
      <c r="Z923" s="305"/>
      <c r="AA923" s="277"/>
      <c r="AB923" s="277" t="s">
        <v>186</v>
      </c>
      <c r="AC923" s="296"/>
      <c r="AD923" s="296"/>
      <c r="AE923" s="296"/>
      <c r="AF923" s="296"/>
      <c r="AG923" s="296"/>
      <c r="AH923" s="296"/>
      <c r="AI923" s="296"/>
      <c r="AJ923" s="260" t="s">
        <v>190</v>
      </c>
      <c r="AK923" s="260" t="s">
        <v>190</v>
      </c>
      <c r="AL923" s="260" t="s">
        <v>190</v>
      </c>
      <c r="AM923" s="289" t="s">
        <v>3659</v>
      </c>
      <c r="AN923" s="22">
        <v>182</v>
      </c>
      <c r="AO923" s="22">
        <v>0</v>
      </c>
      <c r="AP923" s="22">
        <v>20</v>
      </c>
      <c r="AQ923" s="22">
        <v>20</v>
      </c>
      <c r="AR923" s="22">
        <v>0</v>
      </c>
      <c r="AS923" s="22">
        <v>7</v>
      </c>
      <c r="AT923" s="22">
        <v>10</v>
      </c>
      <c r="AU923" s="316">
        <f t="shared" si="155"/>
        <v>239</v>
      </c>
      <c r="AV923" s="22">
        <v>190</v>
      </c>
      <c r="AW923" s="22">
        <v>0</v>
      </c>
      <c r="AX923" s="22">
        <v>20</v>
      </c>
      <c r="AY923" s="22">
        <v>20</v>
      </c>
      <c r="AZ923" s="22">
        <v>0</v>
      </c>
      <c r="BA923" s="22">
        <v>7</v>
      </c>
      <c r="BB923" s="22">
        <v>10</v>
      </c>
      <c r="BC923" s="316">
        <f t="shared" si="156"/>
        <v>247</v>
      </c>
      <c r="BD923" s="58">
        <f t="shared" si="157"/>
        <v>8</v>
      </c>
      <c r="BE923" s="58">
        <f t="shared" si="158"/>
        <v>0</v>
      </c>
      <c r="BF923" s="58">
        <f t="shared" si="159"/>
        <v>0</v>
      </c>
      <c r="BG923" s="58">
        <f t="shared" si="160"/>
        <v>0</v>
      </c>
      <c r="BH923" s="58">
        <f t="shared" si="161"/>
        <v>0</v>
      </c>
      <c r="BI923" s="58">
        <f t="shared" si="162"/>
        <v>0</v>
      </c>
      <c r="BJ923" s="58">
        <f t="shared" si="163"/>
        <v>0</v>
      </c>
      <c r="BK923" s="58">
        <f t="shared" si="164"/>
        <v>8</v>
      </c>
    </row>
    <row r="924" spans="1:63" ht="27" customHeight="1">
      <c r="A924" s="238">
        <f t="shared" si="165"/>
        <v>922</v>
      </c>
      <c r="B924" s="239"/>
      <c r="C924" s="266">
        <v>3249</v>
      </c>
      <c r="D924" s="241" t="s">
        <v>5304</v>
      </c>
      <c r="E924" s="302" t="s">
        <v>5305</v>
      </c>
      <c r="F924" s="268" t="s">
        <v>5306</v>
      </c>
      <c r="G924" s="269" t="s">
        <v>925</v>
      </c>
      <c r="H924" s="245" t="s">
        <v>5307</v>
      </c>
      <c r="I924" s="246" t="s">
        <v>1648</v>
      </c>
      <c r="J924" s="270" t="s">
        <v>209</v>
      </c>
      <c r="K924" s="271">
        <v>33331</v>
      </c>
      <c r="L924" s="249" t="s">
        <v>179</v>
      </c>
      <c r="M924" s="272">
        <v>43745</v>
      </c>
      <c r="N924" s="272"/>
      <c r="O924" s="240" t="s">
        <v>3965</v>
      </c>
      <c r="P924" s="238" t="s">
        <v>3785</v>
      </c>
      <c r="Q924" s="238" t="s">
        <v>249</v>
      </c>
      <c r="R924" s="240" t="s">
        <v>182</v>
      </c>
      <c r="S924" s="240" t="s">
        <v>219</v>
      </c>
      <c r="T924" s="251"/>
      <c r="U924" s="273"/>
      <c r="V924" s="274" t="s">
        <v>184</v>
      </c>
      <c r="W924" s="274" t="s">
        <v>184</v>
      </c>
      <c r="X924" s="275">
        <v>10</v>
      </c>
      <c r="Y924" s="267"/>
      <c r="Z924" s="305"/>
      <c r="AA924" s="277" t="s">
        <v>186</v>
      </c>
      <c r="AB924" s="260"/>
      <c r="AC924" s="296" t="s">
        <v>187</v>
      </c>
      <c r="AD924" s="296"/>
      <c r="AE924" s="296"/>
      <c r="AF924" s="296"/>
      <c r="AG924" s="296"/>
      <c r="AH924" s="296"/>
      <c r="AI924" s="296"/>
      <c r="AJ924" s="260" t="s">
        <v>203</v>
      </c>
      <c r="AK924" s="260" t="s">
        <v>190</v>
      </c>
      <c r="AL924" s="260" t="s">
        <v>190</v>
      </c>
      <c r="AM924" s="260" t="s">
        <v>3859</v>
      </c>
      <c r="AN924" s="22">
        <v>182</v>
      </c>
      <c r="AO924" s="22">
        <v>0</v>
      </c>
      <c r="AP924" s="22">
        <v>20</v>
      </c>
      <c r="AQ924" s="22">
        <v>10</v>
      </c>
      <c r="AR924" s="22">
        <v>0</v>
      </c>
      <c r="AS924" s="22">
        <v>7</v>
      </c>
      <c r="AT924" s="22">
        <v>10</v>
      </c>
      <c r="AU924" s="316">
        <f t="shared" si="155"/>
        <v>229</v>
      </c>
      <c r="AV924" s="22">
        <v>190</v>
      </c>
      <c r="AW924" s="22">
        <v>0</v>
      </c>
      <c r="AX924" s="22">
        <v>20</v>
      </c>
      <c r="AY924" s="22">
        <v>10</v>
      </c>
      <c r="AZ924" s="22">
        <v>0</v>
      </c>
      <c r="BA924" s="22">
        <v>7</v>
      </c>
      <c r="BB924" s="22">
        <v>10</v>
      </c>
      <c r="BC924" s="316">
        <f t="shared" si="156"/>
        <v>237</v>
      </c>
      <c r="BD924" s="58">
        <f t="shared" si="157"/>
        <v>8</v>
      </c>
      <c r="BE924" s="58">
        <f t="shared" si="158"/>
        <v>0</v>
      </c>
      <c r="BF924" s="58">
        <f t="shared" si="159"/>
        <v>0</v>
      </c>
      <c r="BG924" s="58">
        <f t="shared" si="160"/>
        <v>0</v>
      </c>
      <c r="BH924" s="58">
        <f t="shared" si="161"/>
        <v>0</v>
      </c>
      <c r="BI924" s="58">
        <f t="shared" si="162"/>
        <v>0</v>
      </c>
      <c r="BJ924" s="58">
        <f t="shared" si="163"/>
        <v>0</v>
      </c>
      <c r="BK924" s="58">
        <f t="shared" si="164"/>
        <v>8</v>
      </c>
    </row>
    <row r="925" spans="1:63" ht="27" customHeight="1">
      <c r="A925" s="238">
        <f t="shared" si="165"/>
        <v>923</v>
      </c>
      <c r="B925" s="239"/>
      <c r="C925" s="266">
        <v>3540</v>
      </c>
      <c r="D925" s="241" t="s">
        <v>5308</v>
      </c>
      <c r="E925" s="302" t="s">
        <v>5309</v>
      </c>
      <c r="F925" s="268" t="s">
        <v>1154</v>
      </c>
      <c r="G925" s="269" t="s">
        <v>2176</v>
      </c>
      <c r="H925" s="245" t="s">
        <v>1156</v>
      </c>
      <c r="I925" s="246" t="s">
        <v>1373</v>
      </c>
      <c r="J925" s="270" t="s">
        <v>178</v>
      </c>
      <c r="K925" s="271">
        <v>33425</v>
      </c>
      <c r="L925" s="249" t="s">
        <v>179</v>
      </c>
      <c r="M925" s="272">
        <v>43747</v>
      </c>
      <c r="N925" s="272"/>
      <c r="O925" s="240" t="s">
        <v>3999</v>
      </c>
      <c r="P925" s="238" t="s">
        <v>3649</v>
      </c>
      <c r="Q925" s="238" t="s">
        <v>249</v>
      </c>
      <c r="R925" s="240" t="s">
        <v>182</v>
      </c>
      <c r="S925" s="240" t="s">
        <v>228</v>
      </c>
      <c r="T925" s="251"/>
      <c r="U925" s="273"/>
      <c r="V925" s="274" t="s">
        <v>184</v>
      </c>
      <c r="W925" s="274" t="s">
        <v>184</v>
      </c>
      <c r="X925" s="275">
        <v>7</v>
      </c>
      <c r="Y925" s="267" t="s">
        <v>5310</v>
      </c>
      <c r="Z925" s="277" t="s">
        <v>186</v>
      </c>
      <c r="AA925" s="305"/>
      <c r="AB925" s="260"/>
      <c r="AC925" s="296"/>
      <c r="AD925" s="296"/>
      <c r="AE925" s="296"/>
      <c r="AF925" s="296"/>
      <c r="AG925" s="296"/>
      <c r="AH925" s="296"/>
      <c r="AI925" s="296"/>
      <c r="AJ925" s="260" t="s">
        <v>190</v>
      </c>
      <c r="AK925" s="260" t="s">
        <v>190</v>
      </c>
      <c r="AL925" s="260" t="s">
        <v>190</v>
      </c>
      <c r="AM925" s="260" t="s">
        <v>3859</v>
      </c>
      <c r="AN925" s="22">
        <v>182</v>
      </c>
      <c r="AO925" s="22">
        <v>0</v>
      </c>
      <c r="AP925" s="22">
        <v>20</v>
      </c>
      <c r="AQ925" s="22">
        <v>0</v>
      </c>
      <c r="AR925" s="22">
        <v>0</v>
      </c>
      <c r="AS925" s="22">
        <v>7</v>
      </c>
      <c r="AT925" s="22">
        <v>10</v>
      </c>
      <c r="AU925" s="316">
        <f t="shared" si="155"/>
        <v>219</v>
      </c>
      <c r="AV925" s="22">
        <v>190</v>
      </c>
      <c r="AW925" s="22">
        <v>0</v>
      </c>
      <c r="AX925" s="22">
        <v>20</v>
      </c>
      <c r="AY925" s="22">
        <v>0</v>
      </c>
      <c r="AZ925" s="22">
        <v>0</v>
      </c>
      <c r="BA925" s="22">
        <v>7</v>
      </c>
      <c r="BB925" s="22">
        <v>10</v>
      </c>
      <c r="BC925" s="316">
        <f t="shared" si="156"/>
        <v>227</v>
      </c>
      <c r="BD925" s="58">
        <f t="shared" si="157"/>
        <v>8</v>
      </c>
      <c r="BE925" s="58">
        <f t="shared" si="158"/>
        <v>0</v>
      </c>
      <c r="BF925" s="58">
        <f t="shared" si="159"/>
        <v>0</v>
      </c>
      <c r="BG925" s="58">
        <f t="shared" si="160"/>
        <v>0</v>
      </c>
      <c r="BH925" s="58">
        <f t="shared" si="161"/>
        <v>0</v>
      </c>
      <c r="BI925" s="58">
        <f t="shared" si="162"/>
        <v>0</v>
      </c>
      <c r="BJ925" s="58">
        <f t="shared" si="163"/>
        <v>0</v>
      </c>
      <c r="BK925" s="58">
        <f t="shared" si="164"/>
        <v>8</v>
      </c>
    </row>
    <row r="926" spans="1:63" ht="27" customHeight="1">
      <c r="A926" s="238">
        <f t="shared" si="165"/>
        <v>924</v>
      </c>
      <c r="B926" s="239"/>
      <c r="C926" s="266">
        <v>3285</v>
      </c>
      <c r="D926" s="241">
        <v>0</v>
      </c>
      <c r="E926" s="302" t="s">
        <v>296</v>
      </c>
      <c r="F926" s="268" t="s">
        <v>976</v>
      </c>
      <c r="G926" s="269" t="s">
        <v>5311</v>
      </c>
      <c r="H926" s="245">
        <v>0</v>
      </c>
      <c r="I926" s="246">
        <v>0</v>
      </c>
      <c r="J926" s="270" t="s">
        <v>209</v>
      </c>
      <c r="K926" s="271">
        <v>36224</v>
      </c>
      <c r="L926" s="249" t="s">
        <v>179</v>
      </c>
      <c r="M926" s="272">
        <v>43741</v>
      </c>
      <c r="N926" s="272"/>
      <c r="O926" s="240" t="s">
        <v>4004</v>
      </c>
      <c r="P926" s="238" t="s">
        <v>3833</v>
      </c>
      <c r="Q926" s="238" t="s">
        <v>249</v>
      </c>
      <c r="R926" s="240" t="s">
        <v>182</v>
      </c>
      <c r="S926" s="240" t="s">
        <v>5312</v>
      </c>
      <c r="T926" s="251"/>
      <c r="U926" s="273"/>
      <c r="V926" s="274" t="s">
        <v>184</v>
      </c>
      <c r="W926" s="274" t="s">
        <v>184</v>
      </c>
      <c r="X926" s="275">
        <v>9</v>
      </c>
      <c r="Y926" s="267" t="s">
        <v>5313</v>
      </c>
      <c r="Z926" s="277" t="s">
        <v>186</v>
      </c>
      <c r="AA926" s="305"/>
      <c r="AB926" s="260"/>
      <c r="AC926" s="296"/>
      <c r="AD926" s="296"/>
      <c r="AE926" s="296"/>
      <c r="AF926" s="296"/>
      <c r="AG926" s="296"/>
      <c r="AH926" s="296"/>
      <c r="AI926" s="296"/>
      <c r="AJ926" s="260" t="s">
        <v>190</v>
      </c>
      <c r="AK926" s="260" t="s">
        <v>190</v>
      </c>
      <c r="AL926" s="260" t="s">
        <v>190</v>
      </c>
      <c r="AM926" s="289" t="s">
        <v>3967</v>
      </c>
      <c r="AN926" s="22">
        <v>182</v>
      </c>
      <c r="AO926" s="22">
        <v>0</v>
      </c>
      <c r="AP926" s="22">
        <v>0</v>
      </c>
      <c r="AQ926" s="22">
        <v>0</v>
      </c>
      <c r="AR926" s="22">
        <v>0</v>
      </c>
      <c r="AS926" s="22">
        <v>7</v>
      </c>
      <c r="AT926" s="22">
        <v>10</v>
      </c>
      <c r="AU926" s="316">
        <f t="shared" si="155"/>
        <v>199</v>
      </c>
      <c r="AV926" s="22">
        <v>190</v>
      </c>
      <c r="AW926" s="22">
        <v>0</v>
      </c>
      <c r="AX926" s="22">
        <v>0</v>
      </c>
      <c r="AY926" s="22">
        <v>0</v>
      </c>
      <c r="AZ926" s="22">
        <v>0</v>
      </c>
      <c r="BA926" s="22">
        <v>7</v>
      </c>
      <c r="BB926" s="22">
        <v>10</v>
      </c>
      <c r="BC926" s="316">
        <f t="shared" si="156"/>
        <v>207</v>
      </c>
      <c r="BD926" s="58">
        <f t="shared" si="157"/>
        <v>8</v>
      </c>
      <c r="BE926" s="58">
        <f t="shared" si="158"/>
        <v>0</v>
      </c>
      <c r="BF926" s="58">
        <f t="shared" si="159"/>
        <v>0</v>
      </c>
      <c r="BG926" s="58">
        <f t="shared" si="160"/>
        <v>0</v>
      </c>
      <c r="BH926" s="58">
        <f t="shared" si="161"/>
        <v>0</v>
      </c>
      <c r="BI926" s="58">
        <f t="shared" si="162"/>
        <v>0</v>
      </c>
      <c r="BJ926" s="58">
        <f t="shared" si="163"/>
        <v>0</v>
      </c>
      <c r="BK926" s="58">
        <f t="shared" si="164"/>
        <v>8</v>
      </c>
    </row>
    <row r="927" spans="1:63" ht="27" customHeight="1">
      <c r="A927" s="238">
        <f t="shared" si="165"/>
        <v>925</v>
      </c>
      <c r="B927" s="239"/>
      <c r="C927" s="266">
        <v>3231</v>
      </c>
      <c r="D927" s="241" t="s">
        <v>5314</v>
      </c>
      <c r="E927" s="302" t="s">
        <v>5315</v>
      </c>
      <c r="F927" s="268" t="s">
        <v>1603</v>
      </c>
      <c r="G927" s="269" t="s">
        <v>1641</v>
      </c>
      <c r="H927" s="245" t="s">
        <v>1605</v>
      </c>
      <c r="I927" s="246" t="s">
        <v>5316</v>
      </c>
      <c r="J927" s="270" t="s">
        <v>178</v>
      </c>
      <c r="K927" s="271">
        <v>35682</v>
      </c>
      <c r="L927" s="249" t="s">
        <v>179</v>
      </c>
      <c r="M927" s="272">
        <v>43745</v>
      </c>
      <c r="N927" s="272"/>
      <c r="O927" s="240" t="s">
        <v>3978</v>
      </c>
      <c r="P927" s="238" t="s">
        <v>3754</v>
      </c>
      <c r="Q927" s="238" t="s">
        <v>249</v>
      </c>
      <c r="R927" s="240" t="s">
        <v>182</v>
      </c>
      <c r="S927" s="240" t="s">
        <v>256</v>
      </c>
      <c r="T927" s="251"/>
      <c r="U927" s="273"/>
      <c r="V927" s="274" t="s">
        <v>184</v>
      </c>
      <c r="W927" s="274" t="s">
        <v>184</v>
      </c>
      <c r="X927" s="275">
        <v>3</v>
      </c>
      <c r="Y927" s="267" t="s">
        <v>5317</v>
      </c>
      <c r="Z927" s="277" t="s">
        <v>186</v>
      </c>
      <c r="AA927" s="305"/>
      <c r="AB927" s="260"/>
      <c r="AC927" s="296"/>
      <c r="AD927" s="296"/>
      <c r="AE927" s="296"/>
      <c r="AF927" s="296"/>
      <c r="AG927" s="296"/>
      <c r="AH927" s="296"/>
      <c r="AI927" s="296"/>
      <c r="AJ927" s="260" t="s">
        <v>203</v>
      </c>
      <c r="AK927" s="260" t="s">
        <v>190</v>
      </c>
      <c r="AL927" s="260" t="s">
        <v>190</v>
      </c>
      <c r="AM927" s="260" t="s">
        <v>204</v>
      </c>
      <c r="AN927" s="22">
        <v>182</v>
      </c>
      <c r="AO927" s="22">
        <v>0</v>
      </c>
      <c r="AP927" s="22">
        <v>20</v>
      </c>
      <c r="AQ927" s="22">
        <v>10</v>
      </c>
      <c r="AR927" s="22">
        <v>0</v>
      </c>
      <c r="AS927" s="22">
        <v>7</v>
      </c>
      <c r="AT927" s="22">
        <v>10</v>
      </c>
      <c r="AU927" s="316">
        <f t="shared" si="155"/>
        <v>229</v>
      </c>
      <c r="AV927" s="22">
        <v>190</v>
      </c>
      <c r="AW927" s="22">
        <v>0</v>
      </c>
      <c r="AX927" s="22">
        <v>20</v>
      </c>
      <c r="AY927" s="22">
        <v>10</v>
      </c>
      <c r="AZ927" s="22">
        <v>0</v>
      </c>
      <c r="BA927" s="22">
        <v>7</v>
      </c>
      <c r="BB927" s="22">
        <v>10</v>
      </c>
      <c r="BC927" s="316">
        <f t="shared" si="156"/>
        <v>237</v>
      </c>
      <c r="BD927" s="58">
        <f t="shared" si="157"/>
        <v>8</v>
      </c>
      <c r="BE927" s="58">
        <f t="shared" si="158"/>
        <v>0</v>
      </c>
      <c r="BF927" s="58">
        <f t="shared" si="159"/>
        <v>0</v>
      </c>
      <c r="BG927" s="58">
        <f t="shared" si="160"/>
        <v>0</v>
      </c>
      <c r="BH927" s="58">
        <f t="shared" si="161"/>
        <v>0</v>
      </c>
      <c r="BI927" s="58">
        <f t="shared" si="162"/>
        <v>0</v>
      </c>
      <c r="BJ927" s="58">
        <f t="shared" si="163"/>
        <v>0</v>
      </c>
      <c r="BK927" s="58">
        <f t="shared" si="164"/>
        <v>8</v>
      </c>
    </row>
    <row r="928" spans="1:63" ht="27" customHeight="1">
      <c r="A928" s="238">
        <f t="shared" si="165"/>
        <v>926</v>
      </c>
      <c r="B928" s="239"/>
      <c r="C928" s="266">
        <v>3612</v>
      </c>
      <c r="D928" s="241" t="s">
        <v>5318</v>
      </c>
      <c r="E928" s="302" t="s">
        <v>5319</v>
      </c>
      <c r="F928" s="268" t="s">
        <v>5320</v>
      </c>
      <c r="G928" s="269" t="s">
        <v>3079</v>
      </c>
      <c r="H928" s="245" t="s">
        <v>5321</v>
      </c>
      <c r="I928" s="246" t="s">
        <v>5322</v>
      </c>
      <c r="J928" s="270" t="s">
        <v>178</v>
      </c>
      <c r="K928" s="271">
        <v>31833</v>
      </c>
      <c r="L928" s="249" t="s">
        <v>179</v>
      </c>
      <c r="M928" s="272">
        <v>43749</v>
      </c>
      <c r="N928" s="272"/>
      <c r="O928" s="240"/>
      <c r="P928" s="238" t="s">
        <v>3754</v>
      </c>
      <c r="Q928" s="238" t="s">
        <v>249</v>
      </c>
      <c r="R928" s="240" t="s">
        <v>182</v>
      </c>
      <c r="S928" s="240" t="s">
        <v>727</v>
      </c>
      <c r="T928" s="251"/>
      <c r="U928" s="273"/>
      <c r="V928" s="274" t="s">
        <v>184</v>
      </c>
      <c r="W928" s="274" t="s">
        <v>184</v>
      </c>
      <c r="X928" s="275">
        <v>9</v>
      </c>
      <c r="Y928" s="267" t="s">
        <v>5323</v>
      </c>
      <c r="Z928" s="305"/>
      <c r="AA928" s="277" t="s">
        <v>186</v>
      </c>
      <c r="AB928" s="260"/>
      <c r="AC928" s="296"/>
      <c r="AD928" s="296"/>
      <c r="AE928" s="296"/>
      <c r="AF928" s="296"/>
      <c r="AG928" s="296"/>
      <c r="AH928" s="296"/>
      <c r="AI928" s="296"/>
      <c r="AJ928" s="260" t="s">
        <v>190</v>
      </c>
      <c r="AK928" s="260" t="s">
        <v>190</v>
      </c>
      <c r="AL928" s="260" t="s">
        <v>190</v>
      </c>
      <c r="AM928" s="260" t="s">
        <v>241</v>
      </c>
      <c r="AN928" s="22">
        <v>182</v>
      </c>
      <c r="AO928" s="22">
        <v>0</v>
      </c>
      <c r="AP928" s="22">
        <v>20</v>
      </c>
      <c r="AQ928" s="22">
        <v>20</v>
      </c>
      <c r="AR928" s="22">
        <v>0</v>
      </c>
      <c r="AS928" s="22">
        <v>7</v>
      </c>
      <c r="AT928" s="22">
        <v>10</v>
      </c>
      <c r="AU928" s="316">
        <f t="shared" si="155"/>
        <v>239</v>
      </c>
      <c r="AV928" s="22">
        <v>190</v>
      </c>
      <c r="AW928" s="22">
        <v>0</v>
      </c>
      <c r="AX928" s="22">
        <v>20</v>
      </c>
      <c r="AY928" s="22">
        <v>20</v>
      </c>
      <c r="AZ928" s="22">
        <v>0</v>
      </c>
      <c r="BA928" s="22">
        <v>7</v>
      </c>
      <c r="BB928" s="22">
        <v>10</v>
      </c>
      <c r="BC928" s="316">
        <f t="shared" si="156"/>
        <v>247</v>
      </c>
      <c r="BD928" s="58">
        <f t="shared" si="157"/>
        <v>8</v>
      </c>
      <c r="BE928" s="58">
        <f t="shared" si="158"/>
        <v>0</v>
      </c>
      <c r="BF928" s="58">
        <f t="shared" si="159"/>
        <v>0</v>
      </c>
      <c r="BG928" s="58">
        <f t="shared" si="160"/>
        <v>0</v>
      </c>
      <c r="BH928" s="58">
        <f t="shared" si="161"/>
        <v>0</v>
      </c>
      <c r="BI928" s="58">
        <f t="shared" si="162"/>
        <v>0</v>
      </c>
      <c r="BJ928" s="58">
        <f t="shared" si="163"/>
        <v>0</v>
      </c>
      <c r="BK928" s="58">
        <f t="shared" si="164"/>
        <v>8</v>
      </c>
    </row>
    <row r="929" spans="1:63" ht="27" customHeight="1">
      <c r="A929" s="238">
        <f t="shared" si="165"/>
        <v>927</v>
      </c>
      <c r="B929" s="239"/>
      <c r="C929" s="266">
        <v>3263</v>
      </c>
      <c r="D929" s="241" t="s">
        <v>5324</v>
      </c>
      <c r="E929" s="302" t="s">
        <v>5325</v>
      </c>
      <c r="F929" s="268" t="s">
        <v>5326</v>
      </c>
      <c r="G929" s="269" t="s">
        <v>5327</v>
      </c>
      <c r="H929" s="245" t="s">
        <v>5328</v>
      </c>
      <c r="I929" s="246" t="s">
        <v>5329</v>
      </c>
      <c r="J929" s="270" t="s">
        <v>178</v>
      </c>
      <c r="K929" s="271">
        <v>32800</v>
      </c>
      <c r="L929" s="249" t="s">
        <v>179</v>
      </c>
      <c r="M929" s="272">
        <v>43746</v>
      </c>
      <c r="N929" s="272"/>
      <c r="O929" s="240" t="s">
        <v>4181</v>
      </c>
      <c r="P929" s="238" t="s">
        <v>282</v>
      </c>
      <c r="Q929" s="238" t="s">
        <v>249</v>
      </c>
      <c r="R929" s="240" t="s">
        <v>182</v>
      </c>
      <c r="S929" s="240" t="s">
        <v>256</v>
      </c>
      <c r="T929" s="251"/>
      <c r="U929" s="273"/>
      <c r="V929" s="274" t="s">
        <v>184</v>
      </c>
      <c r="W929" s="274" t="s">
        <v>184</v>
      </c>
      <c r="X929" s="275"/>
      <c r="Y929" s="267" t="s">
        <v>5330</v>
      </c>
      <c r="Z929" s="305"/>
      <c r="AA929" s="305"/>
      <c r="AB929" s="277" t="s">
        <v>186</v>
      </c>
      <c r="AC929" s="296"/>
      <c r="AD929" s="296"/>
      <c r="AE929" s="296"/>
      <c r="AF929" s="296"/>
      <c r="AG929" s="296"/>
      <c r="AH929" s="296"/>
      <c r="AI929" s="296"/>
      <c r="AJ929" s="260" t="s">
        <v>203</v>
      </c>
      <c r="AK929" s="260" t="s">
        <v>190</v>
      </c>
      <c r="AL929" s="260" t="s">
        <v>190</v>
      </c>
      <c r="AM929" s="260" t="s">
        <v>204</v>
      </c>
      <c r="AN929" s="22">
        <v>182</v>
      </c>
      <c r="AO929" s="22">
        <v>0</v>
      </c>
      <c r="AP929" s="22">
        <v>20</v>
      </c>
      <c r="AQ929" s="22">
        <v>10</v>
      </c>
      <c r="AR929" s="22">
        <v>0</v>
      </c>
      <c r="AS929" s="22">
        <v>7</v>
      </c>
      <c r="AT929" s="22">
        <v>10</v>
      </c>
      <c r="AU929" s="316">
        <f t="shared" si="155"/>
        <v>229</v>
      </c>
      <c r="AV929" s="22">
        <v>190</v>
      </c>
      <c r="AW929" s="22">
        <v>0</v>
      </c>
      <c r="AX929" s="22">
        <v>20</v>
      </c>
      <c r="AY929" s="22">
        <v>10</v>
      </c>
      <c r="AZ929" s="22">
        <v>0</v>
      </c>
      <c r="BA929" s="22">
        <v>7</v>
      </c>
      <c r="BB929" s="22">
        <v>10</v>
      </c>
      <c r="BC929" s="316">
        <f t="shared" si="156"/>
        <v>237</v>
      </c>
      <c r="BD929" s="58">
        <f t="shared" si="157"/>
        <v>8</v>
      </c>
      <c r="BE929" s="58">
        <f t="shared" si="158"/>
        <v>0</v>
      </c>
      <c r="BF929" s="58">
        <f t="shared" si="159"/>
        <v>0</v>
      </c>
      <c r="BG929" s="58">
        <f t="shared" si="160"/>
        <v>0</v>
      </c>
      <c r="BH929" s="58">
        <f t="shared" si="161"/>
        <v>0</v>
      </c>
      <c r="BI929" s="58">
        <f t="shared" si="162"/>
        <v>0</v>
      </c>
      <c r="BJ929" s="58">
        <f t="shared" si="163"/>
        <v>0</v>
      </c>
      <c r="BK929" s="58">
        <f t="shared" si="164"/>
        <v>8</v>
      </c>
    </row>
    <row r="930" spans="1:63" ht="27" customHeight="1">
      <c r="A930" s="238">
        <f t="shared" si="165"/>
        <v>928</v>
      </c>
      <c r="B930" s="239"/>
      <c r="C930" s="239">
        <v>3403</v>
      </c>
      <c r="D930" s="241" t="s">
        <v>5331</v>
      </c>
      <c r="E930" s="242" t="s">
        <v>5332</v>
      </c>
      <c r="F930" s="243" t="s">
        <v>5333</v>
      </c>
      <c r="G930" s="244" t="s">
        <v>5334</v>
      </c>
      <c r="H930" s="245" t="s">
        <v>3345</v>
      </c>
      <c r="I930" s="246" t="s">
        <v>5335</v>
      </c>
      <c r="J930" s="247" t="s">
        <v>209</v>
      </c>
      <c r="K930" s="248">
        <v>30601</v>
      </c>
      <c r="L930" s="249" t="s">
        <v>179</v>
      </c>
      <c r="M930" s="250">
        <v>43760</v>
      </c>
      <c r="N930" s="250"/>
      <c r="O930" s="250" t="s">
        <v>5336</v>
      </c>
      <c r="P930" s="238"/>
      <c r="Q930" s="238" t="s">
        <v>181</v>
      </c>
      <c r="R930" s="240" t="s">
        <v>182</v>
      </c>
      <c r="S930" s="238" t="s">
        <v>2598</v>
      </c>
      <c r="T930" s="251"/>
      <c r="U930" s="251"/>
      <c r="V930" s="252" t="s">
        <v>184</v>
      </c>
      <c r="W930" s="252" t="s">
        <v>200</v>
      </c>
      <c r="X930" s="252">
        <v>3</v>
      </c>
      <c r="Y930" s="253" t="s">
        <v>5337</v>
      </c>
      <c r="Z930" s="254"/>
      <c r="AA930" s="277" t="s">
        <v>186</v>
      </c>
      <c r="AB930" s="252"/>
      <c r="AC930" s="255"/>
      <c r="AD930" s="256" t="s">
        <v>188</v>
      </c>
      <c r="AE930" s="256"/>
      <c r="AF930" s="257"/>
      <c r="AG930" s="258"/>
      <c r="AH930" s="259"/>
      <c r="AI930" s="259"/>
      <c r="AJ930" s="260" t="s">
        <v>203</v>
      </c>
      <c r="AK930" s="260" t="s">
        <v>190</v>
      </c>
      <c r="AL930" s="260" t="s">
        <v>190</v>
      </c>
      <c r="AM930" s="260" t="s">
        <v>204</v>
      </c>
      <c r="AN930" s="22">
        <v>182</v>
      </c>
      <c r="AO930" s="22">
        <v>0</v>
      </c>
      <c r="AP930" s="22">
        <v>0</v>
      </c>
      <c r="AQ930" s="22">
        <v>0</v>
      </c>
      <c r="AR930" s="22">
        <v>0</v>
      </c>
      <c r="AS930" s="22">
        <v>7</v>
      </c>
      <c r="AT930" s="22">
        <v>10</v>
      </c>
      <c r="AU930" s="316">
        <f t="shared" si="155"/>
        <v>199</v>
      </c>
      <c r="AV930" s="22">
        <v>190</v>
      </c>
      <c r="AW930" s="22">
        <v>0</v>
      </c>
      <c r="AX930" s="22">
        <v>0</v>
      </c>
      <c r="AY930" s="22">
        <v>0</v>
      </c>
      <c r="AZ930" s="22">
        <v>0</v>
      </c>
      <c r="BA930" s="22">
        <v>7</v>
      </c>
      <c r="BB930" s="22">
        <v>10</v>
      </c>
      <c r="BC930" s="316">
        <f t="shared" si="156"/>
        <v>207</v>
      </c>
      <c r="BD930" s="58">
        <f t="shared" si="157"/>
        <v>8</v>
      </c>
      <c r="BE930" s="58">
        <f t="shared" si="158"/>
        <v>0</v>
      </c>
      <c r="BF930" s="58">
        <f t="shared" si="159"/>
        <v>0</v>
      </c>
      <c r="BG930" s="58">
        <f t="shared" si="160"/>
        <v>0</v>
      </c>
      <c r="BH930" s="58">
        <f t="shared" si="161"/>
        <v>0</v>
      </c>
      <c r="BI930" s="58">
        <f t="shared" si="162"/>
        <v>0</v>
      </c>
      <c r="BJ930" s="58">
        <f t="shared" si="163"/>
        <v>0</v>
      </c>
      <c r="BK930" s="58">
        <f t="shared" si="164"/>
        <v>8</v>
      </c>
    </row>
    <row r="931" spans="1:63" ht="27" customHeight="1">
      <c r="A931" s="238">
        <f t="shared" si="165"/>
        <v>929</v>
      </c>
      <c r="B931" s="239"/>
      <c r="C931" s="239">
        <v>3791</v>
      </c>
      <c r="D931" s="241" t="s">
        <v>5338</v>
      </c>
      <c r="E931" s="242" t="s">
        <v>5339</v>
      </c>
      <c r="F931" s="243" t="s">
        <v>732</v>
      </c>
      <c r="G931" s="244" t="s">
        <v>1641</v>
      </c>
      <c r="H931" s="245" t="s">
        <v>734</v>
      </c>
      <c r="I931" s="246" t="s">
        <v>1149</v>
      </c>
      <c r="J931" s="247" t="s">
        <v>178</v>
      </c>
      <c r="K931" s="248">
        <v>33679</v>
      </c>
      <c r="L931" s="249" t="s">
        <v>179</v>
      </c>
      <c r="M931" s="250">
        <v>43770</v>
      </c>
      <c r="N931" s="250"/>
      <c r="O931" s="250"/>
      <c r="P931" s="238" t="s">
        <v>3833</v>
      </c>
      <c r="Q931" s="238" t="s">
        <v>249</v>
      </c>
      <c r="R931" s="238" t="s">
        <v>182</v>
      </c>
      <c r="S931" s="238" t="s">
        <v>228</v>
      </c>
      <c r="T931" s="251"/>
      <c r="U931" s="251"/>
      <c r="V931" s="274" t="s">
        <v>184</v>
      </c>
      <c r="W931" s="274" t="s">
        <v>184</v>
      </c>
      <c r="X931" s="252">
        <v>7</v>
      </c>
      <c r="Y931" s="253" t="s">
        <v>5340</v>
      </c>
      <c r="Z931" s="254"/>
      <c r="AA931" s="277" t="s">
        <v>186</v>
      </c>
      <c r="AB931" s="252"/>
      <c r="AC931" s="255" t="s">
        <v>5341</v>
      </c>
      <c r="AD931" s="256" t="s">
        <v>188</v>
      </c>
      <c r="AE931" s="256"/>
      <c r="AF931" s="257"/>
      <c r="AG931" s="258"/>
      <c r="AH931" s="259"/>
      <c r="AI931" s="259"/>
      <c r="AJ931" s="274" t="s">
        <v>203</v>
      </c>
      <c r="AK931" s="274" t="s">
        <v>190</v>
      </c>
      <c r="AL931" s="274" t="s">
        <v>190</v>
      </c>
      <c r="AM931" s="260" t="s">
        <v>3859</v>
      </c>
      <c r="AN931" s="22">
        <v>182</v>
      </c>
      <c r="AO931" s="22">
        <v>0</v>
      </c>
      <c r="AP931" s="22">
        <v>20</v>
      </c>
      <c r="AQ931" s="22">
        <v>0</v>
      </c>
      <c r="AR931" s="22">
        <v>0</v>
      </c>
      <c r="AS931" s="22">
        <v>7</v>
      </c>
      <c r="AT931" s="22">
        <v>10</v>
      </c>
      <c r="AU931" s="316">
        <f t="shared" si="155"/>
        <v>219</v>
      </c>
      <c r="AV931" s="22">
        <v>190</v>
      </c>
      <c r="AW931" s="22">
        <v>0</v>
      </c>
      <c r="AX931" s="22">
        <v>20</v>
      </c>
      <c r="AY931" s="22">
        <v>0</v>
      </c>
      <c r="AZ931" s="22">
        <v>0</v>
      </c>
      <c r="BA931" s="22">
        <v>7</v>
      </c>
      <c r="BB931" s="22">
        <v>10</v>
      </c>
      <c r="BC931" s="316">
        <f t="shared" si="156"/>
        <v>227</v>
      </c>
      <c r="BD931" s="58">
        <f t="shared" si="157"/>
        <v>8</v>
      </c>
      <c r="BE931" s="58">
        <f t="shared" si="158"/>
        <v>0</v>
      </c>
      <c r="BF931" s="58">
        <f t="shared" si="159"/>
        <v>0</v>
      </c>
      <c r="BG931" s="58">
        <f t="shared" si="160"/>
        <v>0</v>
      </c>
      <c r="BH931" s="58">
        <f t="shared" si="161"/>
        <v>0</v>
      </c>
      <c r="BI931" s="58">
        <f t="shared" si="162"/>
        <v>0</v>
      </c>
      <c r="BJ931" s="58">
        <f t="shared" si="163"/>
        <v>0</v>
      </c>
      <c r="BK931" s="58">
        <f t="shared" si="164"/>
        <v>8</v>
      </c>
    </row>
    <row r="932" spans="1:63" ht="27" customHeight="1">
      <c r="A932" s="238">
        <f t="shared" si="165"/>
        <v>930</v>
      </c>
      <c r="B932" s="239"/>
      <c r="C932" s="239">
        <v>3792</v>
      </c>
      <c r="D932" s="241" t="s">
        <v>5342</v>
      </c>
      <c r="E932" s="242" t="s">
        <v>5343</v>
      </c>
      <c r="F932" s="243" t="s">
        <v>5344</v>
      </c>
      <c r="G932" s="244" t="s">
        <v>5345</v>
      </c>
      <c r="H932" s="245" t="s">
        <v>5346</v>
      </c>
      <c r="I932" s="246" t="s">
        <v>5347</v>
      </c>
      <c r="J932" s="247" t="s">
        <v>178</v>
      </c>
      <c r="K932" s="248">
        <v>33970</v>
      </c>
      <c r="L932" s="249" t="s">
        <v>179</v>
      </c>
      <c r="M932" s="250">
        <v>43770</v>
      </c>
      <c r="N932" s="250"/>
      <c r="O932" s="250"/>
      <c r="P932" s="238" t="s">
        <v>3833</v>
      </c>
      <c r="Q932" s="238" t="s">
        <v>249</v>
      </c>
      <c r="R932" s="238" t="s">
        <v>182</v>
      </c>
      <c r="S932" s="238" t="s">
        <v>228</v>
      </c>
      <c r="T932" s="251"/>
      <c r="U932" s="251"/>
      <c r="V932" s="274" t="s">
        <v>184</v>
      </c>
      <c r="W932" s="274" t="s">
        <v>184</v>
      </c>
      <c r="X932" s="252">
        <v>7</v>
      </c>
      <c r="Y932" s="253" t="s">
        <v>5348</v>
      </c>
      <c r="Z932" s="254"/>
      <c r="AA932" s="277" t="s">
        <v>186</v>
      </c>
      <c r="AB932" s="252"/>
      <c r="AC932" s="255" t="s">
        <v>1191</v>
      </c>
      <c r="AD932" s="256"/>
      <c r="AE932" s="256"/>
      <c r="AF932" s="257"/>
      <c r="AG932" s="258"/>
      <c r="AH932" s="259"/>
      <c r="AI932" s="259"/>
      <c r="AJ932" s="274" t="s">
        <v>203</v>
      </c>
      <c r="AK932" s="274" t="s">
        <v>190</v>
      </c>
      <c r="AL932" s="274" t="s">
        <v>190</v>
      </c>
      <c r="AM932" s="260" t="s">
        <v>3859</v>
      </c>
      <c r="AN932" s="22">
        <v>182</v>
      </c>
      <c r="AO932" s="22">
        <v>0</v>
      </c>
      <c r="AP932" s="22">
        <v>20</v>
      </c>
      <c r="AQ932" s="22">
        <v>0</v>
      </c>
      <c r="AR932" s="22">
        <v>0</v>
      </c>
      <c r="AS932" s="22">
        <v>7</v>
      </c>
      <c r="AT932" s="22">
        <v>10</v>
      </c>
      <c r="AU932" s="316">
        <f t="shared" si="155"/>
        <v>219</v>
      </c>
      <c r="AV932" s="22">
        <v>190</v>
      </c>
      <c r="AW932" s="22">
        <v>0</v>
      </c>
      <c r="AX932" s="22">
        <v>20</v>
      </c>
      <c r="AY932" s="22">
        <v>0</v>
      </c>
      <c r="AZ932" s="22">
        <v>0</v>
      </c>
      <c r="BA932" s="22">
        <v>7</v>
      </c>
      <c r="BB932" s="22">
        <v>10</v>
      </c>
      <c r="BC932" s="316">
        <f t="shared" si="156"/>
        <v>227</v>
      </c>
      <c r="BD932" s="58">
        <f t="shared" si="157"/>
        <v>8</v>
      </c>
      <c r="BE932" s="58">
        <f t="shared" si="158"/>
        <v>0</v>
      </c>
      <c r="BF932" s="58">
        <f t="shared" si="159"/>
        <v>0</v>
      </c>
      <c r="BG932" s="58">
        <f t="shared" si="160"/>
        <v>0</v>
      </c>
      <c r="BH932" s="58">
        <f t="shared" si="161"/>
        <v>0</v>
      </c>
      <c r="BI932" s="58">
        <f t="shared" si="162"/>
        <v>0</v>
      </c>
      <c r="BJ932" s="58">
        <f t="shared" si="163"/>
        <v>0</v>
      </c>
      <c r="BK932" s="58">
        <f t="shared" si="164"/>
        <v>8</v>
      </c>
    </row>
    <row r="933" spans="1:63" ht="27" customHeight="1">
      <c r="A933" s="238">
        <f t="shared" si="165"/>
        <v>931</v>
      </c>
      <c r="B933" s="239"/>
      <c r="C933" s="239">
        <v>3781</v>
      </c>
      <c r="D933" s="241" t="s">
        <v>5349</v>
      </c>
      <c r="E933" s="242" t="s">
        <v>5350</v>
      </c>
      <c r="F933" s="243" t="s">
        <v>457</v>
      </c>
      <c r="G933" s="244" t="s">
        <v>2914</v>
      </c>
      <c r="H933" s="245" t="s">
        <v>459</v>
      </c>
      <c r="I933" s="246" t="s">
        <v>5351</v>
      </c>
      <c r="J933" s="247" t="s">
        <v>178</v>
      </c>
      <c r="K933" s="248">
        <v>32204</v>
      </c>
      <c r="L933" s="249" t="s">
        <v>179</v>
      </c>
      <c r="M933" s="250">
        <v>43770</v>
      </c>
      <c r="N933" s="250"/>
      <c r="O933" s="250"/>
      <c r="P933" s="238" t="s">
        <v>3754</v>
      </c>
      <c r="Q933" s="238" t="s">
        <v>249</v>
      </c>
      <c r="R933" s="238" t="s">
        <v>182</v>
      </c>
      <c r="S933" s="238" t="s">
        <v>211</v>
      </c>
      <c r="T933" s="251"/>
      <c r="U933" s="251"/>
      <c r="V933" s="274" t="s">
        <v>184</v>
      </c>
      <c r="W933" s="274" t="s">
        <v>184</v>
      </c>
      <c r="X933" s="252">
        <v>2</v>
      </c>
      <c r="Y933" s="253" t="s">
        <v>5352</v>
      </c>
      <c r="Z933" s="254"/>
      <c r="AA933" s="277" t="s">
        <v>186</v>
      </c>
      <c r="AB933" s="252"/>
      <c r="AC933" s="255" t="s">
        <v>5353</v>
      </c>
      <c r="AD933" s="256" t="s">
        <v>1369</v>
      </c>
      <c r="AE933" s="256" t="s">
        <v>187</v>
      </c>
      <c r="AF933" s="257" t="s">
        <v>3607</v>
      </c>
      <c r="AG933" s="258"/>
      <c r="AH933" s="259"/>
      <c r="AI933" s="259"/>
      <c r="AJ933" s="274" t="s">
        <v>203</v>
      </c>
      <c r="AK933" s="274" t="s">
        <v>190</v>
      </c>
      <c r="AL933" s="274" t="s">
        <v>190</v>
      </c>
      <c r="AM933" s="260" t="s">
        <v>3916</v>
      </c>
      <c r="AN933" s="22">
        <v>182</v>
      </c>
      <c r="AO933" s="22">
        <v>0</v>
      </c>
      <c r="AP933" s="22">
        <v>20</v>
      </c>
      <c r="AQ933" s="22">
        <v>0</v>
      </c>
      <c r="AR933" s="22">
        <v>0</v>
      </c>
      <c r="AS933" s="22">
        <v>7</v>
      </c>
      <c r="AT933" s="22">
        <v>10</v>
      </c>
      <c r="AU933" s="316">
        <f t="shared" si="155"/>
        <v>219</v>
      </c>
      <c r="AV933" s="22">
        <v>190</v>
      </c>
      <c r="AW933" s="22">
        <v>0</v>
      </c>
      <c r="AX933" s="22">
        <v>20</v>
      </c>
      <c r="AY933" s="22">
        <v>0</v>
      </c>
      <c r="AZ933" s="22">
        <v>0</v>
      </c>
      <c r="BA933" s="22">
        <v>7</v>
      </c>
      <c r="BB933" s="22">
        <v>10</v>
      </c>
      <c r="BC933" s="316">
        <f t="shared" si="156"/>
        <v>227</v>
      </c>
      <c r="BD933" s="58">
        <f t="shared" si="157"/>
        <v>8</v>
      </c>
      <c r="BE933" s="58">
        <f t="shared" si="158"/>
        <v>0</v>
      </c>
      <c r="BF933" s="58">
        <f t="shared" si="159"/>
        <v>0</v>
      </c>
      <c r="BG933" s="58">
        <f t="shared" si="160"/>
        <v>0</v>
      </c>
      <c r="BH933" s="58">
        <f t="shared" si="161"/>
        <v>0</v>
      </c>
      <c r="BI933" s="58">
        <f t="shared" si="162"/>
        <v>0</v>
      </c>
      <c r="BJ933" s="58">
        <f t="shared" si="163"/>
        <v>0</v>
      </c>
      <c r="BK933" s="58">
        <f t="shared" si="164"/>
        <v>8</v>
      </c>
    </row>
    <row r="934" spans="1:63" ht="27" customHeight="1">
      <c r="A934" s="238">
        <f t="shared" si="165"/>
        <v>932</v>
      </c>
      <c r="B934" s="239"/>
      <c r="C934" s="239">
        <v>3778</v>
      </c>
      <c r="D934" s="241" t="s">
        <v>5354</v>
      </c>
      <c r="E934" s="242" t="s">
        <v>5355</v>
      </c>
      <c r="F934" s="243" t="s">
        <v>5356</v>
      </c>
      <c r="G934" s="244" t="s">
        <v>5357</v>
      </c>
      <c r="H934" s="245" t="s">
        <v>3921</v>
      </c>
      <c r="I934" s="246" t="s">
        <v>5358</v>
      </c>
      <c r="J934" s="247" t="s">
        <v>178</v>
      </c>
      <c r="K934" s="248">
        <v>31413</v>
      </c>
      <c r="L934" s="249" t="s">
        <v>179</v>
      </c>
      <c r="M934" s="250">
        <v>43770</v>
      </c>
      <c r="N934" s="250"/>
      <c r="O934" s="250"/>
      <c r="P934" s="238" t="s">
        <v>3785</v>
      </c>
      <c r="Q934" s="238" t="s">
        <v>249</v>
      </c>
      <c r="R934" s="238" t="s">
        <v>182</v>
      </c>
      <c r="S934" s="238" t="s">
        <v>228</v>
      </c>
      <c r="T934" s="251"/>
      <c r="U934" s="251"/>
      <c r="V934" s="274" t="s">
        <v>184</v>
      </c>
      <c r="W934" s="274" t="s">
        <v>184</v>
      </c>
      <c r="X934" s="252">
        <v>6</v>
      </c>
      <c r="Y934" s="253" t="s">
        <v>5359</v>
      </c>
      <c r="Z934" s="254"/>
      <c r="AA934" s="277" t="s">
        <v>186</v>
      </c>
      <c r="AB934" s="252"/>
      <c r="AC934" s="255"/>
      <c r="AD934" s="256"/>
      <c r="AE934" s="256"/>
      <c r="AF934" s="257"/>
      <c r="AG934" s="258"/>
      <c r="AH934" s="259"/>
      <c r="AI934" s="259"/>
      <c r="AJ934" s="274" t="s">
        <v>203</v>
      </c>
      <c r="AK934" s="274" t="s">
        <v>190</v>
      </c>
      <c r="AL934" s="274" t="s">
        <v>190</v>
      </c>
      <c r="AM934" s="260" t="s">
        <v>3859</v>
      </c>
      <c r="AN934" s="22">
        <v>182</v>
      </c>
      <c r="AO934" s="22">
        <v>0</v>
      </c>
      <c r="AP934" s="22">
        <v>20</v>
      </c>
      <c r="AQ934" s="22">
        <v>0</v>
      </c>
      <c r="AR934" s="22">
        <v>0</v>
      </c>
      <c r="AS934" s="22">
        <v>7</v>
      </c>
      <c r="AT934" s="22">
        <v>10</v>
      </c>
      <c r="AU934" s="316">
        <f t="shared" si="155"/>
        <v>219</v>
      </c>
      <c r="AV934" s="22">
        <v>190</v>
      </c>
      <c r="AW934" s="22">
        <v>0</v>
      </c>
      <c r="AX934" s="22">
        <v>20</v>
      </c>
      <c r="AY934" s="22">
        <v>0</v>
      </c>
      <c r="AZ934" s="22">
        <v>0</v>
      </c>
      <c r="BA934" s="22">
        <v>7</v>
      </c>
      <c r="BB934" s="22">
        <v>10</v>
      </c>
      <c r="BC934" s="316">
        <f t="shared" si="156"/>
        <v>227</v>
      </c>
      <c r="BD934" s="58">
        <f t="shared" si="157"/>
        <v>8</v>
      </c>
      <c r="BE934" s="58">
        <f t="shared" si="158"/>
        <v>0</v>
      </c>
      <c r="BF934" s="58">
        <f t="shared" si="159"/>
        <v>0</v>
      </c>
      <c r="BG934" s="58">
        <f t="shared" si="160"/>
        <v>0</v>
      </c>
      <c r="BH934" s="58">
        <f t="shared" si="161"/>
        <v>0</v>
      </c>
      <c r="BI934" s="58">
        <f t="shared" si="162"/>
        <v>0</v>
      </c>
      <c r="BJ934" s="58">
        <f t="shared" si="163"/>
        <v>0</v>
      </c>
      <c r="BK934" s="58">
        <f t="shared" si="164"/>
        <v>8</v>
      </c>
    </row>
    <row r="935" spans="1:63" ht="27" customHeight="1">
      <c r="A935" s="238">
        <f t="shared" si="165"/>
        <v>933</v>
      </c>
      <c r="B935" s="239"/>
      <c r="C935" s="239">
        <v>3786</v>
      </c>
      <c r="D935" s="241" t="s">
        <v>5360</v>
      </c>
      <c r="E935" s="242" t="s">
        <v>5361</v>
      </c>
      <c r="F935" s="243" t="s">
        <v>1066</v>
      </c>
      <c r="G935" s="244" t="s">
        <v>1046</v>
      </c>
      <c r="H935" s="245" t="s">
        <v>1068</v>
      </c>
      <c r="I935" s="246" t="s">
        <v>1048</v>
      </c>
      <c r="J935" s="247" t="s">
        <v>178</v>
      </c>
      <c r="K935" s="248">
        <v>33635</v>
      </c>
      <c r="L935" s="249" t="s">
        <v>179</v>
      </c>
      <c r="M935" s="250">
        <v>43770</v>
      </c>
      <c r="N935" s="250"/>
      <c r="O935" s="250"/>
      <c r="P935" s="238" t="s">
        <v>3649</v>
      </c>
      <c r="Q935" s="238" t="s">
        <v>249</v>
      </c>
      <c r="R935" s="238" t="s">
        <v>182</v>
      </c>
      <c r="S935" s="238" t="s">
        <v>331</v>
      </c>
      <c r="T935" s="251"/>
      <c r="U935" s="251"/>
      <c r="V935" s="274" t="s">
        <v>184</v>
      </c>
      <c r="W935" s="274" t="s">
        <v>184</v>
      </c>
      <c r="X935" s="252">
        <v>9</v>
      </c>
      <c r="Y935" s="253" t="s">
        <v>5362</v>
      </c>
      <c r="Z935" s="254"/>
      <c r="AA935" s="277" t="s">
        <v>186</v>
      </c>
      <c r="AB935" s="252"/>
      <c r="AC935" s="255"/>
      <c r="AD935" s="256" t="s">
        <v>188</v>
      </c>
      <c r="AE935" s="256" t="s">
        <v>3607</v>
      </c>
      <c r="AF935" s="257"/>
      <c r="AG935" s="258"/>
      <c r="AH935" s="259"/>
      <c r="AI935" s="259"/>
      <c r="AJ935" s="274" t="s">
        <v>203</v>
      </c>
      <c r="AK935" s="274" t="s">
        <v>190</v>
      </c>
      <c r="AL935" s="274" t="s">
        <v>190</v>
      </c>
      <c r="AM935" s="260" t="s">
        <v>3859</v>
      </c>
      <c r="AN935" s="22">
        <v>182</v>
      </c>
      <c r="AO935" s="22">
        <v>0</v>
      </c>
      <c r="AP935" s="22">
        <v>20</v>
      </c>
      <c r="AQ935" s="22">
        <v>0</v>
      </c>
      <c r="AR935" s="22">
        <v>0</v>
      </c>
      <c r="AS935" s="22">
        <v>7</v>
      </c>
      <c r="AT935" s="22">
        <v>10</v>
      </c>
      <c r="AU935" s="316">
        <f t="shared" si="155"/>
        <v>219</v>
      </c>
      <c r="AV935" s="22">
        <v>190</v>
      </c>
      <c r="AW935" s="22">
        <v>0</v>
      </c>
      <c r="AX935" s="22">
        <v>20</v>
      </c>
      <c r="AY935" s="22">
        <v>0</v>
      </c>
      <c r="AZ935" s="22">
        <v>0</v>
      </c>
      <c r="BA935" s="22">
        <v>7</v>
      </c>
      <c r="BB935" s="22">
        <v>10</v>
      </c>
      <c r="BC935" s="316">
        <f t="shared" si="156"/>
        <v>227</v>
      </c>
      <c r="BD935" s="58">
        <f t="shared" si="157"/>
        <v>8</v>
      </c>
      <c r="BE935" s="58">
        <f t="shared" si="158"/>
        <v>0</v>
      </c>
      <c r="BF935" s="58">
        <f t="shared" si="159"/>
        <v>0</v>
      </c>
      <c r="BG935" s="58">
        <f t="shared" si="160"/>
        <v>0</v>
      </c>
      <c r="BH935" s="58">
        <f t="shared" si="161"/>
        <v>0</v>
      </c>
      <c r="BI935" s="58">
        <f t="shared" si="162"/>
        <v>0</v>
      </c>
      <c r="BJ935" s="58">
        <f t="shared" si="163"/>
        <v>0</v>
      </c>
      <c r="BK935" s="58">
        <f t="shared" si="164"/>
        <v>8</v>
      </c>
    </row>
    <row r="936" spans="1:63" ht="27" customHeight="1">
      <c r="A936" s="238">
        <f t="shared" si="165"/>
        <v>934</v>
      </c>
      <c r="B936" s="239"/>
      <c r="C936" s="239">
        <v>3790</v>
      </c>
      <c r="D936" s="241" t="s">
        <v>5363</v>
      </c>
      <c r="E936" s="242" t="s">
        <v>5364</v>
      </c>
      <c r="F936" s="243" t="s">
        <v>649</v>
      </c>
      <c r="G936" s="244" t="s">
        <v>5365</v>
      </c>
      <c r="H936" s="245" t="s">
        <v>1536</v>
      </c>
      <c r="I936" s="246" t="s">
        <v>3654</v>
      </c>
      <c r="J936" s="247" t="s">
        <v>178</v>
      </c>
      <c r="K936" s="248">
        <v>30568</v>
      </c>
      <c r="L936" s="249" t="s">
        <v>179</v>
      </c>
      <c r="M936" s="250">
        <v>43770</v>
      </c>
      <c r="N936" s="250"/>
      <c r="O936" s="250"/>
      <c r="P936" s="238" t="s">
        <v>3649</v>
      </c>
      <c r="Q936" s="238" t="s">
        <v>249</v>
      </c>
      <c r="R936" s="238" t="s">
        <v>182</v>
      </c>
      <c r="S936" s="238" t="s">
        <v>256</v>
      </c>
      <c r="T936" s="251"/>
      <c r="U936" s="251"/>
      <c r="V936" s="274" t="s">
        <v>184</v>
      </c>
      <c r="W936" s="274" t="s">
        <v>184</v>
      </c>
      <c r="X936" s="252">
        <v>5</v>
      </c>
      <c r="Y936" s="253" t="s">
        <v>5366</v>
      </c>
      <c r="Z936" s="254"/>
      <c r="AA936" s="277" t="s">
        <v>186</v>
      </c>
      <c r="AB936" s="252"/>
      <c r="AC936" s="255"/>
      <c r="AD936" s="256" t="s">
        <v>3888</v>
      </c>
      <c r="AE936" s="256" t="s">
        <v>188</v>
      </c>
      <c r="AF936" s="257" t="s">
        <v>188</v>
      </c>
      <c r="AG936" s="258"/>
      <c r="AH936" s="259"/>
      <c r="AI936" s="259"/>
      <c r="AJ936" s="260" t="s">
        <v>190</v>
      </c>
      <c r="AK936" s="274" t="s">
        <v>190</v>
      </c>
      <c r="AL936" s="274" t="s">
        <v>190</v>
      </c>
      <c r="AM936" s="260" t="s">
        <v>3859</v>
      </c>
      <c r="AN936" s="22">
        <v>182</v>
      </c>
      <c r="AO936" s="22">
        <v>0</v>
      </c>
      <c r="AP936" s="22">
        <v>20</v>
      </c>
      <c r="AQ936" s="22">
        <v>0</v>
      </c>
      <c r="AR936" s="22">
        <v>0</v>
      </c>
      <c r="AS936" s="22">
        <v>7</v>
      </c>
      <c r="AT936" s="22">
        <v>10</v>
      </c>
      <c r="AU936" s="316">
        <f t="shared" si="155"/>
        <v>219</v>
      </c>
      <c r="AV936" s="22">
        <v>190</v>
      </c>
      <c r="AW936" s="22">
        <v>0</v>
      </c>
      <c r="AX936" s="22">
        <v>20</v>
      </c>
      <c r="AY936" s="22">
        <v>0</v>
      </c>
      <c r="AZ936" s="22">
        <v>0</v>
      </c>
      <c r="BA936" s="22">
        <v>7</v>
      </c>
      <c r="BB936" s="22">
        <v>10</v>
      </c>
      <c r="BC936" s="316">
        <f t="shared" si="156"/>
        <v>227</v>
      </c>
      <c r="BD936" s="58">
        <f t="shared" si="157"/>
        <v>8</v>
      </c>
      <c r="BE936" s="58">
        <f t="shared" si="158"/>
        <v>0</v>
      </c>
      <c r="BF936" s="58">
        <f t="shared" si="159"/>
        <v>0</v>
      </c>
      <c r="BG936" s="58">
        <f t="shared" si="160"/>
        <v>0</v>
      </c>
      <c r="BH936" s="58">
        <f t="shared" si="161"/>
        <v>0</v>
      </c>
      <c r="BI936" s="58">
        <f t="shared" si="162"/>
        <v>0</v>
      </c>
      <c r="BJ936" s="58">
        <f t="shared" si="163"/>
        <v>0</v>
      </c>
      <c r="BK936" s="58">
        <f t="shared" si="164"/>
        <v>8</v>
      </c>
    </row>
    <row r="937" spans="1:63" ht="27" customHeight="1">
      <c r="A937" s="238">
        <f t="shared" si="165"/>
        <v>935</v>
      </c>
      <c r="B937" s="239"/>
      <c r="C937" s="239">
        <v>3788</v>
      </c>
      <c r="D937" s="241" t="s">
        <v>5367</v>
      </c>
      <c r="E937" s="242" t="s">
        <v>5368</v>
      </c>
      <c r="F937" s="243" t="s">
        <v>1814</v>
      </c>
      <c r="G937" s="244" t="s">
        <v>1849</v>
      </c>
      <c r="H937" s="245" t="s">
        <v>1816</v>
      </c>
      <c r="I937" s="246" t="s">
        <v>1851</v>
      </c>
      <c r="J937" s="247" t="s">
        <v>178</v>
      </c>
      <c r="K937" s="248">
        <v>34455</v>
      </c>
      <c r="L937" s="249" t="s">
        <v>179</v>
      </c>
      <c r="M937" s="250">
        <v>43770</v>
      </c>
      <c r="N937" s="250"/>
      <c r="O937" s="250"/>
      <c r="P937" s="238" t="s">
        <v>282</v>
      </c>
      <c r="Q937" s="238" t="s">
        <v>249</v>
      </c>
      <c r="R937" s="238" t="s">
        <v>182</v>
      </c>
      <c r="S937" s="238" t="s">
        <v>219</v>
      </c>
      <c r="T937" s="251"/>
      <c r="U937" s="251"/>
      <c r="V937" s="274" t="s">
        <v>184</v>
      </c>
      <c r="W937" s="274" t="s">
        <v>184</v>
      </c>
      <c r="X937" s="252">
        <v>7</v>
      </c>
      <c r="Y937" s="253" t="s">
        <v>5369</v>
      </c>
      <c r="Z937" s="254"/>
      <c r="AA937" s="277" t="s">
        <v>186</v>
      </c>
      <c r="AB937" s="252"/>
      <c r="AC937" s="255"/>
      <c r="AD937" s="256" t="s">
        <v>3607</v>
      </c>
      <c r="AE937" s="256"/>
      <c r="AF937" s="257"/>
      <c r="AG937" s="258"/>
      <c r="AH937" s="259"/>
      <c r="AI937" s="259"/>
      <c r="AJ937" s="274" t="s">
        <v>203</v>
      </c>
      <c r="AK937" s="274" t="s">
        <v>190</v>
      </c>
      <c r="AL937" s="274" t="s">
        <v>190</v>
      </c>
      <c r="AM937" s="260" t="s">
        <v>3859</v>
      </c>
      <c r="AN937" s="22">
        <v>182</v>
      </c>
      <c r="AO937" s="22">
        <v>0</v>
      </c>
      <c r="AP937" s="22">
        <v>20</v>
      </c>
      <c r="AQ937" s="22">
        <v>0</v>
      </c>
      <c r="AR937" s="22">
        <v>0</v>
      </c>
      <c r="AS937" s="22">
        <v>7</v>
      </c>
      <c r="AT937" s="22">
        <v>10</v>
      </c>
      <c r="AU937" s="316">
        <f t="shared" si="155"/>
        <v>219</v>
      </c>
      <c r="AV937" s="22">
        <v>190</v>
      </c>
      <c r="AW937" s="22">
        <v>0</v>
      </c>
      <c r="AX937" s="22">
        <v>20</v>
      </c>
      <c r="AY937" s="22">
        <v>0</v>
      </c>
      <c r="AZ937" s="22">
        <v>0</v>
      </c>
      <c r="BA937" s="22">
        <v>7</v>
      </c>
      <c r="BB937" s="22">
        <v>10</v>
      </c>
      <c r="BC937" s="316">
        <f t="shared" si="156"/>
        <v>227</v>
      </c>
      <c r="BD937" s="58">
        <f t="shared" si="157"/>
        <v>8</v>
      </c>
      <c r="BE937" s="58">
        <f t="shared" si="158"/>
        <v>0</v>
      </c>
      <c r="BF937" s="58">
        <f t="shared" si="159"/>
        <v>0</v>
      </c>
      <c r="BG937" s="58">
        <f t="shared" si="160"/>
        <v>0</v>
      </c>
      <c r="BH937" s="58">
        <f t="shared" si="161"/>
        <v>0</v>
      </c>
      <c r="BI937" s="58">
        <f t="shared" si="162"/>
        <v>0</v>
      </c>
      <c r="BJ937" s="58">
        <f t="shared" si="163"/>
        <v>0</v>
      </c>
      <c r="BK937" s="58">
        <f t="shared" si="164"/>
        <v>8</v>
      </c>
    </row>
    <row r="938" spans="1:63" ht="27" customHeight="1">
      <c r="A938" s="238">
        <f t="shared" si="165"/>
        <v>936</v>
      </c>
      <c r="B938" s="239"/>
      <c r="C938" s="239">
        <v>3779</v>
      </c>
      <c r="D938" s="241">
        <v>0</v>
      </c>
      <c r="E938" s="242" t="s">
        <v>5370</v>
      </c>
      <c r="F938" s="243" t="s">
        <v>5371</v>
      </c>
      <c r="G938" s="244" t="s">
        <v>5032</v>
      </c>
      <c r="H938" s="245" t="s">
        <v>4013</v>
      </c>
      <c r="I938" s="246" t="s">
        <v>5034</v>
      </c>
      <c r="J938" s="247" t="s">
        <v>178</v>
      </c>
      <c r="K938" s="248">
        <v>29108</v>
      </c>
      <c r="L938" s="249" t="s">
        <v>179</v>
      </c>
      <c r="M938" s="250">
        <v>43770</v>
      </c>
      <c r="N938" s="250"/>
      <c r="O938" s="250"/>
      <c r="P938" s="238" t="s">
        <v>3754</v>
      </c>
      <c r="Q938" s="238" t="s">
        <v>249</v>
      </c>
      <c r="R938" s="238" t="s">
        <v>182</v>
      </c>
      <c r="S938" s="238" t="s">
        <v>228</v>
      </c>
      <c r="T938" s="251"/>
      <c r="U938" s="251"/>
      <c r="V938" s="274" t="s">
        <v>184</v>
      </c>
      <c r="W938" s="274" t="s">
        <v>184</v>
      </c>
      <c r="X938" s="252">
        <v>9</v>
      </c>
      <c r="Y938" s="253" t="s">
        <v>5372</v>
      </c>
      <c r="Z938" s="254"/>
      <c r="AA938" s="277" t="s">
        <v>186</v>
      </c>
      <c r="AB938" s="252"/>
      <c r="AC938" s="255"/>
      <c r="AD938" s="256"/>
      <c r="AE938" s="256"/>
      <c r="AF938" s="257"/>
      <c r="AG938" s="258"/>
      <c r="AH938" s="259"/>
      <c r="AI938" s="259"/>
      <c r="AJ938" s="274" t="s">
        <v>203</v>
      </c>
      <c r="AK938" s="274" t="s">
        <v>190</v>
      </c>
      <c r="AL938" s="274" t="s">
        <v>190</v>
      </c>
      <c r="AM938" s="260" t="s">
        <v>3859</v>
      </c>
      <c r="AN938" s="22">
        <v>182</v>
      </c>
      <c r="AO938" s="22">
        <v>0</v>
      </c>
      <c r="AP938" s="22">
        <v>20</v>
      </c>
      <c r="AQ938" s="22">
        <v>0</v>
      </c>
      <c r="AR938" s="22">
        <v>0</v>
      </c>
      <c r="AS938" s="22">
        <v>7</v>
      </c>
      <c r="AT938" s="22">
        <v>10</v>
      </c>
      <c r="AU938" s="316">
        <f t="shared" si="155"/>
        <v>219</v>
      </c>
      <c r="AV938" s="22">
        <v>190</v>
      </c>
      <c r="AW938" s="22">
        <v>0</v>
      </c>
      <c r="AX938" s="22">
        <v>20</v>
      </c>
      <c r="AY938" s="22">
        <v>0</v>
      </c>
      <c r="AZ938" s="22">
        <v>0</v>
      </c>
      <c r="BA938" s="22">
        <v>7</v>
      </c>
      <c r="BB938" s="22">
        <v>10</v>
      </c>
      <c r="BC938" s="316">
        <f t="shared" si="156"/>
        <v>227</v>
      </c>
      <c r="BD938" s="58">
        <f t="shared" si="157"/>
        <v>8</v>
      </c>
      <c r="BE938" s="58">
        <f t="shared" si="158"/>
        <v>0</v>
      </c>
      <c r="BF938" s="58">
        <f t="shared" si="159"/>
        <v>0</v>
      </c>
      <c r="BG938" s="58">
        <f t="shared" si="160"/>
        <v>0</v>
      </c>
      <c r="BH938" s="58">
        <f t="shared" si="161"/>
        <v>0</v>
      </c>
      <c r="BI938" s="58">
        <f t="shared" si="162"/>
        <v>0</v>
      </c>
      <c r="BJ938" s="58">
        <f t="shared" si="163"/>
        <v>0</v>
      </c>
      <c r="BK938" s="58">
        <f t="shared" si="164"/>
        <v>8</v>
      </c>
    </row>
    <row r="939" spans="1:63" ht="27" customHeight="1">
      <c r="A939" s="238">
        <f t="shared" si="165"/>
        <v>937</v>
      </c>
      <c r="B939" s="239"/>
      <c r="C939" s="239">
        <v>3793</v>
      </c>
      <c r="D939" s="241" t="s">
        <v>5373</v>
      </c>
      <c r="E939" s="242" t="s">
        <v>5374</v>
      </c>
      <c r="F939" s="243" t="s">
        <v>1984</v>
      </c>
      <c r="G939" s="244" t="s">
        <v>5375</v>
      </c>
      <c r="H939" s="245" t="s">
        <v>5376</v>
      </c>
      <c r="I939" s="246" t="s">
        <v>5377</v>
      </c>
      <c r="J939" s="247" t="s">
        <v>178</v>
      </c>
      <c r="K939" s="248">
        <v>33271</v>
      </c>
      <c r="L939" s="249" t="s">
        <v>179</v>
      </c>
      <c r="M939" s="250">
        <v>43770</v>
      </c>
      <c r="N939" s="250"/>
      <c r="O939" s="250"/>
      <c r="P939" s="238" t="s">
        <v>3833</v>
      </c>
      <c r="Q939" s="238" t="s">
        <v>249</v>
      </c>
      <c r="R939" s="238" t="s">
        <v>182</v>
      </c>
      <c r="S939" s="238" t="s">
        <v>228</v>
      </c>
      <c r="T939" s="251"/>
      <c r="U939" s="251"/>
      <c r="V939" s="274" t="s">
        <v>184</v>
      </c>
      <c r="W939" s="274" t="s">
        <v>184</v>
      </c>
      <c r="X939" s="252">
        <v>3</v>
      </c>
      <c r="Y939" s="253" t="s">
        <v>5378</v>
      </c>
      <c r="Z939" s="254"/>
      <c r="AA939" s="277" t="s">
        <v>186</v>
      </c>
      <c r="AB939" s="252"/>
      <c r="AC939" s="255" t="s">
        <v>425</v>
      </c>
      <c r="AD939" s="256"/>
      <c r="AE939" s="256"/>
      <c r="AF939" s="257"/>
      <c r="AG939" s="258"/>
      <c r="AH939" s="259"/>
      <c r="AI939" s="259"/>
      <c r="AJ939" s="274" t="s">
        <v>203</v>
      </c>
      <c r="AK939" s="274" t="s">
        <v>190</v>
      </c>
      <c r="AL939" s="274" t="s">
        <v>190</v>
      </c>
      <c r="AM939" s="260" t="s">
        <v>3859</v>
      </c>
      <c r="AN939" s="22">
        <v>182</v>
      </c>
      <c r="AO939" s="22">
        <v>0</v>
      </c>
      <c r="AP939" s="22">
        <v>20</v>
      </c>
      <c r="AQ939" s="22">
        <v>0</v>
      </c>
      <c r="AR939" s="22">
        <v>0</v>
      </c>
      <c r="AS939" s="22">
        <v>7</v>
      </c>
      <c r="AT939" s="22">
        <v>10</v>
      </c>
      <c r="AU939" s="316">
        <f t="shared" si="155"/>
        <v>219</v>
      </c>
      <c r="AV939" s="22">
        <v>190</v>
      </c>
      <c r="AW939" s="22">
        <v>0</v>
      </c>
      <c r="AX939" s="22">
        <v>20</v>
      </c>
      <c r="AY939" s="22">
        <v>0</v>
      </c>
      <c r="AZ939" s="22">
        <v>0</v>
      </c>
      <c r="BA939" s="22">
        <v>7</v>
      </c>
      <c r="BB939" s="22">
        <v>10</v>
      </c>
      <c r="BC939" s="316">
        <f t="shared" si="156"/>
        <v>227</v>
      </c>
      <c r="BD939" s="58">
        <f t="shared" si="157"/>
        <v>8</v>
      </c>
      <c r="BE939" s="58">
        <f t="shared" si="158"/>
        <v>0</v>
      </c>
      <c r="BF939" s="58">
        <f t="shared" si="159"/>
        <v>0</v>
      </c>
      <c r="BG939" s="58">
        <f t="shared" si="160"/>
        <v>0</v>
      </c>
      <c r="BH939" s="58">
        <f t="shared" si="161"/>
        <v>0</v>
      </c>
      <c r="BI939" s="58">
        <f t="shared" si="162"/>
        <v>0</v>
      </c>
      <c r="BJ939" s="58">
        <f t="shared" si="163"/>
        <v>0</v>
      </c>
      <c r="BK939" s="58">
        <f t="shared" si="164"/>
        <v>8</v>
      </c>
    </row>
    <row r="940" spans="1:63" ht="27" customHeight="1">
      <c r="A940" s="238">
        <f t="shared" si="165"/>
        <v>938</v>
      </c>
      <c r="B940" s="239"/>
      <c r="C940" s="239">
        <v>3777</v>
      </c>
      <c r="D940" s="241" t="s">
        <v>5379</v>
      </c>
      <c r="E940" s="242" t="s">
        <v>5380</v>
      </c>
      <c r="F940" s="243" t="s">
        <v>5381</v>
      </c>
      <c r="G940" s="244" t="s">
        <v>5382</v>
      </c>
      <c r="H940" s="245" t="s">
        <v>743</v>
      </c>
      <c r="I940" s="246" t="s">
        <v>5383</v>
      </c>
      <c r="J940" s="247" t="s">
        <v>178</v>
      </c>
      <c r="K940" s="248">
        <v>32661</v>
      </c>
      <c r="L940" s="249" t="s">
        <v>179</v>
      </c>
      <c r="M940" s="250">
        <v>43770</v>
      </c>
      <c r="N940" s="250"/>
      <c r="O940" s="250" t="s">
        <v>3958</v>
      </c>
      <c r="P940" s="238" t="s">
        <v>3959</v>
      </c>
      <c r="Q940" s="238" t="s">
        <v>249</v>
      </c>
      <c r="R940" s="238" t="s">
        <v>3960</v>
      </c>
      <c r="S940" s="238" t="s">
        <v>228</v>
      </c>
      <c r="T940" s="251" t="s">
        <v>3961</v>
      </c>
      <c r="U940" s="307">
        <v>43789</v>
      </c>
      <c r="V940" s="274" t="s">
        <v>200</v>
      </c>
      <c r="W940" s="274">
        <v>225</v>
      </c>
      <c r="X940" s="252">
        <v>6</v>
      </c>
      <c r="Y940" s="253" t="s">
        <v>5384</v>
      </c>
      <c r="Z940" s="277"/>
      <c r="AA940" s="277" t="s">
        <v>186</v>
      </c>
      <c r="AB940" s="252"/>
      <c r="AC940" s="255"/>
      <c r="AD940" s="256"/>
      <c r="AE940" s="256"/>
      <c r="AF940" s="257"/>
      <c r="AG940" s="258"/>
      <c r="AH940" s="259"/>
      <c r="AI940" s="259"/>
      <c r="AJ940" s="274" t="s">
        <v>203</v>
      </c>
      <c r="AK940" s="274" t="s">
        <v>190</v>
      </c>
      <c r="AL940" s="274" t="s">
        <v>190</v>
      </c>
      <c r="AM940" s="260" t="s">
        <v>3859</v>
      </c>
      <c r="AN940" s="22">
        <v>182</v>
      </c>
      <c r="AO940" s="22">
        <v>0</v>
      </c>
      <c r="AP940" s="22">
        <v>0</v>
      </c>
      <c r="AQ940" s="22">
        <v>0</v>
      </c>
      <c r="AR940" s="22">
        <v>0</v>
      </c>
      <c r="AS940" s="22">
        <v>7</v>
      </c>
      <c r="AT940" s="22">
        <v>10</v>
      </c>
      <c r="AU940" s="316">
        <f t="shared" si="155"/>
        <v>199</v>
      </c>
      <c r="AV940" s="22">
        <v>190</v>
      </c>
      <c r="AW940" s="22">
        <v>0</v>
      </c>
      <c r="AX940" s="22">
        <v>0</v>
      </c>
      <c r="AY940" s="22">
        <v>0</v>
      </c>
      <c r="AZ940" s="22">
        <v>0</v>
      </c>
      <c r="BA940" s="22">
        <v>7</v>
      </c>
      <c r="BB940" s="22">
        <v>10</v>
      </c>
      <c r="BC940" s="316">
        <f t="shared" si="156"/>
        <v>207</v>
      </c>
      <c r="BD940" s="58">
        <f t="shared" si="157"/>
        <v>8</v>
      </c>
      <c r="BE940" s="58">
        <f t="shared" si="158"/>
        <v>0</v>
      </c>
      <c r="BF940" s="58">
        <f t="shared" si="159"/>
        <v>0</v>
      </c>
      <c r="BG940" s="58">
        <f t="shared" si="160"/>
        <v>0</v>
      </c>
      <c r="BH940" s="58">
        <f t="shared" si="161"/>
        <v>0</v>
      </c>
      <c r="BI940" s="58">
        <f t="shared" si="162"/>
        <v>0</v>
      </c>
      <c r="BJ940" s="58">
        <f t="shared" si="163"/>
        <v>0</v>
      </c>
      <c r="BK940" s="58">
        <f t="shared" si="164"/>
        <v>8</v>
      </c>
    </row>
    <row r="941" spans="1:63" ht="27" customHeight="1">
      <c r="A941" s="238">
        <f t="shared" si="165"/>
        <v>939</v>
      </c>
      <c r="B941" s="239"/>
      <c r="C941" s="239">
        <v>3800</v>
      </c>
      <c r="D941" s="241" t="s">
        <v>5385</v>
      </c>
      <c r="E941" s="242" t="s">
        <v>5386</v>
      </c>
      <c r="F941" s="243" t="s">
        <v>4396</v>
      </c>
      <c r="G941" s="244" t="s">
        <v>3731</v>
      </c>
      <c r="H941" s="245" t="s">
        <v>5387</v>
      </c>
      <c r="I941" s="246" t="s">
        <v>5388</v>
      </c>
      <c r="J941" s="247" t="s">
        <v>209</v>
      </c>
      <c r="K941" s="248">
        <v>34053</v>
      </c>
      <c r="L941" s="249" t="s">
        <v>179</v>
      </c>
      <c r="M941" s="250">
        <v>43773</v>
      </c>
      <c r="N941" s="250"/>
      <c r="O941" s="250" t="s">
        <v>4152</v>
      </c>
      <c r="P941" s="238" t="s">
        <v>3950</v>
      </c>
      <c r="Q941" s="238" t="s">
        <v>249</v>
      </c>
      <c r="R941" s="238" t="s">
        <v>3960</v>
      </c>
      <c r="S941" s="238" t="s">
        <v>228</v>
      </c>
      <c r="T941" s="251" t="s">
        <v>4153</v>
      </c>
      <c r="U941" s="307">
        <v>43789</v>
      </c>
      <c r="V941" s="274" t="s">
        <v>184</v>
      </c>
      <c r="W941" s="274" t="s">
        <v>184</v>
      </c>
      <c r="X941" s="252">
        <v>6</v>
      </c>
      <c r="Y941" s="253" t="s">
        <v>5389</v>
      </c>
      <c r="Z941" s="277" t="s">
        <v>186</v>
      </c>
      <c r="AA941" s="254"/>
      <c r="AB941" s="252"/>
      <c r="AC941" s="255"/>
      <c r="AD941" s="256"/>
      <c r="AE941" s="256"/>
      <c r="AF941" s="257"/>
      <c r="AG941" s="258"/>
      <c r="AH941" s="259"/>
      <c r="AI941" s="259"/>
      <c r="AJ941" s="274" t="s">
        <v>203</v>
      </c>
      <c r="AK941" s="274" t="s">
        <v>190</v>
      </c>
      <c r="AL941" s="274" t="s">
        <v>190</v>
      </c>
      <c r="AM941" s="260" t="s">
        <v>3859</v>
      </c>
      <c r="AN941" s="22">
        <v>182</v>
      </c>
      <c r="AO941" s="22">
        <v>0</v>
      </c>
      <c r="AP941" s="22">
        <v>0</v>
      </c>
      <c r="AQ941" s="22">
        <v>0</v>
      </c>
      <c r="AR941" s="22">
        <v>0</v>
      </c>
      <c r="AS941" s="22">
        <v>7</v>
      </c>
      <c r="AT941" s="22">
        <v>10</v>
      </c>
      <c r="AU941" s="316">
        <f t="shared" si="155"/>
        <v>199</v>
      </c>
      <c r="AV941" s="22">
        <v>190</v>
      </c>
      <c r="AW941" s="22">
        <v>0</v>
      </c>
      <c r="AX941" s="22">
        <v>0</v>
      </c>
      <c r="AY941" s="22">
        <v>0</v>
      </c>
      <c r="AZ941" s="22">
        <v>0</v>
      </c>
      <c r="BA941" s="22">
        <v>7</v>
      </c>
      <c r="BB941" s="22">
        <v>10</v>
      </c>
      <c r="BC941" s="316">
        <f t="shared" si="156"/>
        <v>207</v>
      </c>
      <c r="BD941" s="58">
        <f t="shared" si="157"/>
        <v>8</v>
      </c>
      <c r="BE941" s="58">
        <f t="shared" si="158"/>
        <v>0</v>
      </c>
      <c r="BF941" s="58">
        <f t="shared" si="159"/>
        <v>0</v>
      </c>
      <c r="BG941" s="58">
        <f t="shared" si="160"/>
        <v>0</v>
      </c>
      <c r="BH941" s="58">
        <f t="shared" si="161"/>
        <v>0</v>
      </c>
      <c r="BI941" s="58">
        <f t="shared" si="162"/>
        <v>0</v>
      </c>
      <c r="BJ941" s="58">
        <f t="shared" si="163"/>
        <v>0</v>
      </c>
      <c r="BK941" s="58">
        <f t="shared" si="164"/>
        <v>8</v>
      </c>
    </row>
    <row r="942" spans="1:63" ht="27" customHeight="1">
      <c r="A942" s="238">
        <f t="shared" si="165"/>
        <v>940</v>
      </c>
      <c r="B942" s="239"/>
      <c r="C942" s="239">
        <v>3617</v>
      </c>
      <c r="D942" s="241"/>
      <c r="E942" s="242"/>
      <c r="F942" s="243" t="s">
        <v>1710</v>
      </c>
      <c r="G942" s="244" t="s">
        <v>5390</v>
      </c>
      <c r="H942" s="245"/>
      <c r="I942" s="246"/>
      <c r="J942" s="247"/>
      <c r="K942" s="248"/>
      <c r="L942" s="249"/>
      <c r="M942" s="250"/>
      <c r="N942" s="250"/>
      <c r="O942" s="250" t="s">
        <v>5391</v>
      </c>
      <c r="P942" s="238" t="s">
        <v>3754</v>
      </c>
      <c r="Q942" s="238" t="s">
        <v>249</v>
      </c>
      <c r="R942" s="238" t="s">
        <v>3960</v>
      </c>
      <c r="S942" s="238"/>
      <c r="T942" s="251" t="s">
        <v>5392</v>
      </c>
      <c r="U942" s="307">
        <v>43789</v>
      </c>
      <c r="V942" s="274" t="s">
        <v>184</v>
      </c>
      <c r="W942" s="274" t="s">
        <v>184</v>
      </c>
      <c r="X942" s="252"/>
      <c r="Y942" s="253"/>
      <c r="Z942" s="254"/>
      <c r="AA942" s="254"/>
      <c r="AB942" s="252"/>
      <c r="AC942" s="255"/>
      <c r="AD942" s="256"/>
      <c r="AE942" s="256"/>
      <c r="AF942" s="257"/>
      <c r="AG942" s="258"/>
      <c r="AH942" s="259"/>
      <c r="AI942" s="259"/>
      <c r="AJ942" s="260"/>
      <c r="AK942" s="260"/>
      <c r="AL942" s="260"/>
      <c r="AM942" s="255"/>
      <c r="AN942" s="22">
        <v>182</v>
      </c>
      <c r="AO942" s="22">
        <v>0</v>
      </c>
      <c r="AP942" s="22">
        <v>0</v>
      </c>
      <c r="AQ942" s="22">
        <v>0</v>
      </c>
      <c r="AR942" s="22">
        <v>0</v>
      </c>
      <c r="AS942" s="22">
        <v>7</v>
      </c>
      <c r="AT942" s="22">
        <v>10</v>
      </c>
      <c r="AU942" s="316">
        <f t="shared" si="155"/>
        <v>199</v>
      </c>
      <c r="AV942" s="22">
        <v>190</v>
      </c>
      <c r="AW942" s="22">
        <v>0</v>
      </c>
      <c r="AX942" s="22">
        <v>0</v>
      </c>
      <c r="AY942" s="22">
        <v>0</v>
      </c>
      <c r="AZ942" s="22">
        <v>0</v>
      </c>
      <c r="BA942" s="22">
        <v>7</v>
      </c>
      <c r="BB942" s="22">
        <v>10</v>
      </c>
      <c r="BC942" s="316">
        <f t="shared" si="156"/>
        <v>207</v>
      </c>
      <c r="BD942" s="58">
        <f t="shared" si="157"/>
        <v>8</v>
      </c>
      <c r="BE942" s="58">
        <f t="shared" si="158"/>
        <v>0</v>
      </c>
      <c r="BF942" s="58">
        <f t="shared" si="159"/>
        <v>0</v>
      </c>
      <c r="BG942" s="58">
        <f t="shared" si="160"/>
        <v>0</v>
      </c>
      <c r="BH942" s="58">
        <f t="shared" si="161"/>
        <v>0</v>
      </c>
      <c r="BI942" s="58">
        <f t="shared" si="162"/>
        <v>0</v>
      </c>
      <c r="BJ942" s="58">
        <f t="shared" si="163"/>
        <v>0</v>
      </c>
      <c r="BK942" s="58">
        <f t="shared" si="164"/>
        <v>8</v>
      </c>
    </row>
    <row r="943" spans="1:63" ht="27" customHeight="1">
      <c r="A943" s="238">
        <f t="shared" si="165"/>
        <v>941</v>
      </c>
      <c r="B943" s="239"/>
      <c r="C943" s="239">
        <v>3813</v>
      </c>
      <c r="D943" s="241" t="s">
        <v>5393</v>
      </c>
      <c r="E943" s="242" t="s">
        <v>5394</v>
      </c>
      <c r="F943" s="243" t="s">
        <v>392</v>
      </c>
      <c r="G943" s="244" t="s">
        <v>5395</v>
      </c>
      <c r="H943" s="245" t="s">
        <v>634</v>
      </c>
      <c r="I943" s="246" t="s">
        <v>5396</v>
      </c>
      <c r="J943" s="247" t="s">
        <v>178</v>
      </c>
      <c r="K943" s="248">
        <v>37109</v>
      </c>
      <c r="L943" s="249" t="s">
        <v>179</v>
      </c>
      <c r="M943" s="250">
        <v>43784</v>
      </c>
      <c r="N943" s="250"/>
      <c r="O943" s="250" t="s">
        <v>3999</v>
      </c>
      <c r="P943" s="238" t="e">
        <v>#N/A</v>
      </c>
      <c r="Q943" s="238" t="s">
        <v>249</v>
      </c>
      <c r="R943" s="238" t="s">
        <v>182</v>
      </c>
      <c r="S943" s="238" t="s">
        <v>211</v>
      </c>
      <c r="T943" s="251"/>
      <c r="U943" s="307"/>
      <c r="V943" s="274" t="s">
        <v>184</v>
      </c>
      <c r="W943" s="274" t="s">
        <v>184</v>
      </c>
      <c r="X943" s="252">
        <v>4</v>
      </c>
      <c r="Y943" s="253" t="s">
        <v>5397</v>
      </c>
      <c r="Z943" s="254"/>
      <c r="AA943" s="277" t="s">
        <v>186</v>
      </c>
      <c r="AB943" s="252"/>
      <c r="AC943" s="255"/>
      <c r="AD943" s="256"/>
      <c r="AE943" s="256"/>
      <c r="AF943" s="257"/>
      <c r="AG943" s="258"/>
      <c r="AH943" s="259"/>
      <c r="AI943" s="259"/>
      <c r="AJ943" s="274" t="s">
        <v>203</v>
      </c>
      <c r="AK943" s="274" t="s">
        <v>190</v>
      </c>
      <c r="AL943" s="274" t="s">
        <v>190</v>
      </c>
      <c r="AM943" s="260" t="s">
        <v>3916</v>
      </c>
      <c r="AN943" s="22">
        <v>182</v>
      </c>
      <c r="AO943" s="22">
        <v>0</v>
      </c>
      <c r="AP943" s="22">
        <v>20</v>
      </c>
      <c r="AQ943" s="22">
        <v>0</v>
      </c>
      <c r="AR943" s="22">
        <v>0</v>
      </c>
      <c r="AS943" s="22">
        <v>7</v>
      </c>
      <c r="AT943" s="22">
        <v>10</v>
      </c>
      <c r="AU943" s="316">
        <f t="shared" si="155"/>
        <v>219</v>
      </c>
      <c r="AV943" s="22">
        <v>190</v>
      </c>
      <c r="AW943" s="22">
        <v>0</v>
      </c>
      <c r="AX943" s="22">
        <v>20</v>
      </c>
      <c r="AY943" s="22">
        <v>0</v>
      </c>
      <c r="AZ943" s="22">
        <v>0</v>
      </c>
      <c r="BA943" s="22">
        <v>7</v>
      </c>
      <c r="BB943" s="22">
        <v>10</v>
      </c>
      <c r="BC943" s="316">
        <f t="shared" si="156"/>
        <v>227</v>
      </c>
      <c r="BD943" s="58">
        <f t="shared" si="157"/>
        <v>8</v>
      </c>
      <c r="BE943" s="58">
        <f t="shared" si="158"/>
        <v>0</v>
      </c>
      <c r="BF943" s="58">
        <f t="shared" si="159"/>
        <v>0</v>
      </c>
      <c r="BG943" s="58">
        <f t="shared" si="160"/>
        <v>0</v>
      </c>
      <c r="BH943" s="58">
        <f t="shared" si="161"/>
        <v>0</v>
      </c>
      <c r="BI943" s="58">
        <f t="shared" si="162"/>
        <v>0</v>
      </c>
      <c r="BJ943" s="58">
        <f t="shared" si="163"/>
        <v>0</v>
      </c>
      <c r="BK943" s="58">
        <f t="shared" si="164"/>
        <v>8</v>
      </c>
    </row>
    <row r="944" spans="1:63" ht="27" customHeight="1">
      <c r="A944" s="238">
        <f t="shared" si="165"/>
        <v>942</v>
      </c>
      <c r="B944" s="239"/>
      <c r="C944" s="239">
        <v>3815</v>
      </c>
      <c r="D944" s="241" t="s">
        <v>5398</v>
      </c>
      <c r="E944" s="242" t="s">
        <v>5399</v>
      </c>
      <c r="F944" s="243" t="s">
        <v>732</v>
      </c>
      <c r="G944" s="244" t="s">
        <v>3804</v>
      </c>
      <c r="H944" s="245" t="s">
        <v>734</v>
      </c>
      <c r="I944" s="246" t="s">
        <v>5400</v>
      </c>
      <c r="J944" s="247" t="s">
        <v>178</v>
      </c>
      <c r="K944" s="248">
        <v>34839</v>
      </c>
      <c r="L944" s="249" t="s">
        <v>179</v>
      </c>
      <c r="M944" s="250">
        <v>43784</v>
      </c>
      <c r="N944" s="250"/>
      <c r="O944" s="250" t="s">
        <v>3999</v>
      </c>
      <c r="P944" s="238" t="e">
        <v>#N/A</v>
      </c>
      <c r="Q944" s="238" t="s">
        <v>249</v>
      </c>
      <c r="R944" s="238" t="s">
        <v>182</v>
      </c>
      <c r="S944" s="238" t="s">
        <v>228</v>
      </c>
      <c r="T944" s="251"/>
      <c r="U944" s="307"/>
      <c r="V944" s="274" t="s">
        <v>184</v>
      </c>
      <c r="W944" s="274" t="s">
        <v>184</v>
      </c>
      <c r="X944" s="252">
        <v>7</v>
      </c>
      <c r="Y944" s="253" t="s">
        <v>5401</v>
      </c>
      <c r="Z944" s="254"/>
      <c r="AA944" s="277" t="s">
        <v>186</v>
      </c>
      <c r="AB944" s="252"/>
      <c r="AC944" s="255"/>
      <c r="AD944" s="256" t="s">
        <v>3607</v>
      </c>
      <c r="AE944" s="256"/>
      <c r="AF944" s="257"/>
      <c r="AG944" s="258"/>
      <c r="AH944" s="259"/>
      <c r="AI944" s="259"/>
      <c r="AJ944" s="274" t="s">
        <v>203</v>
      </c>
      <c r="AK944" s="274" t="s">
        <v>190</v>
      </c>
      <c r="AL944" s="274" t="s">
        <v>190</v>
      </c>
      <c r="AM944" s="260" t="s">
        <v>3859</v>
      </c>
      <c r="AN944" s="22">
        <v>182</v>
      </c>
      <c r="AO944" s="22">
        <v>0</v>
      </c>
      <c r="AP944" s="22">
        <v>20</v>
      </c>
      <c r="AQ944" s="22">
        <v>0</v>
      </c>
      <c r="AR944" s="22">
        <v>0</v>
      </c>
      <c r="AS944" s="22">
        <v>7</v>
      </c>
      <c r="AT944" s="22">
        <v>10</v>
      </c>
      <c r="AU944" s="316">
        <f t="shared" si="155"/>
        <v>219</v>
      </c>
      <c r="AV944" s="22">
        <v>190</v>
      </c>
      <c r="AW944" s="22">
        <v>0</v>
      </c>
      <c r="AX944" s="22">
        <v>20</v>
      </c>
      <c r="AY944" s="22">
        <v>0</v>
      </c>
      <c r="AZ944" s="22">
        <v>0</v>
      </c>
      <c r="BA944" s="22">
        <v>7</v>
      </c>
      <c r="BB944" s="22">
        <v>10</v>
      </c>
      <c r="BC944" s="316">
        <f t="shared" si="156"/>
        <v>227</v>
      </c>
      <c r="BD944" s="58">
        <f t="shared" si="157"/>
        <v>8</v>
      </c>
      <c r="BE944" s="58">
        <f t="shared" si="158"/>
        <v>0</v>
      </c>
      <c r="BF944" s="58">
        <f t="shared" si="159"/>
        <v>0</v>
      </c>
      <c r="BG944" s="58">
        <f t="shared" si="160"/>
        <v>0</v>
      </c>
      <c r="BH944" s="58">
        <f t="shared" si="161"/>
        <v>0</v>
      </c>
      <c r="BI944" s="58">
        <f t="shared" si="162"/>
        <v>0</v>
      </c>
      <c r="BJ944" s="58">
        <f t="shared" si="163"/>
        <v>0</v>
      </c>
      <c r="BK944" s="58">
        <f t="shared" si="164"/>
        <v>8</v>
      </c>
    </row>
    <row r="945" spans="1:63" ht="27" customHeight="1">
      <c r="A945" s="238">
        <f t="shared" si="165"/>
        <v>943</v>
      </c>
      <c r="B945" s="239"/>
      <c r="C945" s="239">
        <v>3811</v>
      </c>
      <c r="D945" s="241" t="s">
        <v>5402</v>
      </c>
      <c r="E945" s="242" t="s">
        <v>5403</v>
      </c>
      <c r="F945" s="243" t="s">
        <v>392</v>
      </c>
      <c r="G945" s="244" t="s">
        <v>1692</v>
      </c>
      <c r="H945" s="245" t="s">
        <v>1770</v>
      </c>
      <c r="I945" s="246" t="s">
        <v>99</v>
      </c>
      <c r="J945" s="247" t="s">
        <v>178</v>
      </c>
      <c r="K945" s="248">
        <v>32152</v>
      </c>
      <c r="L945" s="249" t="s">
        <v>179</v>
      </c>
      <c r="M945" s="250">
        <v>43784</v>
      </c>
      <c r="N945" s="250"/>
      <c r="O945" s="250" t="s">
        <v>3999</v>
      </c>
      <c r="P945" s="238" t="e">
        <v>#N/A</v>
      </c>
      <c r="Q945" s="238" t="s">
        <v>249</v>
      </c>
      <c r="R945" s="238" t="s">
        <v>182</v>
      </c>
      <c r="S945" s="238" t="s">
        <v>211</v>
      </c>
      <c r="T945" s="251"/>
      <c r="U945" s="307"/>
      <c r="V945" s="274" t="s">
        <v>184</v>
      </c>
      <c r="W945" s="274" t="s">
        <v>184</v>
      </c>
      <c r="X945" s="252">
        <v>1</v>
      </c>
      <c r="Y945" s="253" t="s">
        <v>5404</v>
      </c>
      <c r="Z945" s="254"/>
      <c r="AA945" s="277" t="s">
        <v>186</v>
      </c>
      <c r="AB945" s="252"/>
      <c r="AC945" s="255"/>
      <c r="AD945" s="256"/>
      <c r="AE945" s="256"/>
      <c r="AF945" s="257"/>
      <c r="AG945" s="258"/>
      <c r="AH945" s="259"/>
      <c r="AI945" s="259"/>
      <c r="AJ945" s="274" t="s">
        <v>203</v>
      </c>
      <c r="AK945" s="274" t="s">
        <v>190</v>
      </c>
      <c r="AL945" s="274" t="s">
        <v>190</v>
      </c>
      <c r="AM945" s="260" t="s">
        <v>3916</v>
      </c>
      <c r="AN945" s="22">
        <v>182</v>
      </c>
      <c r="AO945" s="22">
        <v>0</v>
      </c>
      <c r="AP945" s="22">
        <v>20</v>
      </c>
      <c r="AQ945" s="22">
        <v>0</v>
      </c>
      <c r="AR945" s="22">
        <v>0</v>
      </c>
      <c r="AS945" s="22">
        <v>7</v>
      </c>
      <c r="AT945" s="22">
        <v>10</v>
      </c>
      <c r="AU945" s="316">
        <f t="shared" si="155"/>
        <v>219</v>
      </c>
      <c r="AV945" s="22">
        <v>190</v>
      </c>
      <c r="AW945" s="22">
        <v>0</v>
      </c>
      <c r="AX945" s="22">
        <v>20</v>
      </c>
      <c r="AY945" s="22">
        <v>0</v>
      </c>
      <c r="AZ945" s="22">
        <v>0</v>
      </c>
      <c r="BA945" s="22">
        <v>7</v>
      </c>
      <c r="BB945" s="22">
        <v>10</v>
      </c>
      <c r="BC945" s="316">
        <f t="shared" si="156"/>
        <v>227</v>
      </c>
      <c r="BD945" s="58">
        <f t="shared" si="157"/>
        <v>8</v>
      </c>
      <c r="BE945" s="58">
        <f t="shared" si="158"/>
        <v>0</v>
      </c>
      <c r="BF945" s="58">
        <f t="shared" si="159"/>
        <v>0</v>
      </c>
      <c r="BG945" s="58">
        <f t="shared" si="160"/>
        <v>0</v>
      </c>
      <c r="BH945" s="58">
        <f t="shared" si="161"/>
        <v>0</v>
      </c>
      <c r="BI945" s="58">
        <f t="shared" si="162"/>
        <v>0</v>
      </c>
      <c r="BJ945" s="58">
        <f t="shared" si="163"/>
        <v>0</v>
      </c>
      <c r="BK945" s="58">
        <f t="shared" si="164"/>
        <v>8</v>
      </c>
    </row>
    <row r="946" spans="1:63" ht="27" customHeight="1">
      <c r="A946" s="238">
        <f t="shared" si="165"/>
        <v>944</v>
      </c>
      <c r="B946" s="239"/>
      <c r="C946" s="239">
        <v>3817</v>
      </c>
      <c r="D946" s="241" t="s">
        <v>5405</v>
      </c>
      <c r="E946" s="242" t="s">
        <v>5406</v>
      </c>
      <c r="F946" s="243" t="s">
        <v>649</v>
      </c>
      <c r="G946" s="244" t="s">
        <v>2914</v>
      </c>
      <c r="H946" s="245" t="s">
        <v>1536</v>
      </c>
      <c r="I946" s="246" t="s">
        <v>5407</v>
      </c>
      <c r="J946" s="247" t="s">
        <v>178</v>
      </c>
      <c r="K946" s="248">
        <v>33299</v>
      </c>
      <c r="L946" s="249" t="s">
        <v>179</v>
      </c>
      <c r="M946" s="250">
        <v>43784</v>
      </c>
      <c r="N946" s="250"/>
      <c r="O946" s="250" t="s">
        <v>3999</v>
      </c>
      <c r="P946" s="238" t="e">
        <v>#N/A</v>
      </c>
      <c r="Q946" s="238" t="s">
        <v>249</v>
      </c>
      <c r="R946" s="238" t="s">
        <v>182</v>
      </c>
      <c r="S946" s="238" t="s">
        <v>228</v>
      </c>
      <c r="T946" s="251"/>
      <c r="U946" s="307"/>
      <c r="V946" s="274" t="s">
        <v>184</v>
      </c>
      <c r="W946" s="274" t="s">
        <v>184</v>
      </c>
      <c r="X946" s="252">
        <v>4</v>
      </c>
      <c r="Y946" s="253" t="s">
        <v>5219</v>
      </c>
      <c r="Z946" s="254"/>
      <c r="AA946" s="277" t="s">
        <v>186</v>
      </c>
      <c r="AB946" s="252"/>
      <c r="AC946" s="255"/>
      <c r="AD946" s="256" t="s">
        <v>3607</v>
      </c>
      <c r="AE946" s="256" t="s">
        <v>3607</v>
      </c>
      <c r="AF946" s="257"/>
      <c r="AG946" s="258"/>
      <c r="AH946" s="259"/>
      <c r="AI946" s="259"/>
      <c r="AJ946" s="274" t="s">
        <v>203</v>
      </c>
      <c r="AK946" s="274" t="s">
        <v>190</v>
      </c>
      <c r="AL946" s="274" t="s">
        <v>190</v>
      </c>
      <c r="AM946" s="260" t="s">
        <v>3859</v>
      </c>
      <c r="AN946" s="22">
        <v>182</v>
      </c>
      <c r="AO946" s="22">
        <v>0</v>
      </c>
      <c r="AP946" s="22">
        <v>20</v>
      </c>
      <c r="AQ946" s="22">
        <v>0</v>
      </c>
      <c r="AR946" s="22">
        <v>0</v>
      </c>
      <c r="AS946" s="22">
        <v>7</v>
      </c>
      <c r="AT946" s="22">
        <v>10</v>
      </c>
      <c r="AU946" s="316">
        <f t="shared" si="155"/>
        <v>219</v>
      </c>
      <c r="AV946" s="22">
        <v>190</v>
      </c>
      <c r="AW946" s="22">
        <v>0</v>
      </c>
      <c r="AX946" s="22">
        <v>20</v>
      </c>
      <c r="AY946" s="22">
        <v>0</v>
      </c>
      <c r="AZ946" s="22">
        <v>0</v>
      </c>
      <c r="BA946" s="22">
        <v>7</v>
      </c>
      <c r="BB946" s="22">
        <v>10</v>
      </c>
      <c r="BC946" s="316">
        <f t="shared" si="156"/>
        <v>227</v>
      </c>
      <c r="BD946" s="58">
        <f t="shared" si="157"/>
        <v>8</v>
      </c>
      <c r="BE946" s="58">
        <f t="shared" si="158"/>
        <v>0</v>
      </c>
      <c r="BF946" s="58">
        <f t="shared" si="159"/>
        <v>0</v>
      </c>
      <c r="BG946" s="58">
        <f t="shared" si="160"/>
        <v>0</v>
      </c>
      <c r="BH946" s="58">
        <f t="shared" si="161"/>
        <v>0</v>
      </c>
      <c r="BI946" s="58">
        <f t="shared" si="162"/>
        <v>0</v>
      </c>
      <c r="BJ946" s="58">
        <f t="shared" si="163"/>
        <v>0</v>
      </c>
      <c r="BK946" s="58">
        <f t="shared" si="164"/>
        <v>8</v>
      </c>
    </row>
    <row r="947" spans="1:63" ht="27" customHeight="1">
      <c r="A947" s="238">
        <f t="shared" si="165"/>
        <v>945</v>
      </c>
      <c r="B947" s="239"/>
      <c r="C947" s="239">
        <v>3821</v>
      </c>
      <c r="D947" s="241" t="s">
        <v>5408</v>
      </c>
      <c r="E947" s="242" t="s">
        <v>5409</v>
      </c>
      <c r="F947" s="243" t="s">
        <v>5410</v>
      </c>
      <c r="G947" s="244" t="s">
        <v>5411</v>
      </c>
      <c r="H947" s="245" t="s">
        <v>5412</v>
      </c>
      <c r="I947" s="246" t="s">
        <v>5413</v>
      </c>
      <c r="J947" s="247" t="s">
        <v>178</v>
      </c>
      <c r="K947" s="248">
        <v>32156</v>
      </c>
      <c r="L947" s="249" t="s">
        <v>179</v>
      </c>
      <c r="M947" s="250">
        <v>43785</v>
      </c>
      <c r="N947" s="250"/>
      <c r="O947" s="250" t="s">
        <v>4090</v>
      </c>
      <c r="P947" s="238" t="e">
        <v>#N/A</v>
      </c>
      <c r="Q947" s="238" t="s">
        <v>249</v>
      </c>
      <c r="R947" s="238" t="s">
        <v>182</v>
      </c>
      <c r="S947" s="238" t="s">
        <v>219</v>
      </c>
      <c r="T947" s="251"/>
      <c r="U947" s="307"/>
      <c r="V947" s="274" t="s">
        <v>184</v>
      </c>
      <c r="W947" s="274" t="s">
        <v>184</v>
      </c>
      <c r="X947" s="252">
        <v>1</v>
      </c>
      <c r="Y947" s="253" t="s">
        <v>5414</v>
      </c>
      <c r="Z947" s="254"/>
      <c r="AA947" s="277" t="s">
        <v>186</v>
      </c>
      <c r="AB947" s="252"/>
      <c r="AC947" s="255"/>
      <c r="AD947" s="256" t="s">
        <v>188</v>
      </c>
      <c r="AE947" s="256" t="s">
        <v>3607</v>
      </c>
      <c r="AF947" s="257"/>
      <c r="AG947" s="258"/>
      <c r="AH947" s="259"/>
      <c r="AI947" s="259"/>
      <c r="AJ947" s="274" t="s">
        <v>203</v>
      </c>
      <c r="AK947" s="274" t="s">
        <v>190</v>
      </c>
      <c r="AL947" s="274" t="s">
        <v>190</v>
      </c>
      <c r="AM947" s="260" t="s">
        <v>3859</v>
      </c>
      <c r="AN947" s="22">
        <v>182</v>
      </c>
      <c r="AO947" s="22">
        <v>0</v>
      </c>
      <c r="AP947" s="22">
        <v>20</v>
      </c>
      <c r="AQ947" s="22">
        <v>0</v>
      </c>
      <c r="AR947" s="22">
        <v>0</v>
      </c>
      <c r="AS947" s="22">
        <v>7</v>
      </c>
      <c r="AT947" s="22">
        <v>10</v>
      </c>
      <c r="AU947" s="316">
        <f t="shared" si="155"/>
        <v>219</v>
      </c>
      <c r="AV947" s="22">
        <v>190</v>
      </c>
      <c r="AW947" s="22">
        <v>0</v>
      </c>
      <c r="AX947" s="22">
        <v>20</v>
      </c>
      <c r="AY947" s="22">
        <v>0</v>
      </c>
      <c r="AZ947" s="22">
        <v>0</v>
      </c>
      <c r="BA947" s="22">
        <v>7</v>
      </c>
      <c r="BB947" s="22">
        <v>10</v>
      </c>
      <c r="BC947" s="316">
        <f t="shared" si="156"/>
        <v>227</v>
      </c>
      <c r="BD947" s="58">
        <f t="shared" si="157"/>
        <v>8</v>
      </c>
      <c r="BE947" s="58">
        <f t="shared" si="158"/>
        <v>0</v>
      </c>
      <c r="BF947" s="58">
        <f t="shared" si="159"/>
        <v>0</v>
      </c>
      <c r="BG947" s="58">
        <f t="shared" si="160"/>
        <v>0</v>
      </c>
      <c r="BH947" s="58">
        <f t="shared" si="161"/>
        <v>0</v>
      </c>
      <c r="BI947" s="58">
        <f t="shared" si="162"/>
        <v>0</v>
      </c>
      <c r="BJ947" s="58">
        <f t="shared" si="163"/>
        <v>0</v>
      </c>
      <c r="BK947" s="58">
        <f t="shared" si="164"/>
        <v>8</v>
      </c>
    </row>
    <row r="948" spans="1:63" ht="27" customHeight="1">
      <c r="A948" s="238">
        <f t="shared" si="165"/>
        <v>946</v>
      </c>
      <c r="B948" s="239"/>
      <c r="C948" s="239">
        <v>3822</v>
      </c>
      <c r="D948" s="241" t="s">
        <v>5415</v>
      </c>
      <c r="E948" s="242" t="s">
        <v>296</v>
      </c>
      <c r="F948" s="243" t="s">
        <v>5416</v>
      </c>
      <c r="G948" s="244" t="s">
        <v>2021</v>
      </c>
      <c r="H948" s="245" t="s">
        <v>5417</v>
      </c>
      <c r="I948" s="246" t="s">
        <v>907</v>
      </c>
      <c r="J948" s="247" t="s">
        <v>178</v>
      </c>
      <c r="K948" s="248">
        <v>30567</v>
      </c>
      <c r="L948" s="249" t="s">
        <v>179</v>
      </c>
      <c r="M948" s="250">
        <v>43785</v>
      </c>
      <c r="N948" s="250"/>
      <c r="O948" s="250" t="s">
        <v>3999</v>
      </c>
      <c r="P948" s="238" t="e">
        <v>#N/A</v>
      </c>
      <c r="Q948" s="238" t="s">
        <v>249</v>
      </c>
      <c r="R948" s="238" t="s">
        <v>182</v>
      </c>
      <c r="S948" s="238" t="s">
        <v>219</v>
      </c>
      <c r="T948" s="251"/>
      <c r="U948" s="307"/>
      <c r="V948" s="252" t="s">
        <v>184</v>
      </c>
      <c r="W948" s="252">
        <v>180</v>
      </c>
      <c r="X948" s="252">
        <v>5</v>
      </c>
      <c r="Y948" s="253" t="s">
        <v>5418</v>
      </c>
      <c r="Z948" s="254"/>
      <c r="AA948" s="277" t="s">
        <v>186</v>
      </c>
      <c r="AB948" s="252"/>
      <c r="AC948" s="255"/>
      <c r="AD948" s="256" t="s">
        <v>188</v>
      </c>
      <c r="AE948" s="256" t="s">
        <v>188</v>
      </c>
      <c r="AF948" s="257"/>
      <c r="AG948" s="258"/>
      <c r="AH948" s="259"/>
      <c r="AI948" s="259"/>
      <c r="AJ948" s="274" t="s">
        <v>203</v>
      </c>
      <c r="AK948" s="274" t="s">
        <v>190</v>
      </c>
      <c r="AL948" s="274" t="s">
        <v>190</v>
      </c>
      <c r="AM948" s="260" t="s">
        <v>3859</v>
      </c>
      <c r="AN948" s="22">
        <v>182</v>
      </c>
      <c r="AO948" s="22">
        <v>0</v>
      </c>
      <c r="AP948" s="22">
        <v>20</v>
      </c>
      <c r="AQ948" s="22">
        <v>0</v>
      </c>
      <c r="AR948" s="22">
        <v>0</v>
      </c>
      <c r="AS948" s="22">
        <v>7</v>
      </c>
      <c r="AT948" s="22">
        <v>10</v>
      </c>
      <c r="AU948" s="316">
        <f t="shared" si="155"/>
        <v>219</v>
      </c>
      <c r="AV948" s="22">
        <v>190</v>
      </c>
      <c r="AW948" s="22">
        <v>0</v>
      </c>
      <c r="AX948" s="22">
        <v>20</v>
      </c>
      <c r="AY948" s="22">
        <v>0</v>
      </c>
      <c r="AZ948" s="22">
        <v>0</v>
      </c>
      <c r="BA948" s="22">
        <v>7</v>
      </c>
      <c r="BB948" s="22">
        <v>10</v>
      </c>
      <c r="BC948" s="316">
        <f t="shared" si="156"/>
        <v>227</v>
      </c>
      <c r="BD948" s="58">
        <f t="shared" si="157"/>
        <v>8</v>
      </c>
      <c r="BE948" s="58">
        <f t="shared" si="158"/>
        <v>0</v>
      </c>
      <c r="BF948" s="58">
        <f t="shared" si="159"/>
        <v>0</v>
      </c>
      <c r="BG948" s="58">
        <f t="shared" si="160"/>
        <v>0</v>
      </c>
      <c r="BH948" s="58">
        <f t="shared" si="161"/>
        <v>0</v>
      </c>
      <c r="BI948" s="58">
        <f t="shared" si="162"/>
        <v>0</v>
      </c>
      <c r="BJ948" s="58">
        <f t="shared" si="163"/>
        <v>0</v>
      </c>
      <c r="BK948" s="58">
        <f t="shared" si="164"/>
        <v>8</v>
      </c>
    </row>
    <row r="949" spans="1:63" ht="27" customHeight="1">
      <c r="A949" s="238">
        <f t="shared" si="165"/>
        <v>947</v>
      </c>
      <c r="B949" s="239"/>
      <c r="C949" s="239">
        <v>3824</v>
      </c>
      <c r="D949" s="241" t="s">
        <v>5419</v>
      </c>
      <c r="E949" s="242" t="s">
        <v>5420</v>
      </c>
      <c r="F949" s="243" t="s">
        <v>557</v>
      </c>
      <c r="G949" s="244" t="s">
        <v>5421</v>
      </c>
      <c r="H949" s="245" t="s">
        <v>559</v>
      </c>
      <c r="I949" s="246" t="s">
        <v>5422</v>
      </c>
      <c r="J949" s="247" t="s">
        <v>178</v>
      </c>
      <c r="K949" s="248">
        <v>35323</v>
      </c>
      <c r="L949" s="249" t="s">
        <v>179</v>
      </c>
      <c r="M949" s="250">
        <v>43785</v>
      </c>
      <c r="N949" s="250"/>
      <c r="O949" s="250"/>
      <c r="P949" s="238" t="e">
        <v>#N/A</v>
      </c>
      <c r="Q949" s="238" t="s">
        <v>249</v>
      </c>
      <c r="R949" s="238" t="s">
        <v>182</v>
      </c>
      <c r="S949" s="238" t="s">
        <v>256</v>
      </c>
      <c r="T949" s="251"/>
      <c r="U949" s="307"/>
      <c r="V949" s="274" t="s">
        <v>184</v>
      </c>
      <c r="W949" s="274" t="s">
        <v>184</v>
      </c>
      <c r="X949" s="252">
        <v>7</v>
      </c>
      <c r="Y949" s="253" t="s">
        <v>5423</v>
      </c>
      <c r="Z949" s="277" t="s">
        <v>186</v>
      </c>
      <c r="AA949" s="254"/>
      <c r="AB949" s="252"/>
      <c r="AC949" s="255"/>
      <c r="AD949" s="256"/>
      <c r="AE949" s="256"/>
      <c r="AF949" s="257"/>
      <c r="AG949" s="258"/>
      <c r="AH949" s="259"/>
      <c r="AI949" s="259"/>
      <c r="AJ949" s="274" t="s">
        <v>203</v>
      </c>
      <c r="AK949" s="274" t="s">
        <v>190</v>
      </c>
      <c r="AL949" s="274" t="s">
        <v>190</v>
      </c>
      <c r="AM949" s="260" t="s">
        <v>3859</v>
      </c>
      <c r="AN949" s="22">
        <v>182</v>
      </c>
      <c r="AO949" s="22">
        <v>0</v>
      </c>
      <c r="AP949" s="22">
        <v>20</v>
      </c>
      <c r="AQ949" s="22">
        <v>0</v>
      </c>
      <c r="AR949" s="22">
        <v>0</v>
      </c>
      <c r="AS949" s="22">
        <v>7</v>
      </c>
      <c r="AT949" s="22">
        <v>10</v>
      </c>
      <c r="AU949" s="316">
        <f t="shared" si="155"/>
        <v>219</v>
      </c>
      <c r="AV949" s="22">
        <v>190</v>
      </c>
      <c r="AW949" s="22">
        <v>0</v>
      </c>
      <c r="AX949" s="22">
        <v>20</v>
      </c>
      <c r="AY949" s="22">
        <v>0</v>
      </c>
      <c r="AZ949" s="22">
        <v>0</v>
      </c>
      <c r="BA949" s="22">
        <v>7</v>
      </c>
      <c r="BB949" s="22">
        <v>10</v>
      </c>
      <c r="BC949" s="316">
        <f t="shared" si="156"/>
        <v>227</v>
      </c>
      <c r="BD949" s="58">
        <f t="shared" si="157"/>
        <v>8</v>
      </c>
      <c r="BE949" s="58">
        <f t="shared" si="158"/>
        <v>0</v>
      </c>
      <c r="BF949" s="58">
        <f t="shared" si="159"/>
        <v>0</v>
      </c>
      <c r="BG949" s="58">
        <f t="shared" si="160"/>
        <v>0</v>
      </c>
      <c r="BH949" s="58">
        <f t="shared" si="161"/>
        <v>0</v>
      </c>
      <c r="BI949" s="58">
        <f t="shared" si="162"/>
        <v>0</v>
      </c>
      <c r="BJ949" s="58">
        <f t="shared" si="163"/>
        <v>0</v>
      </c>
      <c r="BK949" s="58">
        <f t="shared" si="164"/>
        <v>8</v>
      </c>
    </row>
    <row r="950" spans="1:63" ht="27" customHeight="1">
      <c r="A950" s="238">
        <f t="shared" si="165"/>
        <v>948</v>
      </c>
      <c r="B950" s="239"/>
      <c r="C950" s="239">
        <v>3818</v>
      </c>
      <c r="D950" s="241" t="s">
        <v>5424</v>
      </c>
      <c r="E950" s="242" t="s">
        <v>5425</v>
      </c>
      <c r="F950" s="243" t="s">
        <v>963</v>
      </c>
      <c r="G950" s="244" t="s">
        <v>5032</v>
      </c>
      <c r="H950" s="245" t="s">
        <v>964</v>
      </c>
      <c r="I950" s="246" t="s">
        <v>5034</v>
      </c>
      <c r="J950" s="247" t="s">
        <v>178</v>
      </c>
      <c r="K950" s="248">
        <v>32177</v>
      </c>
      <c r="L950" s="249" t="s">
        <v>179</v>
      </c>
      <c r="M950" s="250">
        <v>43783</v>
      </c>
      <c r="N950" s="250"/>
      <c r="O950" s="250" t="s">
        <v>3999</v>
      </c>
      <c r="P950" s="238" t="e">
        <v>#N/A</v>
      </c>
      <c r="Q950" s="238" t="s">
        <v>249</v>
      </c>
      <c r="R950" s="238" t="s">
        <v>182</v>
      </c>
      <c r="S950" s="238" t="s">
        <v>228</v>
      </c>
      <c r="T950" s="251"/>
      <c r="U950" s="307"/>
      <c r="V950" s="274" t="s">
        <v>184</v>
      </c>
      <c r="W950" s="274" t="s">
        <v>184</v>
      </c>
      <c r="X950" s="252">
        <v>5</v>
      </c>
      <c r="Y950" s="253" t="s">
        <v>5426</v>
      </c>
      <c r="Z950" s="254"/>
      <c r="AA950" s="277" t="s">
        <v>186</v>
      </c>
      <c r="AB950" s="252"/>
      <c r="AC950" s="255"/>
      <c r="AD950" s="256"/>
      <c r="AE950" s="256"/>
      <c r="AF950" s="257"/>
      <c r="AG950" s="258"/>
      <c r="AH950" s="259"/>
      <c r="AI950" s="259"/>
      <c r="AJ950" s="274" t="s">
        <v>203</v>
      </c>
      <c r="AK950" s="274" t="s">
        <v>190</v>
      </c>
      <c r="AL950" s="274" t="s">
        <v>190</v>
      </c>
      <c r="AM950" s="260" t="s">
        <v>5427</v>
      </c>
      <c r="AN950" s="22">
        <v>182</v>
      </c>
      <c r="AO950" s="22">
        <v>0</v>
      </c>
      <c r="AP950" s="22">
        <v>20</v>
      </c>
      <c r="AQ950" s="22">
        <v>0</v>
      </c>
      <c r="AR950" s="22">
        <v>0</v>
      </c>
      <c r="AS950" s="22">
        <v>7</v>
      </c>
      <c r="AT950" s="22">
        <v>10</v>
      </c>
      <c r="AU950" s="316">
        <f t="shared" si="155"/>
        <v>219</v>
      </c>
      <c r="AV950" s="22">
        <v>190</v>
      </c>
      <c r="AW950" s="22">
        <v>0</v>
      </c>
      <c r="AX950" s="22">
        <v>20</v>
      </c>
      <c r="AY950" s="22">
        <v>0</v>
      </c>
      <c r="AZ950" s="22">
        <v>0</v>
      </c>
      <c r="BA950" s="22">
        <v>7</v>
      </c>
      <c r="BB950" s="22">
        <v>10</v>
      </c>
      <c r="BC950" s="316">
        <f t="shared" si="156"/>
        <v>227</v>
      </c>
      <c r="BD950" s="58">
        <f t="shared" si="157"/>
        <v>8</v>
      </c>
      <c r="BE950" s="58">
        <f t="shared" si="158"/>
        <v>0</v>
      </c>
      <c r="BF950" s="58">
        <f t="shared" si="159"/>
        <v>0</v>
      </c>
      <c r="BG950" s="58">
        <f t="shared" si="160"/>
        <v>0</v>
      </c>
      <c r="BH950" s="58">
        <f t="shared" si="161"/>
        <v>0</v>
      </c>
      <c r="BI950" s="58">
        <f t="shared" si="162"/>
        <v>0</v>
      </c>
      <c r="BJ950" s="58">
        <f t="shared" si="163"/>
        <v>0</v>
      </c>
      <c r="BK950" s="58">
        <f t="shared" si="164"/>
        <v>8</v>
      </c>
    </row>
    <row r="951" spans="1:63" ht="27" customHeight="1">
      <c r="A951" s="238">
        <f t="shared" si="165"/>
        <v>949</v>
      </c>
      <c r="B951" s="239"/>
      <c r="C951" s="239">
        <v>3810</v>
      </c>
      <c r="D951" s="241" t="s">
        <v>5428</v>
      </c>
      <c r="E951" s="242" t="s">
        <v>5429</v>
      </c>
      <c r="F951" s="243" t="s">
        <v>3147</v>
      </c>
      <c r="G951" s="244" t="s">
        <v>5430</v>
      </c>
      <c r="H951" s="245" t="s">
        <v>5431</v>
      </c>
      <c r="I951" s="246" t="s">
        <v>5432</v>
      </c>
      <c r="J951" s="247" t="s">
        <v>209</v>
      </c>
      <c r="K951" s="248">
        <v>33604</v>
      </c>
      <c r="L951" s="249" t="s">
        <v>179</v>
      </c>
      <c r="M951" s="250">
        <v>43784</v>
      </c>
      <c r="N951" s="250"/>
      <c r="O951" s="250"/>
      <c r="P951" s="238" t="e">
        <v>#N/A</v>
      </c>
      <c r="Q951" s="238" t="s">
        <v>249</v>
      </c>
      <c r="R951" s="238" t="s">
        <v>182</v>
      </c>
      <c r="S951" s="238" t="s">
        <v>256</v>
      </c>
      <c r="T951" s="251"/>
      <c r="U951" s="307"/>
      <c r="V951" s="274" t="s">
        <v>184</v>
      </c>
      <c r="W951" s="274" t="s">
        <v>184</v>
      </c>
      <c r="X951" s="252">
        <v>5</v>
      </c>
      <c r="Y951" s="253" t="s">
        <v>5433</v>
      </c>
      <c r="Z951" s="254"/>
      <c r="AA951" s="277" t="s">
        <v>186</v>
      </c>
      <c r="AB951" s="252"/>
      <c r="AC951" s="255"/>
      <c r="AD951" s="256" t="s">
        <v>3607</v>
      </c>
      <c r="AE951" s="256"/>
      <c r="AF951" s="257"/>
      <c r="AG951" s="258"/>
      <c r="AH951" s="259"/>
      <c r="AI951" s="259"/>
      <c r="AJ951" s="274" t="s">
        <v>203</v>
      </c>
      <c r="AK951" s="274" t="s">
        <v>190</v>
      </c>
      <c r="AL951" s="274" t="s">
        <v>190</v>
      </c>
      <c r="AM951" s="260" t="s">
        <v>3859</v>
      </c>
      <c r="AN951" s="22">
        <v>182</v>
      </c>
      <c r="AO951" s="22">
        <v>0</v>
      </c>
      <c r="AP951" s="22">
        <v>20</v>
      </c>
      <c r="AQ951" s="22">
        <v>10</v>
      </c>
      <c r="AR951" s="22">
        <v>0</v>
      </c>
      <c r="AS951" s="22">
        <v>7</v>
      </c>
      <c r="AT951" s="22">
        <v>10</v>
      </c>
      <c r="AU951" s="316">
        <f t="shared" si="155"/>
        <v>229</v>
      </c>
      <c r="AV951" s="22">
        <v>190</v>
      </c>
      <c r="AW951" s="22">
        <v>0</v>
      </c>
      <c r="AX951" s="22">
        <v>20</v>
      </c>
      <c r="AY951" s="22">
        <v>10</v>
      </c>
      <c r="AZ951" s="22">
        <v>0</v>
      </c>
      <c r="BA951" s="22">
        <v>7</v>
      </c>
      <c r="BB951" s="22">
        <v>10</v>
      </c>
      <c r="BC951" s="316">
        <f t="shared" si="156"/>
        <v>237</v>
      </c>
      <c r="BD951" s="58">
        <f t="shared" si="157"/>
        <v>8</v>
      </c>
      <c r="BE951" s="58">
        <f t="shared" si="158"/>
        <v>0</v>
      </c>
      <c r="BF951" s="58">
        <f t="shared" si="159"/>
        <v>0</v>
      </c>
      <c r="BG951" s="58">
        <f t="shared" si="160"/>
        <v>0</v>
      </c>
      <c r="BH951" s="58">
        <f t="shared" si="161"/>
        <v>0</v>
      </c>
      <c r="BI951" s="58">
        <f t="shared" si="162"/>
        <v>0</v>
      </c>
      <c r="BJ951" s="58">
        <f t="shared" si="163"/>
        <v>0</v>
      </c>
      <c r="BK951" s="58">
        <f t="shared" si="164"/>
        <v>8</v>
      </c>
    </row>
    <row r="952" spans="1:63" ht="27" customHeight="1">
      <c r="A952" s="238">
        <f t="shared" si="165"/>
        <v>950</v>
      </c>
      <c r="B952" s="239"/>
      <c r="C952" s="239">
        <v>3814</v>
      </c>
      <c r="D952" s="241" t="s">
        <v>5434</v>
      </c>
      <c r="E952" s="242" t="s">
        <v>5435</v>
      </c>
      <c r="F952" s="243" t="s">
        <v>5436</v>
      </c>
      <c r="G952" s="244" t="s">
        <v>5437</v>
      </c>
      <c r="H952" s="245" t="s">
        <v>5438</v>
      </c>
      <c r="I952" s="246" t="s">
        <v>5439</v>
      </c>
      <c r="J952" s="247" t="s">
        <v>178</v>
      </c>
      <c r="K952" s="248">
        <v>30333</v>
      </c>
      <c r="L952" s="249" t="s">
        <v>179</v>
      </c>
      <c r="M952" s="250">
        <v>43784</v>
      </c>
      <c r="N952" s="250"/>
      <c r="O952" s="250"/>
      <c r="P952" s="238" t="e">
        <v>#N/A</v>
      </c>
      <c r="Q952" s="238" t="s">
        <v>249</v>
      </c>
      <c r="R952" s="238" t="s">
        <v>182</v>
      </c>
      <c r="S952" s="238" t="s">
        <v>331</v>
      </c>
      <c r="T952" s="251"/>
      <c r="U952" s="307"/>
      <c r="V952" s="274" t="s">
        <v>184</v>
      </c>
      <c r="W952" s="274" t="s">
        <v>184</v>
      </c>
      <c r="X952" s="252">
        <v>7</v>
      </c>
      <c r="Y952" s="253" t="s">
        <v>5440</v>
      </c>
      <c r="Z952" s="254"/>
      <c r="AA952" s="277" t="s">
        <v>186</v>
      </c>
      <c r="AB952" s="252"/>
      <c r="AC952" s="255"/>
      <c r="AD952" s="256" t="s">
        <v>425</v>
      </c>
      <c r="AE952" s="256" t="s">
        <v>188</v>
      </c>
      <c r="AF952" s="257" t="s">
        <v>3607</v>
      </c>
      <c r="AG952" s="258"/>
      <c r="AH952" s="259"/>
      <c r="AI952" s="259"/>
      <c r="AJ952" s="274" t="s">
        <v>203</v>
      </c>
      <c r="AK952" s="274" t="s">
        <v>190</v>
      </c>
      <c r="AL952" s="274" t="s">
        <v>190</v>
      </c>
      <c r="AM952" s="260" t="s">
        <v>241</v>
      </c>
      <c r="AN952" s="22">
        <v>182</v>
      </c>
      <c r="AO952" s="22">
        <v>0</v>
      </c>
      <c r="AP952" s="22">
        <v>0</v>
      </c>
      <c r="AQ952" s="22">
        <v>0</v>
      </c>
      <c r="AR952" s="22">
        <v>0</v>
      </c>
      <c r="AS952" s="22">
        <v>7</v>
      </c>
      <c r="AT952" s="22">
        <v>10</v>
      </c>
      <c r="AU952" s="316">
        <f t="shared" si="155"/>
        <v>199</v>
      </c>
      <c r="AV952" s="22">
        <v>190</v>
      </c>
      <c r="AW952" s="22">
        <v>0</v>
      </c>
      <c r="AX952" s="22">
        <v>0</v>
      </c>
      <c r="AY952" s="22">
        <v>0</v>
      </c>
      <c r="AZ952" s="22">
        <v>0</v>
      </c>
      <c r="BA952" s="22">
        <v>7</v>
      </c>
      <c r="BB952" s="22">
        <v>10</v>
      </c>
      <c r="BC952" s="316">
        <f t="shared" si="156"/>
        <v>207</v>
      </c>
      <c r="BD952" s="58">
        <f t="shared" si="157"/>
        <v>8</v>
      </c>
      <c r="BE952" s="58">
        <f t="shared" si="158"/>
        <v>0</v>
      </c>
      <c r="BF952" s="58">
        <f t="shared" si="159"/>
        <v>0</v>
      </c>
      <c r="BG952" s="58">
        <f t="shared" si="160"/>
        <v>0</v>
      </c>
      <c r="BH952" s="58">
        <f t="shared" si="161"/>
        <v>0</v>
      </c>
      <c r="BI952" s="58">
        <f t="shared" si="162"/>
        <v>0</v>
      </c>
      <c r="BJ952" s="58">
        <f t="shared" si="163"/>
        <v>0</v>
      </c>
      <c r="BK952" s="58">
        <f t="shared" si="164"/>
        <v>8</v>
      </c>
    </row>
    <row r="953" spans="1:63" ht="27" customHeight="1">
      <c r="A953" s="238">
        <f t="shared" si="165"/>
        <v>951</v>
      </c>
      <c r="B953" s="239"/>
      <c r="C953" s="239">
        <v>3816</v>
      </c>
      <c r="D953" s="241" t="s">
        <v>5441</v>
      </c>
      <c r="E953" s="242" t="s">
        <v>5442</v>
      </c>
      <c r="F953" s="243" t="s">
        <v>4449</v>
      </c>
      <c r="G953" s="244" t="s">
        <v>5443</v>
      </c>
      <c r="H953" s="245" t="s">
        <v>4450</v>
      </c>
      <c r="I953" s="246" t="s">
        <v>4419</v>
      </c>
      <c r="J953" s="247" t="s">
        <v>178</v>
      </c>
      <c r="K953" s="248">
        <v>29385</v>
      </c>
      <c r="L953" s="249" t="s">
        <v>179</v>
      </c>
      <c r="M953" s="250">
        <v>43784</v>
      </c>
      <c r="N953" s="250"/>
      <c r="O953" s="250" t="s">
        <v>4090</v>
      </c>
      <c r="P953" s="238" t="e">
        <v>#N/A</v>
      </c>
      <c r="Q953" s="238" t="s">
        <v>249</v>
      </c>
      <c r="R953" s="238" t="s">
        <v>182</v>
      </c>
      <c r="S953" s="238" t="s">
        <v>727</v>
      </c>
      <c r="T953" s="251"/>
      <c r="U953" s="307"/>
      <c r="V953" s="274" t="s">
        <v>184</v>
      </c>
      <c r="W953" s="274" t="s">
        <v>184</v>
      </c>
      <c r="X953" s="252">
        <v>2</v>
      </c>
      <c r="Y953" s="252" t="s">
        <v>5444</v>
      </c>
      <c r="Z953" s="254"/>
      <c r="AA953" s="277" t="s">
        <v>186</v>
      </c>
      <c r="AB953" s="252"/>
      <c r="AC953" s="255"/>
      <c r="AD953" s="256" t="s">
        <v>425</v>
      </c>
      <c r="AE953" s="256" t="s">
        <v>188</v>
      </c>
      <c r="AF953" s="256" t="s">
        <v>188</v>
      </c>
      <c r="AG953" s="256" t="s">
        <v>188</v>
      </c>
      <c r="AH953" s="259"/>
      <c r="AI953" s="259"/>
      <c r="AJ953" s="274" t="s">
        <v>203</v>
      </c>
      <c r="AK953" s="274" t="s">
        <v>190</v>
      </c>
      <c r="AL953" s="274" t="s">
        <v>190</v>
      </c>
      <c r="AM953" s="260" t="s">
        <v>3859</v>
      </c>
      <c r="AN953" s="22">
        <v>182</v>
      </c>
      <c r="AO953" s="22">
        <v>0</v>
      </c>
      <c r="AP953" s="22">
        <v>20</v>
      </c>
      <c r="AQ953" s="22">
        <v>0</v>
      </c>
      <c r="AR953" s="22">
        <v>0</v>
      </c>
      <c r="AS953" s="22">
        <v>7</v>
      </c>
      <c r="AT953" s="22">
        <v>10</v>
      </c>
      <c r="AU953" s="316">
        <f t="shared" si="155"/>
        <v>219</v>
      </c>
      <c r="AV953" s="22">
        <v>190</v>
      </c>
      <c r="AW953" s="22">
        <v>0</v>
      </c>
      <c r="AX953" s="22">
        <v>20</v>
      </c>
      <c r="AY953" s="22">
        <v>0</v>
      </c>
      <c r="AZ953" s="22">
        <v>0</v>
      </c>
      <c r="BA953" s="22">
        <v>7</v>
      </c>
      <c r="BB953" s="22">
        <v>10</v>
      </c>
      <c r="BC953" s="316">
        <f t="shared" si="156"/>
        <v>227</v>
      </c>
      <c r="BD953" s="58">
        <f t="shared" si="157"/>
        <v>8</v>
      </c>
      <c r="BE953" s="58">
        <f t="shared" si="158"/>
        <v>0</v>
      </c>
      <c r="BF953" s="58">
        <f t="shared" si="159"/>
        <v>0</v>
      </c>
      <c r="BG953" s="58">
        <f t="shared" si="160"/>
        <v>0</v>
      </c>
      <c r="BH953" s="58">
        <f t="shared" si="161"/>
        <v>0</v>
      </c>
      <c r="BI953" s="58">
        <f t="shared" si="162"/>
        <v>0</v>
      </c>
      <c r="BJ953" s="58">
        <f t="shared" si="163"/>
        <v>0</v>
      </c>
      <c r="BK953" s="58">
        <f t="shared" si="164"/>
        <v>8</v>
      </c>
    </row>
    <row r="954" spans="1:63" ht="27" customHeight="1">
      <c r="A954" s="238">
        <f t="shared" si="165"/>
        <v>952</v>
      </c>
      <c r="B954" s="239"/>
      <c r="C954" s="239">
        <v>3806</v>
      </c>
      <c r="D954" s="241" t="s">
        <v>5445</v>
      </c>
      <c r="E954" s="242" t="s">
        <v>5446</v>
      </c>
      <c r="F954" s="243" t="s">
        <v>1105</v>
      </c>
      <c r="G954" s="244" t="s">
        <v>5447</v>
      </c>
      <c r="H954" s="245" t="s">
        <v>5448</v>
      </c>
      <c r="I954" s="246" t="s">
        <v>5449</v>
      </c>
      <c r="J954" s="247" t="s">
        <v>209</v>
      </c>
      <c r="K954" s="248">
        <v>37105</v>
      </c>
      <c r="L954" s="249" t="s">
        <v>179</v>
      </c>
      <c r="M954" s="250">
        <v>43774</v>
      </c>
      <c r="N954" s="250"/>
      <c r="O954" s="250"/>
      <c r="P954" s="238" t="s">
        <v>3950</v>
      </c>
      <c r="Q954" s="238" t="s">
        <v>249</v>
      </c>
      <c r="R954" s="238" t="s">
        <v>182</v>
      </c>
      <c r="S954" s="238" t="s">
        <v>228</v>
      </c>
      <c r="T954" s="251"/>
      <c r="U954" s="307"/>
      <c r="V954" s="274" t="s">
        <v>184</v>
      </c>
      <c r="W954" s="274" t="s">
        <v>184</v>
      </c>
      <c r="X954" s="252">
        <v>9</v>
      </c>
      <c r="Y954" s="253" t="s">
        <v>5450</v>
      </c>
      <c r="Z954" s="277" t="s">
        <v>186</v>
      </c>
      <c r="AA954" s="254"/>
      <c r="AB954" s="252"/>
      <c r="AC954" s="255"/>
      <c r="AD954" s="256"/>
      <c r="AE954" s="256"/>
      <c r="AF954" s="257"/>
      <c r="AG954" s="258"/>
      <c r="AH954" s="259"/>
      <c r="AI954" s="259"/>
      <c r="AJ954" s="274" t="s">
        <v>203</v>
      </c>
      <c r="AK954" s="274" t="s">
        <v>190</v>
      </c>
      <c r="AL954" s="274" t="s">
        <v>190</v>
      </c>
      <c r="AM954" s="260" t="s">
        <v>3859</v>
      </c>
      <c r="AN954" s="22">
        <v>182</v>
      </c>
      <c r="AO954" s="22">
        <v>0</v>
      </c>
      <c r="AP954" s="22">
        <v>0</v>
      </c>
      <c r="AQ954" s="22">
        <v>0</v>
      </c>
      <c r="AR954" s="22">
        <v>0</v>
      </c>
      <c r="AS954" s="22">
        <v>7</v>
      </c>
      <c r="AT954" s="22">
        <v>10</v>
      </c>
      <c r="AU954" s="316">
        <f t="shared" si="155"/>
        <v>199</v>
      </c>
      <c r="AV954" s="22">
        <v>190</v>
      </c>
      <c r="AW954" s="22">
        <v>0</v>
      </c>
      <c r="AX954" s="22">
        <v>0</v>
      </c>
      <c r="AY954" s="22">
        <v>0</v>
      </c>
      <c r="AZ954" s="22">
        <v>0</v>
      </c>
      <c r="BA954" s="22">
        <v>7</v>
      </c>
      <c r="BB954" s="22">
        <v>10</v>
      </c>
      <c r="BC954" s="316">
        <f t="shared" si="156"/>
        <v>207</v>
      </c>
      <c r="BD954" s="58">
        <f t="shared" si="157"/>
        <v>8</v>
      </c>
      <c r="BE954" s="58">
        <f t="shared" si="158"/>
        <v>0</v>
      </c>
      <c r="BF954" s="58">
        <f t="shared" si="159"/>
        <v>0</v>
      </c>
      <c r="BG954" s="58">
        <f t="shared" si="160"/>
        <v>0</v>
      </c>
      <c r="BH954" s="58">
        <f t="shared" si="161"/>
        <v>0</v>
      </c>
      <c r="BI954" s="58">
        <f t="shared" si="162"/>
        <v>0</v>
      </c>
      <c r="BJ954" s="58">
        <f t="shared" si="163"/>
        <v>0</v>
      </c>
      <c r="BK954" s="58">
        <f t="shared" si="164"/>
        <v>8</v>
      </c>
    </row>
    <row r="955" spans="1:63" ht="27" customHeight="1">
      <c r="A955" s="238">
        <f t="shared" si="165"/>
        <v>953</v>
      </c>
      <c r="B955" s="239"/>
      <c r="C955" s="239">
        <v>3805</v>
      </c>
      <c r="D955" s="241" t="s">
        <v>5451</v>
      </c>
      <c r="E955" s="242" t="s">
        <v>5452</v>
      </c>
      <c r="F955" s="243" t="s">
        <v>5453</v>
      </c>
      <c r="G955" s="244" t="s">
        <v>5454</v>
      </c>
      <c r="H955" s="245" t="s">
        <v>1055</v>
      </c>
      <c r="I955" s="246" t="s">
        <v>5455</v>
      </c>
      <c r="J955" s="247" t="s">
        <v>178</v>
      </c>
      <c r="K955" s="248">
        <v>36649</v>
      </c>
      <c r="L955" s="249" t="s">
        <v>179</v>
      </c>
      <c r="M955" s="250">
        <v>43774</v>
      </c>
      <c r="N955" s="250"/>
      <c r="O955" s="250"/>
      <c r="P955" s="238" t="s">
        <v>3950</v>
      </c>
      <c r="Q955" s="238" t="s">
        <v>249</v>
      </c>
      <c r="R955" s="238" t="s">
        <v>182</v>
      </c>
      <c r="S955" s="238" t="s">
        <v>228</v>
      </c>
      <c r="T955" s="251"/>
      <c r="U955" s="307"/>
      <c r="V955" s="274" t="s">
        <v>184</v>
      </c>
      <c r="W955" s="274" t="s">
        <v>184</v>
      </c>
      <c r="X955" s="252">
        <v>9</v>
      </c>
      <c r="Y955" s="253" t="s">
        <v>5456</v>
      </c>
      <c r="Z955" s="254"/>
      <c r="AA955" s="277" t="s">
        <v>186</v>
      </c>
      <c r="AB955" s="252"/>
      <c r="AC955" s="255"/>
      <c r="AD955" s="256" t="s">
        <v>3607</v>
      </c>
      <c r="AE955" s="256"/>
      <c r="AF955" s="257"/>
      <c r="AG955" s="258"/>
      <c r="AH955" s="259"/>
      <c r="AI955" s="259"/>
      <c r="AJ955" s="274" t="s">
        <v>203</v>
      </c>
      <c r="AK955" s="274" t="s">
        <v>190</v>
      </c>
      <c r="AL955" s="274" t="s">
        <v>190</v>
      </c>
      <c r="AM955" s="260" t="s">
        <v>241</v>
      </c>
      <c r="AN955" s="22">
        <v>182</v>
      </c>
      <c r="AO955" s="22">
        <v>0</v>
      </c>
      <c r="AP955" s="22">
        <v>20</v>
      </c>
      <c r="AQ955" s="22">
        <v>0</v>
      </c>
      <c r="AR955" s="22">
        <v>0</v>
      </c>
      <c r="AS955" s="22">
        <v>7</v>
      </c>
      <c r="AT955" s="22">
        <v>10</v>
      </c>
      <c r="AU955" s="316">
        <f t="shared" si="155"/>
        <v>219</v>
      </c>
      <c r="AV955" s="22">
        <v>190</v>
      </c>
      <c r="AW955" s="22">
        <v>0</v>
      </c>
      <c r="AX955" s="22">
        <v>20</v>
      </c>
      <c r="AY955" s="22">
        <v>0</v>
      </c>
      <c r="AZ955" s="22">
        <v>0</v>
      </c>
      <c r="BA955" s="22">
        <v>7</v>
      </c>
      <c r="BB955" s="22">
        <v>10</v>
      </c>
      <c r="BC955" s="316">
        <f t="shared" si="156"/>
        <v>227</v>
      </c>
      <c r="BD955" s="58">
        <f t="shared" si="157"/>
        <v>8</v>
      </c>
      <c r="BE955" s="58">
        <f t="shared" si="158"/>
        <v>0</v>
      </c>
      <c r="BF955" s="58">
        <f t="shared" si="159"/>
        <v>0</v>
      </c>
      <c r="BG955" s="58">
        <f t="shared" si="160"/>
        <v>0</v>
      </c>
      <c r="BH955" s="58">
        <f t="shared" si="161"/>
        <v>0</v>
      </c>
      <c r="BI955" s="58">
        <f t="shared" si="162"/>
        <v>0</v>
      </c>
      <c r="BJ955" s="58">
        <f t="shared" si="163"/>
        <v>0</v>
      </c>
      <c r="BK955" s="58">
        <f t="shared" si="164"/>
        <v>8</v>
      </c>
    </row>
    <row r="956" spans="1:63" ht="27" customHeight="1">
      <c r="A956" s="238">
        <f t="shared" si="165"/>
        <v>954</v>
      </c>
      <c r="B956" s="239"/>
      <c r="C956" s="239">
        <v>3794</v>
      </c>
      <c r="D956" s="241">
        <v>0</v>
      </c>
      <c r="E956" s="242" t="s">
        <v>5457</v>
      </c>
      <c r="F956" s="243" t="s">
        <v>4686</v>
      </c>
      <c r="G956" s="244" t="s">
        <v>5458</v>
      </c>
      <c r="H956" s="245" t="s">
        <v>4361</v>
      </c>
      <c r="I956" s="246" t="s">
        <v>5459</v>
      </c>
      <c r="J956" s="247" t="s">
        <v>178</v>
      </c>
      <c r="K956" s="248">
        <v>34889</v>
      </c>
      <c r="L956" s="249" t="s">
        <v>179</v>
      </c>
      <c r="M956" s="250">
        <v>43771</v>
      </c>
      <c r="N956" s="250"/>
      <c r="O956" s="250"/>
      <c r="P956" s="238" t="s">
        <v>3634</v>
      </c>
      <c r="Q956" s="238" t="s">
        <v>249</v>
      </c>
      <c r="R956" s="238" t="s">
        <v>182</v>
      </c>
      <c r="S956" s="238" t="s">
        <v>228</v>
      </c>
      <c r="T956" s="251"/>
      <c r="U956" s="307"/>
      <c r="V956" s="274" t="s">
        <v>184</v>
      </c>
      <c r="W956" s="274" t="s">
        <v>184</v>
      </c>
      <c r="X956" s="252">
        <v>8</v>
      </c>
      <c r="Y956" s="253" t="s">
        <v>5460</v>
      </c>
      <c r="Z956" s="254"/>
      <c r="AA956" s="277" t="s">
        <v>186</v>
      </c>
      <c r="AB956" s="252"/>
      <c r="AC956" s="255"/>
      <c r="AD956" s="256" t="s">
        <v>188</v>
      </c>
      <c r="AE956" s="256" t="s">
        <v>3607</v>
      </c>
      <c r="AF956" s="257"/>
      <c r="AG956" s="258"/>
      <c r="AH956" s="259"/>
      <c r="AI956" s="259"/>
      <c r="AJ956" s="274" t="s">
        <v>203</v>
      </c>
      <c r="AK956" s="274" t="s">
        <v>190</v>
      </c>
      <c r="AL956" s="274" t="s">
        <v>190</v>
      </c>
      <c r="AM956" s="260" t="s">
        <v>3859</v>
      </c>
      <c r="AN956" s="22">
        <v>182</v>
      </c>
      <c r="AO956" s="22">
        <v>0</v>
      </c>
      <c r="AP956" s="22">
        <v>20</v>
      </c>
      <c r="AQ956" s="22">
        <v>0</v>
      </c>
      <c r="AR956" s="22">
        <v>0</v>
      </c>
      <c r="AS956" s="22">
        <v>7</v>
      </c>
      <c r="AT956" s="22">
        <v>10</v>
      </c>
      <c r="AU956" s="316">
        <f t="shared" si="155"/>
        <v>219</v>
      </c>
      <c r="AV956" s="22">
        <v>190</v>
      </c>
      <c r="AW956" s="22">
        <v>0</v>
      </c>
      <c r="AX956" s="22">
        <v>20</v>
      </c>
      <c r="AY956" s="22">
        <v>0</v>
      </c>
      <c r="AZ956" s="22">
        <v>0</v>
      </c>
      <c r="BA956" s="22">
        <v>7</v>
      </c>
      <c r="BB956" s="22">
        <v>10</v>
      </c>
      <c r="BC956" s="316">
        <f t="shared" si="156"/>
        <v>227</v>
      </c>
      <c r="BD956" s="58">
        <f t="shared" si="157"/>
        <v>8</v>
      </c>
      <c r="BE956" s="58">
        <f t="shared" si="158"/>
        <v>0</v>
      </c>
      <c r="BF956" s="58">
        <f t="shared" si="159"/>
        <v>0</v>
      </c>
      <c r="BG956" s="58">
        <f t="shared" si="160"/>
        <v>0</v>
      </c>
      <c r="BH956" s="58">
        <f t="shared" si="161"/>
        <v>0</v>
      </c>
      <c r="BI956" s="58">
        <f t="shared" si="162"/>
        <v>0</v>
      </c>
      <c r="BJ956" s="58">
        <f t="shared" si="163"/>
        <v>0</v>
      </c>
      <c r="BK956" s="58">
        <f t="shared" si="164"/>
        <v>8</v>
      </c>
    </row>
    <row r="957" spans="1:63" ht="27" customHeight="1">
      <c r="A957" s="238">
        <f t="shared" si="165"/>
        <v>955</v>
      </c>
      <c r="B957" s="239"/>
      <c r="C957" s="239">
        <v>3802</v>
      </c>
      <c r="D957" s="241" t="s">
        <v>5461</v>
      </c>
      <c r="E957" s="242" t="s">
        <v>5462</v>
      </c>
      <c r="F957" s="243" t="s">
        <v>1653</v>
      </c>
      <c r="G957" s="244" t="s">
        <v>1577</v>
      </c>
      <c r="H957" s="245" t="s">
        <v>1605</v>
      </c>
      <c r="I957" s="246" t="s">
        <v>5463</v>
      </c>
      <c r="J957" s="247" t="s">
        <v>178</v>
      </c>
      <c r="K957" s="248">
        <v>35710</v>
      </c>
      <c r="L957" s="249" t="s">
        <v>179</v>
      </c>
      <c r="M957" s="250">
        <v>43773</v>
      </c>
      <c r="N957" s="250"/>
      <c r="O957" s="250"/>
      <c r="P957" s="238" t="s">
        <v>3638</v>
      </c>
      <c r="Q957" s="238" t="s">
        <v>249</v>
      </c>
      <c r="R957" s="238" t="s">
        <v>182</v>
      </c>
      <c r="S957" s="238" t="s">
        <v>228</v>
      </c>
      <c r="T957" s="251"/>
      <c r="U957" s="307"/>
      <c r="V957" s="274" t="s">
        <v>184</v>
      </c>
      <c r="W957" s="274" t="s">
        <v>184</v>
      </c>
      <c r="X957" s="252">
        <v>9</v>
      </c>
      <c r="Y957" s="253" t="s">
        <v>3665</v>
      </c>
      <c r="Z957" s="254"/>
      <c r="AA957" s="277" t="s">
        <v>186</v>
      </c>
      <c r="AB957" s="252"/>
      <c r="AC957" s="255"/>
      <c r="AD957" s="256" t="s">
        <v>3607</v>
      </c>
      <c r="AE957" s="256"/>
      <c r="AF957" s="257"/>
      <c r="AG957" s="258"/>
      <c r="AH957" s="259"/>
      <c r="AI957" s="259"/>
      <c r="AJ957" s="274" t="s">
        <v>203</v>
      </c>
      <c r="AK957" s="274" t="s">
        <v>190</v>
      </c>
      <c r="AL957" s="274" t="s">
        <v>190</v>
      </c>
      <c r="AM957" s="260" t="s">
        <v>3859</v>
      </c>
      <c r="AN957" s="22">
        <v>182</v>
      </c>
      <c r="AO957" s="22">
        <v>0</v>
      </c>
      <c r="AP957" s="22">
        <v>20</v>
      </c>
      <c r="AQ957" s="22">
        <v>0</v>
      </c>
      <c r="AR957" s="22">
        <v>0</v>
      </c>
      <c r="AS957" s="22">
        <v>7</v>
      </c>
      <c r="AT957" s="22">
        <v>10</v>
      </c>
      <c r="AU957" s="316">
        <f t="shared" si="155"/>
        <v>219</v>
      </c>
      <c r="AV957" s="22">
        <v>190</v>
      </c>
      <c r="AW957" s="22">
        <v>0</v>
      </c>
      <c r="AX957" s="22">
        <v>20</v>
      </c>
      <c r="AY957" s="22">
        <v>0</v>
      </c>
      <c r="AZ957" s="22">
        <v>0</v>
      </c>
      <c r="BA957" s="22">
        <v>7</v>
      </c>
      <c r="BB957" s="22">
        <v>10</v>
      </c>
      <c r="BC957" s="316">
        <f t="shared" si="156"/>
        <v>227</v>
      </c>
      <c r="BD957" s="58">
        <f t="shared" si="157"/>
        <v>8</v>
      </c>
      <c r="BE957" s="58">
        <f t="shared" si="158"/>
        <v>0</v>
      </c>
      <c r="BF957" s="58">
        <f t="shared" si="159"/>
        <v>0</v>
      </c>
      <c r="BG957" s="58">
        <f t="shared" si="160"/>
        <v>0</v>
      </c>
      <c r="BH957" s="58">
        <f t="shared" si="161"/>
        <v>0</v>
      </c>
      <c r="BI957" s="58">
        <f t="shared" si="162"/>
        <v>0</v>
      </c>
      <c r="BJ957" s="58">
        <f t="shared" si="163"/>
        <v>0</v>
      </c>
      <c r="BK957" s="58">
        <f t="shared" si="164"/>
        <v>8</v>
      </c>
    </row>
    <row r="958" spans="1:63" ht="27" customHeight="1">
      <c r="A958" s="238">
        <f t="shared" si="165"/>
        <v>956</v>
      </c>
      <c r="B958" s="239"/>
      <c r="C958" s="239">
        <v>3796</v>
      </c>
      <c r="D958" s="241" t="s">
        <v>5464</v>
      </c>
      <c r="E958" s="242" t="s">
        <v>5465</v>
      </c>
      <c r="F958" s="243" t="s">
        <v>4837</v>
      </c>
      <c r="G958" s="244" t="s">
        <v>831</v>
      </c>
      <c r="H958" s="245" t="s">
        <v>644</v>
      </c>
      <c r="I958" s="246" t="s">
        <v>2236</v>
      </c>
      <c r="J958" s="247" t="s">
        <v>178</v>
      </c>
      <c r="K958" s="248">
        <v>30383</v>
      </c>
      <c r="L958" s="249" t="s">
        <v>179</v>
      </c>
      <c r="M958" s="250">
        <v>43773</v>
      </c>
      <c r="N958" s="250"/>
      <c r="O958" s="250"/>
      <c r="P958" s="238" t="s">
        <v>3950</v>
      </c>
      <c r="Q958" s="238" t="s">
        <v>249</v>
      </c>
      <c r="R958" s="238" t="s">
        <v>182</v>
      </c>
      <c r="S958" s="238" t="s">
        <v>228</v>
      </c>
      <c r="T958" s="251"/>
      <c r="U958" s="307"/>
      <c r="V958" s="274" t="s">
        <v>184</v>
      </c>
      <c r="W958" s="274" t="s">
        <v>184</v>
      </c>
      <c r="X958" s="252">
        <v>10</v>
      </c>
      <c r="Y958" s="253" t="s">
        <v>5466</v>
      </c>
      <c r="Z958" s="254"/>
      <c r="AA958" s="277" t="s">
        <v>186</v>
      </c>
      <c r="AB958" s="252"/>
      <c r="AC958" s="255"/>
      <c r="AD958" s="256" t="s">
        <v>188</v>
      </c>
      <c r="AE958" s="256" t="s">
        <v>3607</v>
      </c>
      <c r="AF958" s="257"/>
      <c r="AG958" s="258"/>
      <c r="AH958" s="259"/>
      <c r="AI958" s="259"/>
      <c r="AJ958" s="274" t="s">
        <v>203</v>
      </c>
      <c r="AK958" s="274" t="s">
        <v>190</v>
      </c>
      <c r="AL958" s="274" t="s">
        <v>190</v>
      </c>
      <c r="AM958" s="260" t="s">
        <v>3859</v>
      </c>
      <c r="AN958" s="22">
        <v>182</v>
      </c>
      <c r="AO958" s="22">
        <v>0</v>
      </c>
      <c r="AP958" s="22">
        <v>20</v>
      </c>
      <c r="AQ958" s="22">
        <v>0</v>
      </c>
      <c r="AR958" s="22">
        <v>0</v>
      </c>
      <c r="AS958" s="22">
        <v>7</v>
      </c>
      <c r="AT958" s="22">
        <v>10</v>
      </c>
      <c r="AU958" s="316">
        <f t="shared" si="155"/>
        <v>219</v>
      </c>
      <c r="AV958" s="22">
        <v>190</v>
      </c>
      <c r="AW958" s="22">
        <v>0</v>
      </c>
      <c r="AX958" s="22">
        <v>20</v>
      </c>
      <c r="AY958" s="22">
        <v>0</v>
      </c>
      <c r="AZ958" s="22">
        <v>0</v>
      </c>
      <c r="BA958" s="22">
        <v>7</v>
      </c>
      <c r="BB958" s="22">
        <v>10</v>
      </c>
      <c r="BC958" s="316">
        <f t="shared" si="156"/>
        <v>227</v>
      </c>
      <c r="BD958" s="58">
        <f t="shared" si="157"/>
        <v>8</v>
      </c>
      <c r="BE958" s="58">
        <f t="shared" si="158"/>
        <v>0</v>
      </c>
      <c r="BF958" s="58">
        <f t="shared" si="159"/>
        <v>0</v>
      </c>
      <c r="BG958" s="58">
        <f t="shared" si="160"/>
        <v>0</v>
      </c>
      <c r="BH958" s="58">
        <f t="shared" si="161"/>
        <v>0</v>
      </c>
      <c r="BI958" s="58">
        <f t="shared" si="162"/>
        <v>0</v>
      </c>
      <c r="BJ958" s="58">
        <f t="shared" si="163"/>
        <v>0</v>
      </c>
      <c r="BK958" s="58">
        <f t="shared" si="164"/>
        <v>8</v>
      </c>
    </row>
    <row r="959" spans="1:63" ht="27" customHeight="1">
      <c r="A959" s="238">
        <f t="shared" si="165"/>
        <v>957</v>
      </c>
      <c r="B959" s="239"/>
      <c r="C959" s="239">
        <v>3803</v>
      </c>
      <c r="D959" s="241" t="s">
        <v>5467</v>
      </c>
      <c r="E959" s="242" t="s">
        <v>5468</v>
      </c>
      <c r="F959" s="243" t="s">
        <v>5146</v>
      </c>
      <c r="G959" s="244" t="s">
        <v>5469</v>
      </c>
      <c r="H959" s="245" t="s">
        <v>1092</v>
      </c>
      <c r="I959" s="246" t="s">
        <v>5470</v>
      </c>
      <c r="J959" s="247" t="s">
        <v>178</v>
      </c>
      <c r="K959" s="248">
        <v>34435</v>
      </c>
      <c r="L959" s="249" t="s">
        <v>179</v>
      </c>
      <c r="M959" s="250">
        <v>43773</v>
      </c>
      <c r="N959" s="250"/>
      <c r="O959" s="250"/>
      <c r="P959" s="238" t="s">
        <v>3950</v>
      </c>
      <c r="Q959" s="238" t="s">
        <v>249</v>
      </c>
      <c r="R959" s="238" t="s">
        <v>182</v>
      </c>
      <c r="S959" s="238" t="s">
        <v>219</v>
      </c>
      <c r="T959" s="251"/>
      <c r="U959" s="307"/>
      <c r="V959" s="274" t="s">
        <v>184</v>
      </c>
      <c r="W959" s="274" t="s">
        <v>184</v>
      </c>
      <c r="X959" s="252">
        <v>7</v>
      </c>
      <c r="Y959" s="253" t="s">
        <v>5471</v>
      </c>
      <c r="Z959" s="254"/>
      <c r="AA959" s="277" t="s">
        <v>186</v>
      </c>
      <c r="AB959" s="252"/>
      <c r="AC959" s="255"/>
      <c r="AD959" s="256"/>
      <c r="AE959" s="256"/>
      <c r="AF959" s="257"/>
      <c r="AG959" s="258"/>
      <c r="AH959" s="259"/>
      <c r="AI959" s="259"/>
      <c r="AJ959" s="274" t="s">
        <v>203</v>
      </c>
      <c r="AK959" s="274" t="s">
        <v>190</v>
      </c>
      <c r="AL959" s="274" t="s">
        <v>190</v>
      </c>
      <c r="AM959" s="260" t="s">
        <v>3916</v>
      </c>
      <c r="AN959" s="22">
        <v>182</v>
      </c>
      <c r="AO959" s="22">
        <v>0</v>
      </c>
      <c r="AP959" s="22">
        <v>20</v>
      </c>
      <c r="AQ959" s="22">
        <v>20</v>
      </c>
      <c r="AR959" s="22">
        <v>0</v>
      </c>
      <c r="AS959" s="22">
        <v>7</v>
      </c>
      <c r="AT959" s="22">
        <v>10</v>
      </c>
      <c r="AU959" s="316">
        <f t="shared" si="155"/>
        <v>239</v>
      </c>
      <c r="AV959" s="22">
        <v>190</v>
      </c>
      <c r="AW959" s="22">
        <v>0</v>
      </c>
      <c r="AX959" s="22">
        <v>20</v>
      </c>
      <c r="AY959" s="22">
        <v>20</v>
      </c>
      <c r="AZ959" s="22">
        <v>0</v>
      </c>
      <c r="BA959" s="22">
        <v>7</v>
      </c>
      <c r="BB959" s="22">
        <v>10</v>
      </c>
      <c r="BC959" s="316">
        <f t="shared" si="156"/>
        <v>247</v>
      </c>
      <c r="BD959" s="58">
        <f t="shared" si="157"/>
        <v>8</v>
      </c>
      <c r="BE959" s="58">
        <f t="shared" si="158"/>
        <v>0</v>
      </c>
      <c r="BF959" s="58">
        <f t="shared" si="159"/>
        <v>0</v>
      </c>
      <c r="BG959" s="58">
        <f t="shared" si="160"/>
        <v>0</v>
      </c>
      <c r="BH959" s="58">
        <f t="shared" si="161"/>
        <v>0</v>
      </c>
      <c r="BI959" s="58">
        <f t="shared" si="162"/>
        <v>0</v>
      </c>
      <c r="BJ959" s="58">
        <f t="shared" si="163"/>
        <v>0</v>
      </c>
      <c r="BK959" s="58">
        <f t="shared" si="164"/>
        <v>8</v>
      </c>
    </row>
    <row r="960" spans="1:63" ht="27" customHeight="1">
      <c r="A960" s="238">
        <f t="shared" si="165"/>
        <v>958</v>
      </c>
      <c r="B960" s="239"/>
      <c r="C960" s="239">
        <v>3772</v>
      </c>
      <c r="D960" s="241" t="s">
        <v>5472</v>
      </c>
      <c r="E960" s="242" t="s">
        <v>5473</v>
      </c>
      <c r="F960" s="243" t="s">
        <v>5474</v>
      </c>
      <c r="G960" s="244" t="s">
        <v>1736</v>
      </c>
      <c r="H960" s="245" t="s">
        <v>5475</v>
      </c>
      <c r="I960" s="246" t="s">
        <v>1738</v>
      </c>
      <c r="J960" s="247" t="s">
        <v>178</v>
      </c>
      <c r="K960" s="248">
        <v>32874</v>
      </c>
      <c r="L960" s="249" t="s">
        <v>179</v>
      </c>
      <c r="M960" s="250">
        <v>43773</v>
      </c>
      <c r="N960" s="250"/>
      <c r="O960" s="250"/>
      <c r="P960" s="238" t="s">
        <v>3940</v>
      </c>
      <c r="Q960" s="238" t="s">
        <v>249</v>
      </c>
      <c r="R960" s="238" t="s">
        <v>182</v>
      </c>
      <c r="S960" s="238" t="s">
        <v>3601</v>
      </c>
      <c r="T960" s="251"/>
      <c r="U960" s="307"/>
      <c r="V960" s="252" t="s">
        <v>184</v>
      </c>
      <c r="W960" s="252">
        <v>16</v>
      </c>
      <c r="X960" s="252">
        <v>6</v>
      </c>
      <c r="Y960" s="253" t="s">
        <v>5476</v>
      </c>
      <c r="Z960" s="254"/>
      <c r="AA960" s="277" t="s">
        <v>186</v>
      </c>
      <c r="AB960" s="252"/>
      <c r="AC960" s="255"/>
      <c r="AD960" s="256" t="s">
        <v>188</v>
      </c>
      <c r="AE960" s="256"/>
      <c r="AF960" s="257"/>
      <c r="AG960" s="258"/>
      <c r="AH960" s="259"/>
      <c r="AI960" s="259"/>
      <c r="AJ960" s="274" t="s">
        <v>203</v>
      </c>
      <c r="AK960" s="274" t="s">
        <v>190</v>
      </c>
      <c r="AL960" s="274" t="s">
        <v>190</v>
      </c>
      <c r="AM960" s="260" t="s">
        <v>3859</v>
      </c>
      <c r="AN960" s="22">
        <v>182</v>
      </c>
      <c r="AO960" s="22">
        <v>0</v>
      </c>
      <c r="AP960" s="22">
        <v>20</v>
      </c>
      <c r="AQ960" s="22">
        <v>0</v>
      </c>
      <c r="AR960" s="22">
        <v>0</v>
      </c>
      <c r="AS960" s="22">
        <v>7</v>
      </c>
      <c r="AT960" s="22">
        <v>10</v>
      </c>
      <c r="AU960" s="316">
        <f t="shared" si="155"/>
        <v>219</v>
      </c>
      <c r="AV960" s="22">
        <v>190</v>
      </c>
      <c r="AW960" s="22">
        <v>0</v>
      </c>
      <c r="AX960" s="22">
        <v>20</v>
      </c>
      <c r="AY960" s="22">
        <v>0</v>
      </c>
      <c r="AZ960" s="22">
        <v>0</v>
      </c>
      <c r="BA960" s="22">
        <v>7</v>
      </c>
      <c r="BB960" s="22">
        <v>10</v>
      </c>
      <c r="BC960" s="316">
        <f t="shared" si="156"/>
        <v>227</v>
      </c>
      <c r="BD960" s="58">
        <f t="shared" si="157"/>
        <v>8</v>
      </c>
      <c r="BE960" s="58">
        <f t="shared" si="158"/>
        <v>0</v>
      </c>
      <c r="BF960" s="58">
        <f t="shared" si="159"/>
        <v>0</v>
      </c>
      <c r="BG960" s="58">
        <f t="shared" si="160"/>
        <v>0</v>
      </c>
      <c r="BH960" s="58">
        <f t="shared" si="161"/>
        <v>0</v>
      </c>
      <c r="BI960" s="58">
        <f t="shared" si="162"/>
        <v>0</v>
      </c>
      <c r="BJ960" s="58">
        <f t="shared" si="163"/>
        <v>0</v>
      </c>
      <c r="BK960" s="58">
        <f t="shared" si="164"/>
        <v>8</v>
      </c>
    </row>
    <row r="961" spans="1:63" ht="27" customHeight="1">
      <c r="A961" s="238">
        <f t="shared" si="165"/>
        <v>959</v>
      </c>
      <c r="B961" s="239"/>
      <c r="C961" s="239">
        <v>3787</v>
      </c>
      <c r="D961" s="241" t="s">
        <v>5477</v>
      </c>
      <c r="E961" s="242" t="s">
        <v>296</v>
      </c>
      <c r="F961" s="243" t="s">
        <v>5478</v>
      </c>
      <c r="G961" s="244" t="s">
        <v>4773</v>
      </c>
      <c r="H961" s="245">
        <v>0</v>
      </c>
      <c r="I961" s="246">
        <v>0</v>
      </c>
      <c r="J961" s="247" t="s">
        <v>178</v>
      </c>
      <c r="K961" s="248">
        <v>31096</v>
      </c>
      <c r="L961" s="249" t="s">
        <v>179</v>
      </c>
      <c r="M961" s="250">
        <v>43770</v>
      </c>
      <c r="N961" s="250"/>
      <c r="O961" s="250"/>
      <c r="P961" s="238" t="s">
        <v>3634</v>
      </c>
      <c r="Q961" s="238" t="s">
        <v>249</v>
      </c>
      <c r="R961" s="238" t="s">
        <v>182</v>
      </c>
      <c r="S961" s="238" t="s">
        <v>3601</v>
      </c>
      <c r="T961" s="251"/>
      <c r="U961" s="307"/>
      <c r="V961" s="252" t="s">
        <v>184</v>
      </c>
      <c r="W961" s="252">
        <v>2629</v>
      </c>
      <c r="X961" s="252">
        <v>7</v>
      </c>
      <c r="Y961" s="253" t="s">
        <v>5479</v>
      </c>
      <c r="Z961" s="254"/>
      <c r="AA961" s="277" t="s">
        <v>186</v>
      </c>
      <c r="AB961" s="252"/>
      <c r="AC961" s="255" t="s">
        <v>3888</v>
      </c>
      <c r="AD961" s="255" t="s">
        <v>3888</v>
      </c>
      <c r="AE961" s="255" t="s">
        <v>3888</v>
      </c>
      <c r="AF961" s="255" t="s">
        <v>3888</v>
      </c>
      <c r="AG961" s="255" t="s">
        <v>3607</v>
      </c>
      <c r="AH961" s="259"/>
      <c r="AI961" s="259"/>
      <c r="AJ961" s="274" t="s">
        <v>203</v>
      </c>
      <c r="AK961" s="274" t="s">
        <v>190</v>
      </c>
      <c r="AL961" s="274" t="s">
        <v>190</v>
      </c>
      <c r="AM961" s="260" t="s">
        <v>3859</v>
      </c>
      <c r="AN961" s="22">
        <v>182</v>
      </c>
      <c r="AO961" s="22">
        <v>0</v>
      </c>
      <c r="AP961" s="22">
        <v>20</v>
      </c>
      <c r="AQ961" s="22">
        <v>0</v>
      </c>
      <c r="AR961" s="22">
        <v>0</v>
      </c>
      <c r="AS961" s="22">
        <v>7</v>
      </c>
      <c r="AT961" s="22">
        <v>10</v>
      </c>
      <c r="AU961" s="316">
        <f t="shared" si="155"/>
        <v>219</v>
      </c>
      <c r="AV961" s="22">
        <v>190</v>
      </c>
      <c r="AW961" s="22">
        <v>0</v>
      </c>
      <c r="AX961" s="22">
        <v>20</v>
      </c>
      <c r="AY961" s="22">
        <v>0</v>
      </c>
      <c r="AZ961" s="22">
        <v>0</v>
      </c>
      <c r="BA961" s="22">
        <v>7</v>
      </c>
      <c r="BB961" s="22">
        <v>10</v>
      </c>
      <c r="BC961" s="316">
        <f t="shared" si="156"/>
        <v>227</v>
      </c>
      <c r="BD961" s="58">
        <f t="shared" si="157"/>
        <v>8</v>
      </c>
      <c r="BE961" s="58">
        <f t="shared" si="158"/>
        <v>0</v>
      </c>
      <c r="BF961" s="58">
        <f t="shared" si="159"/>
        <v>0</v>
      </c>
      <c r="BG961" s="58">
        <f t="shared" si="160"/>
        <v>0</v>
      </c>
      <c r="BH961" s="58">
        <f t="shared" si="161"/>
        <v>0</v>
      </c>
      <c r="BI961" s="58">
        <f t="shared" si="162"/>
        <v>0</v>
      </c>
      <c r="BJ961" s="58">
        <f t="shared" si="163"/>
        <v>0</v>
      </c>
      <c r="BK961" s="58">
        <f t="shared" si="164"/>
        <v>8</v>
      </c>
    </row>
    <row r="962" spans="1:63" ht="27" customHeight="1">
      <c r="A962" s="238">
        <f t="shared" si="165"/>
        <v>960</v>
      </c>
      <c r="B962" s="239"/>
      <c r="C962" s="239">
        <v>3784</v>
      </c>
      <c r="D962" s="241" t="s">
        <v>5480</v>
      </c>
      <c r="E962" s="242" t="s">
        <v>5481</v>
      </c>
      <c r="F962" s="243" t="s">
        <v>4170</v>
      </c>
      <c r="G962" s="244" t="s">
        <v>3804</v>
      </c>
      <c r="H962" s="245" t="s">
        <v>5015</v>
      </c>
      <c r="I962" s="246" t="s">
        <v>5400</v>
      </c>
      <c r="J962" s="247" t="s">
        <v>178</v>
      </c>
      <c r="K962" s="248">
        <v>34610</v>
      </c>
      <c r="L962" s="249" t="s">
        <v>179</v>
      </c>
      <c r="M962" s="250">
        <v>43770</v>
      </c>
      <c r="N962" s="250"/>
      <c r="O962" s="250"/>
      <c r="P962" s="238" t="s">
        <v>3649</v>
      </c>
      <c r="Q962" s="238" t="s">
        <v>249</v>
      </c>
      <c r="R962" s="238" t="s">
        <v>182</v>
      </c>
      <c r="S962" s="238" t="s">
        <v>2505</v>
      </c>
      <c r="T962" s="251"/>
      <c r="U962" s="307"/>
      <c r="V962" s="252" t="s">
        <v>184</v>
      </c>
      <c r="W962" s="252" t="s">
        <v>184</v>
      </c>
      <c r="X962" s="252">
        <v>9</v>
      </c>
      <c r="Y962" s="253" t="s">
        <v>5482</v>
      </c>
      <c r="Z962" s="254"/>
      <c r="AA962" s="277" t="s">
        <v>186</v>
      </c>
      <c r="AB962" s="252"/>
      <c r="AC962" s="255" t="s">
        <v>5483</v>
      </c>
      <c r="AD962" s="256"/>
      <c r="AE962" s="256"/>
      <c r="AF962" s="257"/>
      <c r="AG962" s="258"/>
      <c r="AH962" s="259"/>
      <c r="AI962" s="259"/>
      <c r="AJ962" s="274" t="s">
        <v>203</v>
      </c>
      <c r="AK962" s="274" t="s">
        <v>190</v>
      </c>
      <c r="AL962" s="274" t="s">
        <v>190</v>
      </c>
      <c r="AM962" s="260" t="s">
        <v>3859</v>
      </c>
      <c r="AN962" s="22">
        <v>182</v>
      </c>
      <c r="AO962" s="22">
        <v>0</v>
      </c>
      <c r="AP962" s="22">
        <v>20</v>
      </c>
      <c r="AQ962" s="22">
        <v>0</v>
      </c>
      <c r="AR962" s="22">
        <v>0</v>
      </c>
      <c r="AS962" s="22">
        <v>7</v>
      </c>
      <c r="AT962" s="22">
        <v>10</v>
      </c>
      <c r="AU962" s="316">
        <f t="shared" si="155"/>
        <v>219</v>
      </c>
      <c r="AV962" s="22">
        <v>190</v>
      </c>
      <c r="AW962" s="22">
        <v>0</v>
      </c>
      <c r="AX962" s="22">
        <v>20</v>
      </c>
      <c r="AY962" s="22">
        <v>0</v>
      </c>
      <c r="AZ962" s="22">
        <v>0</v>
      </c>
      <c r="BA962" s="22">
        <v>7</v>
      </c>
      <c r="BB962" s="22">
        <v>10</v>
      </c>
      <c r="BC962" s="316">
        <f t="shared" si="156"/>
        <v>227</v>
      </c>
      <c r="BD962" s="58">
        <f t="shared" si="157"/>
        <v>8</v>
      </c>
      <c r="BE962" s="58">
        <f t="shared" si="158"/>
        <v>0</v>
      </c>
      <c r="BF962" s="58">
        <f t="shared" si="159"/>
        <v>0</v>
      </c>
      <c r="BG962" s="58">
        <f t="shared" si="160"/>
        <v>0</v>
      </c>
      <c r="BH962" s="58">
        <f t="shared" si="161"/>
        <v>0</v>
      </c>
      <c r="BI962" s="58">
        <f t="shared" si="162"/>
        <v>0</v>
      </c>
      <c r="BJ962" s="58">
        <f t="shared" si="163"/>
        <v>0</v>
      </c>
      <c r="BK962" s="58">
        <f t="shared" si="164"/>
        <v>8</v>
      </c>
    </row>
    <row r="963" spans="1:63" ht="27" customHeight="1">
      <c r="A963" s="238">
        <f t="shared" si="165"/>
        <v>961</v>
      </c>
      <c r="B963" s="239"/>
      <c r="C963" s="239">
        <v>3782</v>
      </c>
      <c r="D963" s="241" t="s">
        <v>5484</v>
      </c>
      <c r="E963" s="242" t="s">
        <v>5485</v>
      </c>
      <c r="F963" s="243" t="s">
        <v>392</v>
      </c>
      <c r="G963" s="244" t="s">
        <v>742</v>
      </c>
      <c r="H963" s="245" t="s">
        <v>1770</v>
      </c>
      <c r="I963" s="246" t="s">
        <v>24</v>
      </c>
      <c r="J963" s="247" t="s">
        <v>178</v>
      </c>
      <c r="K963" s="248">
        <v>30076</v>
      </c>
      <c r="L963" s="249" t="s">
        <v>179</v>
      </c>
      <c r="M963" s="250">
        <v>43770</v>
      </c>
      <c r="N963" s="250"/>
      <c r="O963" s="250"/>
      <c r="P963" s="238" t="e">
        <v>#N/A</v>
      </c>
      <c r="Q963" s="238" t="s">
        <v>249</v>
      </c>
      <c r="R963" s="238" t="s">
        <v>182</v>
      </c>
      <c r="S963" s="238" t="s">
        <v>2505</v>
      </c>
      <c r="T963" s="251"/>
      <c r="U963" s="307"/>
      <c r="V963" s="252" t="s">
        <v>184</v>
      </c>
      <c r="W963" s="252" t="s">
        <v>184</v>
      </c>
      <c r="X963" s="252">
        <v>1</v>
      </c>
      <c r="Y963" s="253" t="s">
        <v>5372</v>
      </c>
      <c r="Z963" s="254"/>
      <c r="AA963" s="277" t="s">
        <v>186</v>
      </c>
      <c r="AB963" s="252"/>
      <c r="AC963" s="255"/>
      <c r="AD963" s="256" t="s">
        <v>5341</v>
      </c>
      <c r="AE963" s="256" t="s">
        <v>188</v>
      </c>
      <c r="AF963" s="257" t="s">
        <v>188</v>
      </c>
      <c r="AG963" s="258"/>
      <c r="AH963" s="259"/>
      <c r="AI963" s="259"/>
      <c r="AJ963" s="274" t="s">
        <v>203</v>
      </c>
      <c r="AK963" s="274" t="s">
        <v>190</v>
      </c>
      <c r="AL963" s="274" t="s">
        <v>190</v>
      </c>
      <c r="AM963" s="260" t="s">
        <v>3859</v>
      </c>
      <c r="AN963" s="22">
        <v>182</v>
      </c>
      <c r="AO963" s="22">
        <v>0</v>
      </c>
      <c r="AP963" s="22">
        <v>0</v>
      </c>
      <c r="AQ963" s="22">
        <v>0</v>
      </c>
      <c r="AR963" s="22">
        <v>0</v>
      </c>
      <c r="AS963" s="22">
        <v>7</v>
      </c>
      <c r="AT963" s="22">
        <v>10</v>
      </c>
      <c r="AU963" s="316">
        <f t="shared" si="155"/>
        <v>199</v>
      </c>
      <c r="AV963" s="22">
        <v>190</v>
      </c>
      <c r="AW963" s="22">
        <v>0</v>
      </c>
      <c r="AX963" s="22">
        <v>0</v>
      </c>
      <c r="AY963" s="22">
        <v>0</v>
      </c>
      <c r="AZ963" s="22">
        <v>0</v>
      </c>
      <c r="BA963" s="22">
        <v>7</v>
      </c>
      <c r="BB963" s="22">
        <v>10</v>
      </c>
      <c r="BC963" s="316">
        <f t="shared" si="156"/>
        <v>207</v>
      </c>
      <c r="BD963" s="58">
        <f t="shared" si="157"/>
        <v>8</v>
      </c>
      <c r="BE963" s="58">
        <f t="shared" si="158"/>
        <v>0</v>
      </c>
      <c r="BF963" s="58">
        <f t="shared" si="159"/>
        <v>0</v>
      </c>
      <c r="BG963" s="58">
        <f t="shared" si="160"/>
        <v>0</v>
      </c>
      <c r="BH963" s="58">
        <f t="shared" si="161"/>
        <v>0</v>
      </c>
      <c r="BI963" s="58">
        <f t="shared" si="162"/>
        <v>0</v>
      </c>
      <c r="BJ963" s="58">
        <f t="shared" si="163"/>
        <v>0</v>
      </c>
      <c r="BK963" s="58">
        <f t="shared" si="164"/>
        <v>8</v>
      </c>
    </row>
    <row r="964" spans="1:63" ht="27" customHeight="1">
      <c r="A964" s="238">
        <f t="shared" si="165"/>
        <v>962</v>
      </c>
      <c r="B964" s="239"/>
      <c r="C964" s="239">
        <v>3812</v>
      </c>
      <c r="D964" s="241" t="s">
        <v>5486</v>
      </c>
      <c r="E964" s="242" t="s">
        <v>5487</v>
      </c>
      <c r="F964" s="243" t="s">
        <v>5488</v>
      </c>
      <c r="G964" s="244" t="s">
        <v>1641</v>
      </c>
      <c r="H964" s="245" t="s">
        <v>5489</v>
      </c>
      <c r="I964" s="246" t="s">
        <v>1149</v>
      </c>
      <c r="J964" s="247" t="s">
        <v>178</v>
      </c>
      <c r="K964" s="248">
        <v>31618</v>
      </c>
      <c r="L964" s="249" t="s">
        <v>179</v>
      </c>
      <c r="M964" s="250">
        <v>43783</v>
      </c>
      <c r="N964" s="250"/>
      <c r="O964" s="250" t="s">
        <v>4090</v>
      </c>
      <c r="P964" s="238" t="e">
        <v>#N/A</v>
      </c>
      <c r="Q964" s="238" t="s">
        <v>249</v>
      </c>
      <c r="R964" s="238" t="s">
        <v>182</v>
      </c>
      <c r="S964" s="238" t="s">
        <v>228</v>
      </c>
      <c r="T964" s="251"/>
      <c r="U964" s="307"/>
      <c r="V964" s="252" t="s">
        <v>184</v>
      </c>
      <c r="W964" s="252" t="s">
        <v>184</v>
      </c>
      <c r="X964" s="252">
        <v>3</v>
      </c>
      <c r="Y964" s="253" t="s">
        <v>5490</v>
      </c>
      <c r="Z964" s="254"/>
      <c r="AA964" s="277" t="s">
        <v>186</v>
      </c>
      <c r="AB964" s="252"/>
      <c r="AC964" s="255"/>
      <c r="AD964" s="256" t="s">
        <v>188</v>
      </c>
      <c r="AE964" s="256" t="s">
        <v>188</v>
      </c>
      <c r="AF964" s="257"/>
      <c r="AG964" s="258"/>
      <c r="AH964" s="259"/>
      <c r="AI964" s="259"/>
      <c r="AJ964" s="274" t="s">
        <v>203</v>
      </c>
      <c r="AK964" s="274" t="s">
        <v>190</v>
      </c>
      <c r="AL964" s="274" t="s">
        <v>190</v>
      </c>
      <c r="AM964" s="260" t="s">
        <v>3859</v>
      </c>
      <c r="AN964" s="22">
        <v>182</v>
      </c>
      <c r="AO964" s="22">
        <v>0</v>
      </c>
      <c r="AP964" s="22">
        <v>20</v>
      </c>
      <c r="AQ964" s="22">
        <v>0</v>
      </c>
      <c r="AR964" s="22">
        <v>0</v>
      </c>
      <c r="AS964" s="22">
        <v>7</v>
      </c>
      <c r="AT964" s="22">
        <v>10</v>
      </c>
      <c r="AU964" s="316">
        <f t="shared" ref="AU964:AU1027" si="166">SUM(AN964:AT964)</f>
        <v>219</v>
      </c>
      <c r="AV964" s="22">
        <v>190</v>
      </c>
      <c r="AW964" s="22">
        <v>0</v>
      </c>
      <c r="AX964" s="22">
        <v>20</v>
      </c>
      <c r="AY964" s="22">
        <v>0</v>
      </c>
      <c r="AZ964" s="22">
        <v>0</v>
      </c>
      <c r="BA964" s="22">
        <v>7</v>
      </c>
      <c r="BB964" s="22">
        <v>10</v>
      </c>
      <c r="BC964" s="316">
        <f t="shared" ref="BC964:BC1027" si="167">SUM(AV964:BB964)</f>
        <v>227</v>
      </c>
      <c r="BD964" s="58">
        <f t="shared" ref="BD964:BD1027" si="168">AV964-AN964</f>
        <v>8</v>
      </c>
      <c r="BE964" s="58">
        <f t="shared" ref="BE964:BE1027" si="169">AW964-AO964</f>
        <v>0</v>
      </c>
      <c r="BF964" s="58">
        <f t="shared" ref="BF964:BF1027" si="170">AX964-AP964</f>
        <v>0</v>
      </c>
      <c r="BG964" s="58">
        <f t="shared" ref="BG964:BG1027" si="171">AY964-AQ964</f>
        <v>0</v>
      </c>
      <c r="BH964" s="58">
        <f t="shared" ref="BH964:BH1027" si="172">AZ964-AR964</f>
        <v>0</v>
      </c>
      <c r="BI964" s="58">
        <f t="shared" ref="BI964:BI1027" si="173">BA964-AS964</f>
        <v>0</v>
      </c>
      <c r="BJ964" s="58">
        <f t="shared" ref="BJ964:BJ1027" si="174">BB964-AT964</f>
        <v>0</v>
      </c>
      <c r="BK964" s="58">
        <f t="shared" ref="BK964:BK1027" si="175">BC964-AU964</f>
        <v>8</v>
      </c>
    </row>
    <row r="965" spans="1:63" ht="27" customHeight="1">
      <c r="A965" s="238">
        <f t="shared" ref="A965:A1028" si="176">1+A964</f>
        <v>963</v>
      </c>
      <c r="B965" s="239"/>
      <c r="C965" s="239">
        <v>3801</v>
      </c>
      <c r="D965" s="241" t="s">
        <v>5491</v>
      </c>
      <c r="E965" s="242" t="s">
        <v>5492</v>
      </c>
      <c r="F965" s="243" t="s">
        <v>1653</v>
      </c>
      <c r="G965" s="244" t="s">
        <v>5493</v>
      </c>
      <c r="H965" s="245" t="s">
        <v>5494</v>
      </c>
      <c r="I965" s="246" t="s">
        <v>4879</v>
      </c>
      <c r="J965" s="247" t="s">
        <v>178</v>
      </c>
      <c r="K965" s="248">
        <v>34093</v>
      </c>
      <c r="L965" s="249" t="s">
        <v>179</v>
      </c>
      <c r="M965" s="250">
        <v>43773</v>
      </c>
      <c r="N965" s="250"/>
      <c r="O965" s="250"/>
      <c r="P965" s="238" t="s">
        <v>3950</v>
      </c>
      <c r="Q965" s="238" t="s">
        <v>249</v>
      </c>
      <c r="R965" s="238" t="s">
        <v>182</v>
      </c>
      <c r="S965" s="238" t="s">
        <v>228</v>
      </c>
      <c r="T965" s="251"/>
      <c r="U965" s="307"/>
      <c r="V965" s="252" t="s">
        <v>184</v>
      </c>
      <c r="W965" s="252" t="s">
        <v>184</v>
      </c>
      <c r="X965" s="252">
        <v>5</v>
      </c>
      <c r="Y965" s="253" t="s">
        <v>5495</v>
      </c>
      <c r="Z965" s="254"/>
      <c r="AA965" s="277" t="s">
        <v>186</v>
      </c>
      <c r="AB965" s="252"/>
      <c r="AC965" s="255"/>
      <c r="AD965" s="256" t="s">
        <v>188</v>
      </c>
      <c r="AE965" s="256"/>
      <c r="AF965" s="257"/>
      <c r="AG965" s="258"/>
      <c r="AH965" s="259"/>
      <c r="AI965" s="259"/>
      <c r="AJ965" s="274" t="s">
        <v>203</v>
      </c>
      <c r="AK965" s="274" t="s">
        <v>190</v>
      </c>
      <c r="AL965" s="274" t="s">
        <v>190</v>
      </c>
      <c r="AM965" s="260" t="s">
        <v>3859</v>
      </c>
      <c r="AN965" s="22">
        <v>177</v>
      </c>
      <c r="AO965" s="22">
        <v>0</v>
      </c>
      <c r="AP965" s="22">
        <v>20</v>
      </c>
      <c r="AQ965" s="22">
        <v>0</v>
      </c>
      <c r="AR965" s="22">
        <v>0</v>
      </c>
      <c r="AS965" s="22">
        <v>7</v>
      </c>
      <c r="AT965" s="22">
        <v>10</v>
      </c>
      <c r="AU965" s="316">
        <f t="shared" si="166"/>
        <v>214</v>
      </c>
      <c r="AV965" s="22">
        <v>185</v>
      </c>
      <c r="AW965" s="22">
        <v>0</v>
      </c>
      <c r="AX965" s="22">
        <v>20</v>
      </c>
      <c r="AY965" s="22">
        <v>0</v>
      </c>
      <c r="AZ965" s="22">
        <v>0</v>
      </c>
      <c r="BA965" s="22">
        <v>7</v>
      </c>
      <c r="BB965" s="22">
        <v>10</v>
      </c>
      <c r="BC965" s="316">
        <f t="shared" si="167"/>
        <v>222</v>
      </c>
      <c r="BD965" s="58">
        <f t="shared" si="168"/>
        <v>8</v>
      </c>
      <c r="BE965" s="58">
        <f t="shared" si="169"/>
        <v>0</v>
      </c>
      <c r="BF965" s="58">
        <f t="shared" si="170"/>
        <v>0</v>
      </c>
      <c r="BG965" s="58">
        <f t="shared" si="171"/>
        <v>0</v>
      </c>
      <c r="BH965" s="58">
        <f t="shared" si="172"/>
        <v>0</v>
      </c>
      <c r="BI965" s="58">
        <f t="shared" si="173"/>
        <v>0</v>
      </c>
      <c r="BJ965" s="58">
        <f t="shared" si="174"/>
        <v>0</v>
      </c>
      <c r="BK965" s="58">
        <f t="shared" si="175"/>
        <v>8</v>
      </c>
    </row>
    <row r="966" spans="1:63" ht="27" customHeight="1">
      <c r="A966" s="238">
        <f t="shared" si="176"/>
        <v>964</v>
      </c>
      <c r="B966" s="239"/>
      <c r="C966" s="239">
        <v>3774</v>
      </c>
      <c r="D966" s="241" t="s">
        <v>5496</v>
      </c>
      <c r="E966" s="242" t="s">
        <v>5497</v>
      </c>
      <c r="F966" s="243" t="s">
        <v>5498</v>
      </c>
      <c r="G966" s="244" t="s">
        <v>2926</v>
      </c>
      <c r="H966" s="245" t="s">
        <v>5499</v>
      </c>
      <c r="I966" s="246" t="s">
        <v>5500</v>
      </c>
      <c r="J966" s="247" t="s">
        <v>178</v>
      </c>
      <c r="K966" s="248">
        <v>33345</v>
      </c>
      <c r="L966" s="249" t="s">
        <v>179</v>
      </c>
      <c r="M966" s="250">
        <v>43773</v>
      </c>
      <c r="N966" s="250"/>
      <c r="O966" s="250"/>
      <c r="P966" s="238" t="s">
        <v>1385</v>
      </c>
      <c r="Q966" s="238" t="s">
        <v>249</v>
      </c>
      <c r="R966" s="238" t="s">
        <v>182</v>
      </c>
      <c r="S966" s="238" t="s">
        <v>228</v>
      </c>
      <c r="T966" s="251"/>
      <c r="U966" s="307"/>
      <c r="V966" s="252" t="s">
        <v>184</v>
      </c>
      <c r="W966" s="252" t="s">
        <v>184</v>
      </c>
      <c r="X966" s="252">
        <v>9</v>
      </c>
      <c r="Y966" s="253" t="s">
        <v>5501</v>
      </c>
      <c r="Z966" s="254"/>
      <c r="AA966" s="277" t="s">
        <v>186</v>
      </c>
      <c r="AB966" s="252"/>
      <c r="AC966" s="255"/>
      <c r="AD966" s="256"/>
      <c r="AE966" s="256"/>
      <c r="AF966" s="257"/>
      <c r="AG966" s="258"/>
      <c r="AH966" s="259"/>
      <c r="AI966" s="259"/>
      <c r="AJ966" s="274" t="s">
        <v>203</v>
      </c>
      <c r="AK966" s="274" t="s">
        <v>190</v>
      </c>
      <c r="AL966" s="274" t="s">
        <v>190</v>
      </c>
      <c r="AM966" s="260" t="s">
        <v>241</v>
      </c>
      <c r="AN966" s="22">
        <v>177</v>
      </c>
      <c r="AO966" s="22">
        <v>0</v>
      </c>
      <c r="AP966" s="22">
        <v>20</v>
      </c>
      <c r="AQ966" s="22">
        <v>0</v>
      </c>
      <c r="AR966" s="22">
        <v>0</v>
      </c>
      <c r="AS966" s="22">
        <v>7</v>
      </c>
      <c r="AT966" s="22">
        <v>10</v>
      </c>
      <c r="AU966" s="316">
        <f t="shared" si="166"/>
        <v>214</v>
      </c>
      <c r="AV966" s="22">
        <v>185</v>
      </c>
      <c r="AW966" s="22">
        <v>0</v>
      </c>
      <c r="AX966" s="22">
        <v>20</v>
      </c>
      <c r="AY966" s="22">
        <v>0</v>
      </c>
      <c r="AZ966" s="22">
        <v>0</v>
      </c>
      <c r="BA966" s="22">
        <v>7</v>
      </c>
      <c r="BB966" s="22">
        <v>10</v>
      </c>
      <c r="BC966" s="316">
        <f t="shared" si="167"/>
        <v>222</v>
      </c>
      <c r="BD966" s="58">
        <f t="shared" si="168"/>
        <v>8</v>
      </c>
      <c r="BE966" s="58">
        <f t="shared" si="169"/>
        <v>0</v>
      </c>
      <c r="BF966" s="58">
        <f t="shared" si="170"/>
        <v>0</v>
      </c>
      <c r="BG966" s="58">
        <f t="shared" si="171"/>
        <v>0</v>
      </c>
      <c r="BH966" s="58">
        <f t="shared" si="172"/>
        <v>0</v>
      </c>
      <c r="BI966" s="58">
        <f t="shared" si="173"/>
        <v>0</v>
      </c>
      <c r="BJ966" s="58">
        <f t="shared" si="174"/>
        <v>0</v>
      </c>
      <c r="BK966" s="58">
        <f t="shared" si="175"/>
        <v>8</v>
      </c>
    </row>
    <row r="967" spans="1:63" ht="27" customHeight="1">
      <c r="A967" s="238">
        <f t="shared" si="176"/>
        <v>965</v>
      </c>
      <c r="B967" s="239"/>
      <c r="C967" s="239">
        <v>3775</v>
      </c>
      <c r="D967" s="241" t="s">
        <v>5502</v>
      </c>
      <c r="E967" s="242" t="s">
        <v>5503</v>
      </c>
      <c r="F967" s="243" t="s">
        <v>806</v>
      </c>
      <c r="G967" s="244" t="s">
        <v>3804</v>
      </c>
      <c r="H967" s="245" t="s">
        <v>3855</v>
      </c>
      <c r="I967" s="246" t="s">
        <v>5400</v>
      </c>
      <c r="J967" s="247" t="s">
        <v>178</v>
      </c>
      <c r="K967" s="248">
        <v>36015</v>
      </c>
      <c r="L967" s="249" t="s">
        <v>179</v>
      </c>
      <c r="M967" s="250">
        <v>43768</v>
      </c>
      <c r="N967" s="250"/>
      <c r="O967" s="250"/>
      <c r="P967" s="238" t="s">
        <v>1385</v>
      </c>
      <c r="Q967" s="238" t="s">
        <v>249</v>
      </c>
      <c r="R967" s="238" t="s">
        <v>182</v>
      </c>
      <c r="S967" s="238" t="s">
        <v>228</v>
      </c>
      <c r="T967" s="251"/>
      <c r="U967" s="307"/>
      <c r="V967" s="252" t="s">
        <v>184</v>
      </c>
      <c r="W967" s="252" t="s">
        <v>184</v>
      </c>
      <c r="X967" s="252">
        <v>9</v>
      </c>
      <c r="Y967" s="253" t="s">
        <v>5501</v>
      </c>
      <c r="Z967" s="254"/>
      <c r="AA967" s="277"/>
      <c r="AB967" s="252"/>
      <c r="AC967" s="255"/>
      <c r="AD967" s="256"/>
      <c r="AE967" s="256"/>
      <c r="AF967" s="257"/>
      <c r="AG967" s="258"/>
      <c r="AH967" s="259"/>
      <c r="AI967" s="259"/>
      <c r="AJ967" s="274" t="s">
        <v>203</v>
      </c>
      <c r="AK967" s="274" t="s">
        <v>190</v>
      </c>
      <c r="AL967" s="274" t="s">
        <v>190</v>
      </c>
      <c r="AM967" s="260" t="s">
        <v>241</v>
      </c>
      <c r="AN967" s="22">
        <v>177</v>
      </c>
      <c r="AO967" s="22">
        <v>0</v>
      </c>
      <c r="AP967" s="22">
        <v>20</v>
      </c>
      <c r="AQ967" s="22">
        <v>0</v>
      </c>
      <c r="AR967" s="22">
        <v>0</v>
      </c>
      <c r="AS967" s="22">
        <v>7</v>
      </c>
      <c r="AT967" s="22">
        <v>10</v>
      </c>
      <c r="AU967" s="316">
        <f t="shared" si="166"/>
        <v>214</v>
      </c>
      <c r="AV967" s="22">
        <v>185</v>
      </c>
      <c r="AW967" s="22">
        <v>0</v>
      </c>
      <c r="AX967" s="22">
        <v>20</v>
      </c>
      <c r="AY967" s="22">
        <v>0</v>
      </c>
      <c r="AZ967" s="22">
        <v>0</v>
      </c>
      <c r="BA967" s="22">
        <v>7</v>
      </c>
      <c r="BB967" s="22">
        <v>10</v>
      </c>
      <c r="BC967" s="316">
        <f t="shared" si="167"/>
        <v>222</v>
      </c>
      <c r="BD967" s="58">
        <f t="shared" si="168"/>
        <v>8</v>
      </c>
      <c r="BE967" s="58">
        <f t="shared" si="169"/>
        <v>0</v>
      </c>
      <c r="BF967" s="58">
        <f t="shared" si="170"/>
        <v>0</v>
      </c>
      <c r="BG967" s="58">
        <f t="shared" si="171"/>
        <v>0</v>
      </c>
      <c r="BH967" s="58">
        <f t="shared" si="172"/>
        <v>0</v>
      </c>
      <c r="BI967" s="58">
        <f t="shared" si="173"/>
        <v>0</v>
      </c>
      <c r="BJ967" s="58">
        <f t="shared" si="174"/>
        <v>0</v>
      </c>
      <c r="BK967" s="58">
        <f t="shared" si="175"/>
        <v>8</v>
      </c>
    </row>
    <row r="968" spans="1:63" ht="27" customHeight="1">
      <c r="A968" s="238">
        <f t="shared" si="176"/>
        <v>966</v>
      </c>
      <c r="B968" s="239"/>
      <c r="C968" s="239">
        <v>3783</v>
      </c>
      <c r="D968" s="241" t="s">
        <v>5504</v>
      </c>
      <c r="E968" s="242" t="s">
        <v>5505</v>
      </c>
      <c r="F968" s="243" t="s">
        <v>3711</v>
      </c>
      <c r="G968" s="244" t="s">
        <v>5506</v>
      </c>
      <c r="H968" s="245" t="s">
        <v>5507</v>
      </c>
      <c r="I968" s="246" t="s">
        <v>5508</v>
      </c>
      <c r="J968" s="247" t="s">
        <v>178</v>
      </c>
      <c r="K968" s="248">
        <v>34678</v>
      </c>
      <c r="L968" s="249" t="s">
        <v>179</v>
      </c>
      <c r="M968" s="250">
        <v>43770</v>
      </c>
      <c r="N968" s="250"/>
      <c r="O968" s="250"/>
      <c r="P968" s="238" t="s">
        <v>3634</v>
      </c>
      <c r="Q968" s="238" t="s">
        <v>249</v>
      </c>
      <c r="R968" s="238" t="s">
        <v>182</v>
      </c>
      <c r="S968" s="238" t="s">
        <v>310</v>
      </c>
      <c r="T968" s="251"/>
      <c r="U968" s="307"/>
      <c r="V968" s="252" t="s">
        <v>184</v>
      </c>
      <c r="W968" s="252" t="s">
        <v>184</v>
      </c>
      <c r="X968" s="252">
        <v>7</v>
      </c>
      <c r="Y968" s="253" t="s">
        <v>5509</v>
      </c>
      <c r="Z968" s="254"/>
      <c r="AA968" s="277" t="s">
        <v>186</v>
      </c>
      <c r="AB968" s="252"/>
      <c r="AC968" s="255"/>
      <c r="AD968" s="256"/>
      <c r="AE968" s="256"/>
      <c r="AF968" s="257"/>
      <c r="AG968" s="258"/>
      <c r="AH968" s="259"/>
      <c r="AI968" s="259"/>
      <c r="AJ968" s="274" t="s">
        <v>203</v>
      </c>
      <c r="AK968" s="274" t="s">
        <v>190</v>
      </c>
      <c r="AL968" s="274" t="s">
        <v>190</v>
      </c>
      <c r="AM968" s="260" t="s">
        <v>3859</v>
      </c>
      <c r="AN968" s="22">
        <v>177</v>
      </c>
      <c r="AO968" s="22">
        <v>0</v>
      </c>
      <c r="AP968" s="22">
        <v>20</v>
      </c>
      <c r="AQ968" s="22">
        <v>0</v>
      </c>
      <c r="AR968" s="22">
        <v>0</v>
      </c>
      <c r="AS968" s="22">
        <v>7</v>
      </c>
      <c r="AT968" s="22">
        <v>10</v>
      </c>
      <c r="AU968" s="316">
        <f t="shared" si="166"/>
        <v>214</v>
      </c>
      <c r="AV968" s="22">
        <v>185</v>
      </c>
      <c r="AW968" s="22">
        <v>0</v>
      </c>
      <c r="AX968" s="22">
        <v>20</v>
      </c>
      <c r="AY968" s="22">
        <v>0</v>
      </c>
      <c r="AZ968" s="22">
        <v>0</v>
      </c>
      <c r="BA968" s="22">
        <v>7</v>
      </c>
      <c r="BB968" s="22">
        <v>10</v>
      </c>
      <c r="BC968" s="316">
        <f t="shared" si="167"/>
        <v>222</v>
      </c>
      <c r="BD968" s="58">
        <f t="shared" si="168"/>
        <v>8</v>
      </c>
      <c r="BE968" s="58">
        <f t="shared" si="169"/>
        <v>0</v>
      </c>
      <c r="BF968" s="58">
        <f t="shared" si="170"/>
        <v>0</v>
      </c>
      <c r="BG968" s="58">
        <f t="shared" si="171"/>
        <v>0</v>
      </c>
      <c r="BH968" s="58">
        <f t="shared" si="172"/>
        <v>0</v>
      </c>
      <c r="BI968" s="58">
        <f t="shared" si="173"/>
        <v>0</v>
      </c>
      <c r="BJ968" s="58">
        <f t="shared" si="174"/>
        <v>0</v>
      </c>
      <c r="BK968" s="58">
        <f t="shared" si="175"/>
        <v>8</v>
      </c>
    </row>
    <row r="969" spans="1:63" ht="27" customHeight="1">
      <c r="A969" s="238">
        <f t="shared" si="176"/>
        <v>967</v>
      </c>
      <c r="B969" s="239"/>
      <c r="C969" s="239">
        <v>3785</v>
      </c>
      <c r="D969" s="241" t="s">
        <v>5510</v>
      </c>
      <c r="E969" s="242" t="s">
        <v>5511</v>
      </c>
      <c r="F969" s="243" t="s">
        <v>223</v>
      </c>
      <c r="G969" s="244" t="s">
        <v>1971</v>
      </c>
      <c r="H969" s="245" t="s">
        <v>5512</v>
      </c>
      <c r="I969" s="246" t="s">
        <v>5513</v>
      </c>
      <c r="J969" s="247" t="s">
        <v>178</v>
      </c>
      <c r="K969" s="248">
        <v>33980</v>
      </c>
      <c r="L969" s="249" t="s">
        <v>179</v>
      </c>
      <c r="M969" s="250">
        <v>43770</v>
      </c>
      <c r="N969" s="250"/>
      <c r="O969" s="250"/>
      <c r="P969" s="238" t="s">
        <v>282</v>
      </c>
      <c r="Q969" s="238" t="s">
        <v>249</v>
      </c>
      <c r="R969" s="238" t="s">
        <v>182</v>
      </c>
      <c r="S969" s="238" t="s">
        <v>3601</v>
      </c>
      <c r="T969" s="251"/>
      <c r="U969" s="307"/>
      <c r="V969" s="252" t="s">
        <v>184</v>
      </c>
      <c r="W969" s="252" t="s">
        <v>184</v>
      </c>
      <c r="X969" s="252">
        <v>7</v>
      </c>
      <c r="Y969" s="253" t="s">
        <v>5514</v>
      </c>
      <c r="Z969" s="254"/>
      <c r="AA969" s="277" t="s">
        <v>186</v>
      </c>
      <c r="AB969" s="252"/>
      <c r="AC969" s="255"/>
      <c r="AD969" s="256"/>
      <c r="AE969" s="256"/>
      <c r="AF969" s="257"/>
      <c r="AG969" s="258"/>
      <c r="AH969" s="259"/>
      <c r="AI969" s="259"/>
      <c r="AJ969" s="274" t="s">
        <v>203</v>
      </c>
      <c r="AK969" s="274" t="s">
        <v>190</v>
      </c>
      <c r="AL969" s="274" t="s">
        <v>190</v>
      </c>
      <c r="AM969" s="260" t="s">
        <v>3859</v>
      </c>
      <c r="AN969" s="22">
        <v>182</v>
      </c>
      <c r="AO969" s="22">
        <v>0</v>
      </c>
      <c r="AP969" s="22">
        <v>0</v>
      </c>
      <c r="AQ969" s="22">
        <v>0</v>
      </c>
      <c r="AR969" s="22">
        <v>0</v>
      </c>
      <c r="AS969" s="22">
        <v>7</v>
      </c>
      <c r="AT969" s="22">
        <v>10</v>
      </c>
      <c r="AU969" s="316">
        <f t="shared" si="166"/>
        <v>199</v>
      </c>
      <c r="AV969" s="22">
        <v>190</v>
      </c>
      <c r="AW969" s="22">
        <v>0</v>
      </c>
      <c r="AX969" s="22">
        <v>0</v>
      </c>
      <c r="AY969" s="22">
        <v>0</v>
      </c>
      <c r="AZ969" s="22">
        <v>0</v>
      </c>
      <c r="BA969" s="22">
        <v>7</v>
      </c>
      <c r="BB969" s="22">
        <v>10</v>
      </c>
      <c r="BC969" s="316">
        <f t="shared" si="167"/>
        <v>207</v>
      </c>
      <c r="BD969" s="58">
        <f t="shared" si="168"/>
        <v>8</v>
      </c>
      <c r="BE969" s="58">
        <f t="shared" si="169"/>
        <v>0</v>
      </c>
      <c r="BF969" s="58">
        <f t="shared" si="170"/>
        <v>0</v>
      </c>
      <c r="BG969" s="58">
        <f t="shared" si="171"/>
        <v>0</v>
      </c>
      <c r="BH969" s="58">
        <f t="shared" si="172"/>
        <v>0</v>
      </c>
      <c r="BI969" s="58">
        <f t="shared" si="173"/>
        <v>0</v>
      </c>
      <c r="BJ969" s="58">
        <f t="shared" si="174"/>
        <v>0</v>
      </c>
      <c r="BK969" s="58">
        <f t="shared" si="175"/>
        <v>8</v>
      </c>
    </row>
    <row r="970" spans="1:63" ht="27" customHeight="1">
      <c r="A970" s="238">
        <f t="shared" si="176"/>
        <v>968</v>
      </c>
      <c r="B970" s="239"/>
      <c r="C970" s="239">
        <v>3780</v>
      </c>
      <c r="D970" s="241" t="s">
        <v>5515</v>
      </c>
      <c r="E970" s="242" t="s">
        <v>5516</v>
      </c>
      <c r="F970" s="243" t="s">
        <v>5517</v>
      </c>
      <c r="G970" s="244" t="s">
        <v>2439</v>
      </c>
      <c r="H970" s="245" t="s">
        <v>5518</v>
      </c>
      <c r="I970" s="246" t="s">
        <v>5519</v>
      </c>
      <c r="J970" s="247" t="s">
        <v>178</v>
      </c>
      <c r="K970" s="248">
        <v>30848</v>
      </c>
      <c r="L970" s="249" t="s">
        <v>179</v>
      </c>
      <c r="M970" s="250">
        <v>43770</v>
      </c>
      <c r="N970" s="250"/>
      <c r="O970" s="250"/>
      <c r="P970" s="238" t="e">
        <v>#N/A</v>
      </c>
      <c r="Q970" s="238" t="s">
        <v>249</v>
      </c>
      <c r="R970" s="238" t="s">
        <v>182</v>
      </c>
      <c r="S970" s="238" t="s">
        <v>211</v>
      </c>
      <c r="T970" s="251"/>
      <c r="U970" s="307"/>
      <c r="V970" s="252" t="s">
        <v>184</v>
      </c>
      <c r="W970" s="252" t="s">
        <v>184</v>
      </c>
      <c r="X970" s="252">
        <v>4</v>
      </c>
      <c r="Y970" s="253" t="s">
        <v>5520</v>
      </c>
      <c r="Z970" s="254"/>
      <c r="AA970" s="277" t="s">
        <v>186</v>
      </c>
      <c r="AB970" s="252"/>
      <c r="AC970" s="255"/>
      <c r="AD970" s="256"/>
      <c r="AE970" s="256"/>
      <c r="AF970" s="257"/>
      <c r="AG970" s="258"/>
      <c r="AH970" s="259"/>
      <c r="AI970" s="259"/>
      <c r="AJ970" s="274" t="s">
        <v>203</v>
      </c>
      <c r="AK970" s="274" t="s">
        <v>190</v>
      </c>
      <c r="AL970" s="274" t="s">
        <v>190</v>
      </c>
      <c r="AM970" s="260" t="s">
        <v>3859</v>
      </c>
      <c r="AN970" s="22">
        <v>182</v>
      </c>
      <c r="AO970" s="22">
        <v>0</v>
      </c>
      <c r="AP970" s="22">
        <v>0</v>
      </c>
      <c r="AQ970" s="22">
        <v>0</v>
      </c>
      <c r="AR970" s="22">
        <v>0</v>
      </c>
      <c r="AS970" s="22">
        <v>7</v>
      </c>
      <c r="AT970" s="22">
        <v>10</v>
      </c>
      <c r="AU970" s="316">
        <f t="shared" si="166"/>
        <v>199</v>
      </c>
      <c r="AV970" s="22">
        <v>190</v>
      </c>
      <c r="AW970" s="22">
        <v>0</v>
      </c>
      <c r="AX970" s="22">
        <v>0</v>
      </c>
      <c r="AY970" s="22">
        <v>0</v>
      </c>
      <c r="AZ970" s="22">
        <v>0</v>
      </c>
      <c r="BA970" s="22">
        <v>7</v>
      </c>
      <c r="BB970" s="22">
        <v>10</v>
      </c>
      <c r="BC970" s="316">
        <f t="shared" si="167"/>
        <v>207</v>
      </c>
      <c r="BD970" s="58">
        <f t="shared" si="168"/>
        <v>8</v>
      </c>
      <c r="BE970" s="58">
        <f t="shared" si="169"/>
        <v>0</v>
      </c>
      <c r="BF970" s="58">
        <f t="shared" si="170"/>
        <v>0</v>
      </c>
      <c r="BG970" s="58">
        <f t="shared" si="171"/>
        <v>0</v>
      </c>
      <c r="BH970" s="58">
        <f t="shared" si="172"/>
        <v>0</v>
      </c>
      <c r="BI970" s="58">
        <f t="shared" si="173"/>
        <v>0</v>
      </c>
      <c r="BJ970" s="58">
        <f t="shared" si="174"/>
        <v>0</v>
      </c>
      <c r="BK970" s="58">
        <f t="shared" si="175"/>
        <v>8</v>
      </c>
    </row>
    <row r="971" spans="1:63" ht="27" customHeight="1">
      <c r="A971" s="238">
        <f t="shared" si="176"/>
        <v>969</v>
      </c>
      <c r="B971" s="239"/>
      <c r="C971" s="239">
        <v>3798</v>
      </c>
      <c r="D971" s="241" t="s">
        <v>5521</v>
      </c>
      <c r="E971" s="242" t="s">
        <v>5522</v>
      </c>
      <c r="F971" s="243" t="s">
        <v>732</v>
      </c>
      <c r="G971" s="244" t="s">
        <v>5454</v>
      </c>
      <c r="H971" s="245" t="s">
        <v>1850</v>
      </c>
      <c r="I971" s="246" t="s">
        <v>5455</v>
      </c>
      <c r="J971" s="247" t="s">
        <v>178</v>
      </c>
      <c r="K971" s="248">
        <v>36896</v>
      </c>
      <c r="L971" s="249" t="s">
        <v>179</v>
      </c>
      <c r="M971" s="250">
        <v>43773</v>
      </c>
      <c r="N971" s="250"/>
      <c r="O971" s="250"/>
      <c r="P971" s="238" t="s">
        <v>3950</v>
      </c>
      <c r="Q971" s="238" t="s">
        <v>249</v>
      </c>
      <c r="R971" s="238" t="s">
        <v>182</v>
      </c>
      <c r="S971" s="238" t="s">
        <v>228</v>
      </c>
      <c r="T971" s="251"/>
      <c r="U971" s="307"/>
      <c r="V971" s="252" t="s">
        <v>184</v>
      </c>
      <c r="W971" s="252" t="s">
        <v>184</v>
      </c>
      <c r="X971" s="252">
        <v>10</v>
      </c>
      <c r="Y971" s="253" t="s">
        <v>5523</v>
      </c>
      <c r="Z971" s="277" t="s">
        <v>186</v>
      </c>
      <c r="AA971" s="254"/>
      <c r="AB971" s="252"/>
      <c r="AC971" s="255"/>
      <c r="AD971" s="256"/>
      <c r="AE971" s="256"/>
      <c r="AF971" s="257"/>
      <c r="AG971" s="258"/>
      <c r="AH971" s="259"/>
      <c r="AI971" s="259"/>
      <c r="AJ971" s="274" t="s">
        <v>203</v>
      </c>
      <c r="AK971" s="274" t="s">
        <v>190</v>
      </c>
      <c r="AL971" s="274" t="s">
        <v>190</v>
      </c>
      <c r="AM971" s="260" t="s">
        <v>3859</v>
      </c>
      <c r="AN971" s="22">
        <v>182</v>
      </c>
      <c r="AO971" s="22">
        <v>0</v>
      </c>
      <c r="AP971" s="22">
        <v>20</v>
      </c>
      <c r="AQ971" s="22">
        <v>10</v>
      </c>
      <c r="AR971" s="22">
        <v>0</v>
      </c>
      <c r="AS971" s="22">
        <v>7</v>
      </c>
      <c r="AT971" s="22">
        <v>10</v>
      </c>
      <c r="AU971" s="316">
        <f t="shared" si="166"/>
        <v>229</v>
      </c>
      <c r="AV971" s="22">
        <v>190</v>
      </c>
      <c r="AW971" s="22">
        <v>0</v>
      </c>
      <c r="AX971" s="22">
        <v>20</v>
      </c>
      <c r="AY971" s="22">
        <v>10</v>
      </c>
      <c r="AZ971" s="22">
        <v>0</v>
      </c>
      <c r="BA971" s="22">
        <v>7</v>
      </c>
      <c r="BB971" s="22">
        <v>10</v>
      </c>
      <c r="BC971" s="316">
        <f t="shared" si="167"/>
        <v>237</v>
      </c>
      <c r="BD971" s="58">
        <f t="shared" si="168"/>
        <v>8</v>
      </c>
      <c r="BE971" s="58">
        <f t="shared" si="169"/>
        <v>0</v>
      </c>
      <c r="BF971" s="58">
        <f t="shared" si="170"/>
        <v>0</v>
      </c>
      <c r="BG971" s="58">
        <f t="shared" si="171"/>
        <v>0</v>
      </c>
      <c r="BH971" s="58">
        <f t="shared" si="172"/>
        <v>0</v>
      </c>
      <c r="BI971" s="58">
        <f t="shared" si="173"/>
        <v>0</v>
      </c>
      <c r="BJ971" s="58">
        <f t="shared" si="174"/>
        <v>0</v>
      </c>
      <c r="BK971" s="58">
        <f t="shared" si="175"/>
        <v>8</v>
      </c>
    </row>
    <row r="972" spans="1:63" ht="27" customHeight="1">
      <c r="A972" s="238">
        <f t="shared" si="176"/>
        <v>970</v>
      </c>
      <c r="B972" s="239"/>
      <c r="C972" s="239">
        <v>3797</v>
      </c>
      <c r="D972" s="241" t="s">
        <v>5524</v>
      </c>
      <c r="E972" s="242" t="s">
        <v>5525</v>
      </c>
      <c r="F972" s="243" t="s">
        <v>5526</v>
      </c>
      <c r="G972" s="244" t="s">
        <v>5527</v>
      </c>
      <c r="H972" s="245" t="s">
        <v>5528</v>
      </c>
      <c r="I972" s="246" t="s">
        <v>4200</v>
      </c>
      <c r="J972" s="247" t="s">
        <v>178</v>
      </c>
      <c r="K972" s="248">
        <v>33513</v>
      </c>
      <c r="L972" s="249" t="s">
        <v>179</v>
      </c>
      <c r="M972" s="250">
        <v>43773</v>
      </c>
      <c r="N972" s="250"/>
      <c r="O972" s="250"/>
      <c r="P972" s="238" t="s">
        <v>3950</v>
      </c>
      <c r="Q972" s="238" t="s">
        <v>249</v>
      </c>
      <c r="R972" s="238" t="s">
        <v>182</v>
      </c>
      <c r="S972" s="238" t="s">
        <v>211</v>
      </c>
      <c r="T972" s="251"/>
      <c r="U972" s="307"/>
      <c r="V972" s="252" t="s">
        <v>184</v>
      </c>
      <c r="W972" s="252" t="s">
        <v>184</v>
      </c>
      <c r="X972" s="252">
        <v>9</v>
      </c>
      <c r="Y972" s="253" t="s">
        <v>5529</v>
      </c>
      <c r="Z972" s="277" t="s">
        <v>186</v>
      </c>
      <c r="AA972" s="254"/>
      <c r="AB972" s="252"/>
      <c r="AC972" s="255"/>
      <c r="AD972" s="256"/>
      <c r="AE972" s="256"/>
      <c r="AF972" s="257"/>
      <c r="AG972" s="258"/>
      <c r="AH972" s="259"/>
      <c r="AI972" s="259"/>
      <c r="AJ972" s="274" t="s">
        <v>203</v>
      </c>
      <c r="AK972" s="274" t="s">
        <v>190</v>
      </c>
      <c r="AL972" s="274" t="s">
        <v>190</v>
      </c>
      <c r="AM972" s="260" t="s">
        <v>4830</v>
      </c>
      <c r="AN972" s="22">
        <v>182</v>
      </c>
      <c r="AO972" s="22">
        <v>0</v>
      </c>
      <c r="AP972" s="22">
        <v>0</v>
      </c>
      <c r="AQ972" s="22">
        <v>0</v>
      </c>
      <c r="AR972" s="22">
        <v>0</v>
      </c>
      <c r="AS972" s="22">
        <v>7</v>
      </c>
      <c r="AT972" s="22">
        <v>10</v>
      </c>
      <c r="AU972" s="316">
        <f t="shared" si="166"/>
        <v>199</v>
      </c>
      <c r="AV972" s="22">
        <v>190</v>
      </c>
      <c r="AW972" s="22">
        <v>0</v>
      </c>
      <c r="AX972" s="22">
        <v>0</v>
      </c>
      <c r="AY972" s="22">
        <v>0</v>
      </c>
      <c r="AZ972" s="22">
        <v>0</v>
      </c>
      <c r="BA972" s="22">
        <v>7</v>
      </c>
      <c r="BB972" s="22">
        <v>10</v>
      </c>
      <c r="BC972" s="316">
        <f t="shared" si="167"/>
        <v>207</v>
      </c>
      <c r="BD972" s="58">
        <f t="shared" si="168"/>
        <v>8</v>
      </c>
      <c r="BE972" s="58">
        <f t="shared" si="169"/>
        <v>0</v>
      </c>
      <c r="BF972" s="58">
        <f t="shared" si="170"/>
        <v>0</v>
      </c>
      <c r="BG972" s="58">
        <f t="shared" si="171"/>
        <v>0</v>
      </c>
      <c r="BH972" s="58">
        <f t="shared" si="172"/>
        <v>0</v>
      </c>
      <c r="BI972" s="58">
        <f t="shared" si="173"/>
        <v>0</v>
      </c>
      <c r="BJ972" s="58">
        <f t="shared" si="174"/>
        <v>0</v>
      </c>
      <c r="BK972" s="58">
        <f t="shared" si="175"/>
        <v>8</v>
      </c>
    </row>
    <row r="973" spans="1:63" ht="27" customHeight="1">
      <c r="A973" s="238">
        <f t="shared" si="176"/>
        <v>971</v>
      </c>
      <c r="B973" s="239"/>
      <c r="C973" s="239">
        <v>3776</v>
      </c>
      <c r="D973" s="241" t="s">
        <v>5530</v>
      </c>
      <c r="E973" s="242" t="s">
        <v>5531</v>
      </c>
      <c r="F973" s="243" t="s">
        <v>5532</v>
      </c>
      <c r="G973" s="244" t="s">
        <v>1320</v>
      </c>
      <c r="H973" s="245" t="s">
        <v>5533</v>
      </c>
      <c r="I973" s="246" t="s">
        <v>5534</v>
      </c>
      <c r="J973" s="247" t="s">
        <v>178</v>
      </c>
      <c r="K973" s="248">
        <v>35874</v>
      </c>
      <c r="L973" s="249" t="s">
        <v>179</v>
      </c>
      <c r="M973" s="250">
        <v>43773</v>
      </c>
      <c r="N973" s="250"/>
      <c r="O973" s="250"/>
      <c r="P973" s="238" t="s">
        <v>1385</v>
      </c>
      <c r="Q973" s="238" t="s">
        <v>249</v>
      </c>
      <c r="R973" s="238" t="s">
        <v>182</v>
      </c>
      <c r="S973" s="238" t="s">
        <v>228</v>
      </c>
      <c r="T973" s="251"/>
      <c r="U973" s="307"/>
      <c r="V973" s="252" t="s">
        <v>184</v>
      </c>
      <c r="W973" s="252" t="s">
        <v>184</v>
      </c>
      <c r="X973" s="252">
        <v>8</v>
      </c>
      <c r="Y973" s="253" t="s">
        <v>5535</v>
      </c>
      <c r="Z973" s="277" t="s">
        <v>186</v>
      </c>
      <c r="AA973" s="254"/>
      <c r="AB973" s="252"/>
      <c r="AC973" s="255"/>
      <c r="AD973" s="256"/>
      <c r="AE973" s="256"/>
      <c r="AF973" s="257"/>
      <c r="AG973" s="258"/>
      <c r="AH973" s="259"/>
      <c r="AI973" s="259"/>
      <c r="AJ973" s="274" t="s">
        <v>203</v>
      </c>
      <c r="AK973" s="274" t="s">
        <v>190</v>
      </c>
      <c r="AL973" s="274" t="s">
        <v>190</v>
      </c>
      <c r="AM973" s="260" t="s">
        <v>241</v>
      </c>
      <c r="AN973" s="22">
        <v>177</v>
      </c>
      <c r="AO973" s="22">
        <v>0</v>
      </c>
      <c r="AP973" s="22">
        <v>20</v>
      </c>
      <c r="AQ973" s="22">
        <v>0</v>
      </c>
      <c r="AR973" s="22">
        <v>0</v>
      </c>
      <c r="AS973" s="22">
        <v>7</v>
      </c>
      <c r="AT973" s="22">
        <v>10</v>
      </c>
      <c r="AU973" s="316">
        <f t="shared" si="166"/>
        <v>214</v>
      </c>
      <c r="AV973" s="22">
        <v>185</v>
      </c>
      <c r="AW973" s="22">
        <v>0</v>
      </c>
      <c r="AX973" s="22">
        <v>20</v>
      </c>
      <c r="AY973" s="22">
        <v>0</v>
      </c>
      <c r="AZ973" s="22">
        <v>0</v>
      </c>
      <c r="BA973" s="22">
        <v>7</v>
      </c>
      <c r="BB973" s="22">
        <v>10</v>
      </c>
      <c r="BC973" s="316">
        <f t="shared" si="167"/>
        <v>222</v>
      </c>
      <c r="BD973" s="58">
        <f t="shared" si="168"/>
        <v>8</v>
      </c>
      <c r="BE973" s="58">
        <f t="shared" si="169"/>
        <v>0</v>
      </c>
      <c r="BF973" s="58">
        <f t="shared" si="170"/>
        <v>0</v>
      </c>
      <c r="BG973" s="58">
        <f t="shared" si="171"/>
        <v>0</v>
      </c>
      <c r="BH973" s="58">
        <f t="shared" si="172"/>
        <v>0</v>
      </c>
      <c r="BI973" s="58">
        <f t="shared" si="173"/>
        <v>0</v>
      </c>
      <c r="BJ973" s="58">
        <f t="shared" si="174"/>
        <v>0</v>
      </c>
      <c r="BK973" s="58">
        <f t="shared" si="175"/>
        <v>8</v>
      </c>
    </row>
    <row r="974" spans="1:63" ht="27" customHeight="1">
      <c r="A974" s="238">
        <f t="shared" si="176"/>
        <v>972</v>
      </c>
      <c r="B974" s="239"/>
      <c r="C974" s="239">
        <v>3773</v>
      </c>
      <c r="D974" s="241" t="s">
        <v>5536</v>
      </c>
      <c r="E974" s="242" t="s">
        <v>5537</v>
      </c>
      <c r="F974" s="243" t="s">
        <v>2093</v>
      </c>
      <c r="G974" s="244" t="s">
        <v>580</v>
      </c>
      <c r="H974" s="245" t="s">
        <v>82</v>
      </c>
      <c r="I974" s="246" t="s">
        <v>582</v>
      </c>
      <c r="J974" s="247" t="s">
        <v>178</v>
      </c>
      <c r="K974" s="248">
        <v>36960</v>
      </c>
      <c r="L974" s="249" t="s">
        <v>179</v>
      </c>
      <c r="M974" s="250">
        <v>43773</v>
      </c>
      <c r="N974" s="250"/>
      <c r="O974" s="250"/>
      <c r="P974" s="238" t="s">
        <v>1385</v>
      </c>
      <c r="Q974" s="238" t="s">
        <v>249</v>
      </c>
      <c r="R974" s="238" t="s">
        <v>182</v>
      </c>
      <c r="S974" s="238" t="s">
        <v>228</v>
      </c>
      <c r="T974" s="251"/>
      <c r="U974" s="307"/>
      <c r="V974" s="252" t="s">
        <v>184</v>
      </c>
      <c r="W974" s="252" t="s">
        <v>184</v>
      </c>
      <c r="X974" s="252">
        <v>8</v>
      </c>
      <c r="Y974" s="253" t="s">
        <v>5129</v>
      </c>
      <c r="Z974" s="277" t="s">
        <v>186</v>
      </c>
      <c r="AA974" s="254"/>
      <c r="AB974" s="252"/>
      <c r="AC974" s="255"/>
      <c r="AD974" s="256"/>
      <c r="AE974" s="256"/>
      <c r="AF974" s="257"/>
      <c r="AG974" s="258"/>
      <c r="AH974" s="259"/>
      <c r="AI974" s="259"/>
      <c r="AJ974" s="274" t="s">
        <v>203</v>
      </c>
      <c r="AK974" s="274" t="s">
        <v>190</v>
      </c>
      <c r="AL974" s="274" t="s">
        <v>190</v>
      </c>
      <c r="AM974" s="260" t="s">
        <v>241</v>
      </c>
      <c r="AN974" s="22">
        <v>182</v>
      </c>
      <c r="AO974" s="22">
        <v>0</v>
      </c>
      <c r="AP974" s="22">
        <v>0</v>
      </c>
      <c r="AQ974" s="22">
        <v>0</v>
      </c>
      <c r="AR974" s="22">
        <v>0</v>
      </c>
      <c r="AS974" s="22">
        <v>7</v>
      </c>
      <c r="AT974" s="22">
        <v>10</v>
      </c>
      <c r="AU974" s="316">
        <f t="shared" si="166"/>
        <v>199</v>
      </c>
      <c r="AV974" s="22">
        <v>190</v>
      </c>
      <c r="AW974" s="22">
        <v>0</v>
      </c>
      <c r="AX974" s="22">
        <v>0</v>
      </c>
      <c r="AY974" s="22">
        <v>0</v>
      </c>
      <c r="AZ974" s="22">
        <v>0</v>
      </c>
      <c r="BA974" s="22">
        <v>7</v>
      </c>
      <c r="BB974" s="22">
        <v>10</v>
      </c>
      <c r="BC974" s="316">
        <f t="shared" si="167"/>
        <v>207</v>
      </c>
      <c r="BD974" s="58">
        <f t="shared" si="168"/>
        <v>8</v>
      </c>
      <c r="BE974" s="58">
        <f t="shared" si="169"/>
        <v>0</v>
      </c>
      <c r="BF974" s="58">
        <f t="shared" si="170"/>
        <v>0</v>
      </c>
      <c r="BG974" s="58">
        <f t="shared" si="171"/>
        <v>0</v>
      </c>
      <c r="BH974" s="58">
        <f t="shared" si="172"/>
        <v>0</v>
      </c>
      <c r="BI974" s="58">
        <f t="shared" si="173"/>
        <v>0</v>
      </c>
      <c r="BJ974" s="58">
        <f t="shared" si="174"/>
        <v>0</v>
      </c>
      <c r="BK974" s="58">
        <f t="shared" si="175"/>
        <v>8</v>
      </c>
    </row>
    <row r="975" spans="1:63" ht="27" customHeight="1">
      <c r="A975" s="238">
        <f t="shared" si="176"/>
        <v>973</v>
      </c>
      <c r="B975" s="239"/>
      <c r="C975" s="239">
        <v>3795</v>
      </c>
      <c r="D975" s="241" t="s">
        <v>5538</v>
      </c>
      <c r="E975" s="242" t="s">
        <v>5539</v>
      </c>
      <c r="F975" s="243" t="s">
        <v>2970</v>
      </c>
      <c r="G975" s="244" t="s">
        <v>5540</v>
      </c>
      <c r="H975" s="245" t="s">
        <v>4801</v>
      </c>
      <c r="I975" s="246" t="s">
        <v>5541</v>
      </c>
      <c r="J975" s="247" t="s">
        <v>178</v>
      </c>
      <c r="K975" s="248">
        <v>34894</v>
      </c>
      <c r="L975" s="249" t="s">
        <v>179</v>
      </c>
      <c r="M975" s="250">
        <v>43773</v>
      </c>
      <c r="N975" s="250"/>
      <c r="O975" s="250"/>
      <c r="P975" s="238" t="s">
        <v>1385</v>
      </c>
      <c r="Q975" s="238" t="s">
        <v>249</v>
      </c>
      <c r="R975" s="238" t="s">
        <v>182</v>
      </c>
      <c r="S975" s="238" t="s">
        <v>228</v>
      </c>
      <c r="T975" s="251"/>
      <c r="U975" s="307"/>
      <c r="V975" s="252" t="s">
        <v>184</v>
      </c>
      <c r="W975" s="252" t="s">
        <v>184</v>
      </c>
      <c r="X975" s="252">
        <v>12</v>
      </c>
      <c r="Y975" s="253" t="s">
        <v>5542</v>
      </c>
      <c r="Z975" s="277" t="s">
        <v>186</v>
      </c>
      <c r="AA975" s="254"/>
      <c r="AB975" s="252"/>
      <c r="AC975" s="255"/>
      <c r="AD975" s="256"/>
      <c r="AE975" s="256"/>
      <c r="AF975" s="257"/>
      <c r="AG975" s="258"/>
      <c r="AH975" s="259"/>
      <c r="AI975" s="259"/>
      <c r="AJ975" s="274" t="s">
        <v>203</v>
      </c>
      <c r="AK975" s="274" t="s">
        <v>190</v>
      </c>
      <c r="AL975" s="274" t="s">
        <v>190</v>
      </c>
      <c r="AM975" s="260" t="s">
        <v>3859</v>
      </c>
      <c r="AN975" s="22">
        <v>177</v>
      </c>
      <c r="AO975" s="22">
        <v>0</v>
      </c>
      <c r="AP975" s="22">
        <v>20</v>
      </c>
      <c r="AQ975" s="22">
        <v>0</v>
      </c>
      <c r="AR975" s="22">
        <v>0</v>
      </c>
      <c r="AS975" s="22">
        <v>7</v>
      </c>
      <c r="AT975" s="22">
        <v>10</v>
      </c>
      <c r="AU975" s="316">
        <f t="shared" si="166"/>
        <v>214</v>
      </c>
      <c r="AV975" s="22">
        <v>185</v>
      </c>
      <c r="AW975" s="22">
        <v>0</v>
      </c>
      <c r="AX975" s="22">
        <v>20</v>
      </c>
      <c r="AY975" s="22">
        <v>0</v>
      </c>
      <c r="AZ975" s="22">
        <v>0</v>
      </c>
      <c r="BA975" s="22">
        <v>7</v>
      </c>
      <c r="BB975" s="22">
        <v>10</v>
      </c>
      <c r="BC975" s="316">
        <f t="shared" si="167"/>
        <v>222</v>
      </c>
      <c r="BD975" s="58">
        <f t="shared" si="168"/>
        <v>8</v>
      </c>
      <c r="BE975" s="58">
        <f t="shared" si="169"/>
        <v>0</v>
      </c>
      <c r="BF975" s="58">
        <f t="shared" si="170"/>
        <v>0</v>
      </c>
      <c r="BG975" s="58">
        <f t="shared" si="171"/>
        <v>0</v>
      </c>
      <c r="BH975" s="58">
        <f t="shared" si="172"/>
        <v>0</v>
      </c>
      <c r="BI975" s="58">
        <f t="shared" si="173"/>
        <v>0</v>
      </c>
      <c r="BJ975" s="58">
        <f t="shared" si="174"/>
        <v>0</v>
      </c>
      <c r="BK975" s="58">
        <f t="shared" si="175"/>
        <v>8</v>
      </c>
    </row>
    <row r="976" spans="1:63" ht="27" customHeight="1">
      <c r="A976" s="238">
        <f t="shared" si="176"/>
        <v>974</v>
      </c>
      <c r="B976" s="239"/>
      <c r="C976" s="239">
        <v>3804</v>
      </c>
      <c r="D976" s="241" t="s">
        <v>5543</v>
      </c>
      <c r="E976" s="242" t="s">
        <v>5544</v>
      </c>
      <c r="F976" s="243" t="s">
        <v>595</v>
      </c>
      <c r="G976" s="244" t="s">
        <v>2241</v>
      </c>
      <c r="H976" s="245" t="s">
        <v>4508</v>
      </c>
      <c r="I976" s="246" t="s">
        <v>5545</v>
      </c>
      <c r="J976" s="247" t="s">
        <v>178</v>
      </c>
      <c r="K976" s="248">
        <v>29434</v>
      </c>
      <c r="L976" s="249" t="s">
        <v>179</v>
      </c>
      <c r="M976" s="250">
        <v>43773</v>
      </c>
      <c r="N976" s="250"/>
      <c r="O976" s="250" t="s">
        <v>26</v>
      </c>
      <c r="P976" s="238" t="s">
        <v>1385</v>
      </c>
      <c r="Q976" s="238" t="s">
        <v>249</v>
      </c>
      <c r="R976" s="238" t="s">
        <v>182</v>
      </c>
      <c r="S976" s="238" t="s">
        <v>211</v>
      </c>
      <c r="T976" s="251"/>
      <c r="U976" s="307"/>
      <c r="V976" s="252" t="s">
        <v>184</v>
      </c>
      <c r="W976" s="252" t="s">
        <v>184</v>
      </c>
      <c r="X976" s="252">
        <v>4</v>
      </c>
      <c r="Y976" s="253" t="s">
        <v>5546</v>
      </c>
      <c r="Z976" s="254"/>
      <c r="AA976" s="277" t="s">
        <v>186</v>
      </c>
      <c r="AB976" s="252"/>
      <c r="AC976" s="255"/>
      <c r="AD976" s="256" t="s">
        <v>188</v>
      </c>
      <c r="AE976" s="256" t="s">
        <v>188</v>
      </c>
      <c r="AF976" s="257"/>
      <c r="AG976" s="258"/>
      <c r="AH976" s="259"/>
      <c r="AI976" s="259"/>
      <c r="AJ976" s="274" t="s">
        <v>203</v>
      </c>
      <c r="AK976" s="274" t="s">
        <v>190</v>
      </c>
      <c r="AL976" s="274" t="s">
        <v>190</v>
      </c>
      <c r="AM976" s="260" t="s">
        <v>3916</v>
      </c>
      <c r="AN976" s="22">
        <v>177</v>
      </c>
      <c r="AO976" s="22">
        <v>0</v>
      </c>
      <c r="AP976" s="22">
        <v>20</v>
      </c>
      <c r="AQ976" s="22">
        <v>0</v>
      </c>
      <c r="AR976" s="22">
        <v>0</v>
      </c>
      <c r="AS976" s="22">
        <v>7</v>
      </c>
      <c r="AT976" s="22">
        <v>10</v>
      </c>
      <c r="AU976" s="316">
        <f t="shared" si="166"/>
        <v>214</v>
      </c>
      <c r="AV976" s="22">
        <v>185</v>
      </c>
      <c r="AW976" s="22">
        <v>0</v>
      </c>
      <c r="AX976" s="22">
        <v>20</v>
      </c>
      <c r="AY976" s="22">
        <v>0</v>
      </c>
      <c r="AZ976" s="22">
        <v>0</v>
      </c>
      <c r="BA976" s="22">
        <v>7</v>
      </c>
      <c r="BB976" s="22">
        <v>10</v>
      </c>
      <c r="BC976" s="316">
        <f t="shared" si="167"/>
        <v>222</v>
      </c>
      <c r="BD976" s="58">
        <f t="shared" si="168"/>
        <v>8</v>
      </c>
      <c r="BE976" s="58">
        <f t="shared" si="169"/>
        <v>0</v>
      </c>
      <c r="BF976" s="58">
        <f t="shared" si="170"/>
        <v>0</v>
      </c>
      <c r="BG976" s="58">
        <f t="shared" si="171"/>
        <v>0</v>
      </c>
      <c r="BH976" s="58">
        <f t="shared" si="172"/>
        <v>0</v>
      </c>
      <c r="BI976" s="58">
        <f t="shared" si="173"/>
        <v>0</v>
      </c>
      <c r="BJ976" s="58">
        <f t="shared" si="174"/>
        <v>0</v>
      </c>
      <c r="BK976" s="58">
        <f t="shared" si="175"/>
        <v>8</v>
      </c>
    </row>
    <row r="977" spans="1:63" ht="27" customHeight="1">
      <c r="A977" s="238">
        <f t="shared" si="176"/>
        <v>975</v>
      </c>
      <c r="B977" s="239"/>
      <c r="C977" s="239">
        <v>3799</v>
      </c>
      <c r="D977" s="241" t="s">
        <v>5547</v>
      </c>
      <c r="E977" s="242" t="s">
        <v>5548</v>
      </c>
      <c r="F977" s="243" t="s">
        <v>2751</v>
      </c>
      <c r="G977" s="244" t="s">
        <v>5549</v>
      </c>
      <c r="H977" s="245" t="s">
        <v>3902</v>
      </c>
      <c r="I977" s="246" t="s">
        <v>5550</v>
      </c>
      <c r="J977" s="247" t="s">
        <v>178</v>
      </c>
      <c r="K977" s="248">
        <v>30812</v>
      </c>
      <c r="L977" s="249" t="s">
        <v>179</v>
      </c>
      <c r="M977" s="250">
        <v>43773</v>
      </c>
      <c r="N977" s="250"/>
      <c r="O977" s="250"/>
      <c r="P977" s="238" t="s">
        <v>3950</v>
      </c>
      <c r="Q977" s="238" t="s">
        <v>249</v>
      </c>
      <c r="R977" s="238" t="s">
        <v>182</v>
      </c>
      <c r="S977" s="238" t="s">
        <v>211</v>
      </c>
      <c r="T977" s="251"/>
      <c r="U977" s="307"/>
      <c r="V977" s="252" t="s">
        <v>184</v>
      </c>
      <c r="W977" s="252" t="s">
        <v>184</v>
      </c>
      <c r="X977" s="252">
        <v>5</v>
      </c>
      <c r="Y977" s="253" t="s">
        <v>5551</v>
      </c>
      <c r="Z977" s="254"/>
      <c r="AA977" s="277" t="s">
        <v>186</v>
      </c>
      <c r="AB977" s="252"/>
      <c r="AC977" s="255"/>
      <c r="AD977" s="256"/>
      <c r="AE977" s="256"/>
      <c r="AF977" s="257"/>
      <c r="AG977" s="258"/>
      <c r="AH977" s="259"/>
      <c r="AI977" s="259"/>
      <c r="AJ977" s="274" t="s">
        <v>203</v>
      </c>
      <c r="AK977" s="274" t="s">
        <v>190</v>
      </c>
      <c r="AL977" s="274" t="s">
        <v>190</v>
      </c>
      <c r="AM977" s="260" t="s">
        <v>4830</v>
      </c>
      <c r="AN977" s="22">
        <v>182</v>
      </c>
      <c r="AO977" s="22">
        <v>0</v>
      </c>
      <c r="AP977" s="22">
        <v>0</v>
      </c>
      <c r="AQ977" s="22">
        <v>0</v>
      </c>
      <c r="AR977" s="22">
        <v>0</v>
      </c>
      <c r="AS977" s="22">
        <v>7</v>
      </c>
      <c r="AT977" s="22">
        <v>10</v>
      </c>
      <c r="AU977" s="316">
        <f t="shared" si="166"/>
        <v>199</v>
      </c>
      <c r="AV977" s="22">
        <v>190</v>
      </c>
      <c r="AW977" s="22">
        <v>0</v>
      </c>
      <c r="AX977" s="22">
        <v>0</v>
      </c>
      <c r="AY977" s="22">
        <v>0</v>
      </c>
      <c r="AZ977" s="22">
        <v>0</v>
      </c>
      <c r="BA977" s="22">
        <v>7</v>
      </c>
      <c r="BB977" s="22">
        <v>10</v>
      </c>
      <c r="BC977" s="316">
        <f t="shared" si="167"/>
        <v>207</v>
      </c>
      <c r="BD977" s="58">
        <f t="shared" si="168"/>
        <v>8</v>
      </c>
      <c r="BE977" s="58">
        <f t="shared" si="169"/>
        <v>0</v>
      </c>
      <c r="BF977" s="58">
        <f t="shared" si="170"/>
        <v>0</v>
      </c>
      <c r="BG977" s="58">
        <f t="shared" si="171"/>
        <v>0</v>
      </c>
      <c r="BH977" s="58">
        <f t="shared" si="172"/>
        <v>0</v>
      </c>
      <c r="BI977" s="58">
        <f t="shared" si="173"/>
        <v>0</v>
      </c>
      <c r="BJ977" s="58">
        <f t="shared" si="174"/>
        <v>0</v>
      </c>
      <c r="BK977" s="58">
        <f t="shared" si="175"/>
        <v>8</v>
      </c>
    </row>
    <row r="978" spans="1:63" ht="27" customHeight="1">
      <c r="A978" s="238">
        <f t="shared" si="176"/>
        <v>976</v>
      </c>
      <c r="B978" s="239"/>
      <c r="C978" s="239">
        <v>3807</v>
      </c>
      <c r="D978" s="241">
        <v>0</v>
      </c>
      <c r="E978" s="242" t="s">
        <v>5552</v>
      </c>
      <c r="F978" s="243" t="s">
        <v>5553</v>
      </c>
      <c r="G978" s="244" t="s">
        <v>5554</v>
      </c>
      <c r="H978" s="245" t="s">
        <v>5555</v>
      </c>
      <c r="I978" s="246" t="s">
        <v>5556</v>
      </c>
      <c r="J978" s="247" t="s">
        <v>178</v>
      </c>
      <c r="K978" s="248">
        <v>31534</v>
      </c>
      <c r="L978" s="249" t="s">
        <v>179</v>
      </c>
      <c r="M978" s="250">
        <v>43775</v>
      </c>
      <c r="N978" s="250"/>
      <c r="O978" s="250"/>
      <c r="P978" s="238" t="s">
        <v>3950</v>
      </c>
      <c r="Q978" s="238" t="s">
        <v>249</v>
      </c>
      <c r="R978" s="238" t="s">
        <v>182</v>
      </c>
      <c r="S978" s="238" t="s">
        <v>228</v>
      </c>
      <c r="T978" s="251"/>
      <c r="U978" s="307"/>
      <c r="V978" s="252" t="s">
        <v>184</v>
      </c>
      <c r="W978" s="252" t="s">
        <v>184</v>
      </c>
      <c r="X978" s="252">
        <v>9</v>
      </c>
      <c r="Y978" s="253" t="s">
        <v>5557</v>
      </c>
      <c r="Z978" s="254"/>
      <c r="AA978" s="277" t="s">
        <v>186</v>
      </c>
      <c r="AB978" s="252"/>
      <c r="AC978" s="255"/>
      <c r="AD978" s="256" t="s">
        <v>188</v>
      </c>
      <c r="AE978" s="256"/>
      <c r="AF978" s="257"/>
      <c r="AG978" s="258"/>
      <c r="AH978" s="259"/>
      <c r="AI978" s="259"/>
      <c r="AJ978" s="274" t="s">
        <v>203</v>
      </c>
      <c r="AK978" s="274" t="s">
        <v>190</v>
      </c>
      <c r="AL978" s="274" t="s">
        <v>190</v>
      </c>
      <c r="AM978" s="260" t="s">
        <v>3859</v>
      </c>
      <c r="AN978" s="22">
        <v>177</v>
      </c>
      <c r="AO978" s="22">
        <v>0</v>
      </c>
      <c r="AP978" s="22">
        <v>20</v>
      </c>
      <c r="AQ978" s="22">
        <v>0</v>
      </c>
      <c r="AR978" s="22">
        <v>0</v>
      </c>
      <c r="AS978" s="22">
        <v>7</v>
      </c>
      <c r="AT978" s="22">
        <v>10</v>
      </c>
      <c r="AU978" s="316">
        <f t="shared" si="166"/>
        <v>214</v>
      </c>
      <c r="AV978" s="22">
        <v>185</v>
      </c>
      <c r="AW978" s="22">
        <v>0</v>
      </c>
      <c r="AX978" s="22">
        <v>20</v>
      </c>
      <c r="AY978" s="22">
        <v>0</v>
      </c>
      <c r="AZ978" s="22">
        <v>0</v>
      </c>
      <c r="BA978" s="22">
        <v>7</v>
      </c>
      <c r="BB978" s="22">
        <v>10</v>
      </c>
      <c r="BC978" s="316">
        <f t="shared" si="167"/>
        <v>222</v>
      </c>
      <c r="BD978" s="58">
        <f t="shared" si="168"/>
        <v>8</v>
      </c>
      <c r="BE978" s="58">
        <f t="shared" si="169"/>
        <v>0</v>
      </c>
      <c r="BF978" s="58">
        <f t="shared" si="170"/>
        <v>0</v>
      </c>
      <c r="BG978" s="58">
        <f t="shared" si="171"/>
        <v>0</v>
      </c>
      <c r="BH978" s="58">
        <f t="shared" si="172"/>
        <v>0</v>
      </c>
      <c r="BI978" s="58">
        <f t="shared" si="173"/>
        <v>0</v>
      </c>
      <c r="BJ978" s="58">
        <f t="shared" si="174"/>
        <v>0</v>
      </c>
      <c r="BK978" s="58">
        <f t="shared" si="175"/>
        <v>8</v>
      </c>
    </row>
    <row r="979" spans="1:63" ht="27" customHeight="1">
      <c r="A979" s="238">
        <f t="shared" si="176"/>
        <v>977</v>
      </c>
      <c r="B979" s="239"/>
      <c r="C979" s="239">
        <v>3808</v>
      </c>
      <c r="D979" s="241" t="s">
        <v>5558</v>
      </c>
      <c r="E979" s="242" t="s">
        <v>5559</v>
      </c>
      <c r="F979" s="243" t="s">
        <v>3673</v>
      </c>
      <c r="G979" s="244" t="s">
        <v>1692</v>
      </c>
      <c r="H979" s="245" t="s">
        <v>3997</v>
      </c>
      <c r="I979" s="246" t="s">
        <v>99</v>
      </c>
      <c r="J979" s="247" t="s">
        <v>178</v>
      </c>
      <c r="K979" s="248">
        <v>36665</v>
      </c>
      <c r="L979" s="249" t="s">
        <v>179</v>
      </c>
      <c r="M979" s="250">
        <v>43784</v>
      </c>
      <c r="N979" s="250"/>
      <c r="O979" s="250" t="s">
        <v>26</v>
      </c>
      <c r="P979" s="238" t="e">
        <v>#N/A</v>
      </c>
      <c r="Q979" s="238" t="s">
        <v>249</v>
      </c>
      <c r="R979" s="238" t="s">
        <v>182</v>
      </c>
      <c r="S979" s="238" t="s">
        <v>183</v>
      </c>
      <c r="T979" s="251"/>
      <c r="U979" s="307"/>
      <c r="V979" s="252" t="s">
        <v>184</v>
      </c>
      <c r="W979" s="252" t="s">
        <v>184</v>
      </c>
      <c r="X979" s="252">
        <v>6</v>
      </c>
      <c r="Y979" s="253" t="s">
        <v>5560</v>
      </c>
      <c r="Z979" s="277" t="s">
        <v>186</v>
      </c>
      <c r="AA979" s="254"/>
      <c r="AB979" s="252"/>
      <c r="AC979" s="255"/>
      <c r="AD979" s="256"/>
      <c r="AE979" s="256"/>
      <c r="AF979" s="257"/>
      <c r="AG979" s="258"/>
      <c r="AH979" s="259"/>
      <c r="AI979" s="259"/>
      <c r="AJ979" s="274" t="s">
        <v>203</v>
      </c>
      <c r="AK979" s="274" t="s">
        <v>190</v>
      </c>
      <c r="AL979" s="274" t="s">
        <v>190</v>
      </c>
      <c r="AM979" s="260" t="s">
        <v>3859</v>
      </c>
      <c r="AN979" s="22">
        <v>177</v>
      </c>
      <c r="AO979" s="22">
        <v>0</v>
      </c>
      <c r="AP979" s="22">
        <v>20</v>
      </c>
      <c r="AQ979" s="22">
        <v>0</v>
      </c>
      <c r="AR979" s="22">
        <v>0</v>
      </c>
      <c r="AS979" s="22">
        <v>7</v>
      </c>
      <c r="AT979" s="22">
        <v>10</v>
      </c>
      <c r="AU979" s="316">
        <f t="shared" si="166"/>
        <v>214</v>
      </c>
      <c r="AV979" s="22">
        <v>185</v>
      </c>
      <c r="AW979" s="22">
        <v>0</v>
      </c>
      <c r="AX979" s="22">
        <v>20</v>
      </c>
      <c r="AY979" s="22">
        <v>0</v>
      </c>
      <c r="AZ979" s="22">
        <v>0</v>
      </c>
      <c r="BA979" s="22">
        <v>7</v>
      </c>
      <c r="BB979" s="22">
        <v>10</v>
      </c>
      <c r="BC979" s="316">
        <f t="shared" si="167"/>
        <v>222</v>
      </c>
      <c r="BD979" s="58">
        <f t="shared" si="168"/>
        <v>8</v>
      </c>
      <c r="BE979" s="58">
        <f t="shared" si="169"/>
        <v>0</v>
      </c>
      <c r="BF979" s="58">
        <f t="shared" si="170"/>
        <v>0</v>
      </c>
      <c r="BG979" s="58">
        <f t="shared" si="171"/>
        <v>0</v>
      </c>
      <c r="BH979" s="58">
        <f t="shared" si="172"/>
        <v>0</v>
      </c>
      <c r="BI979" s="58">
        <f t="shared" si="173"/>
        <v>0</v>
      </c>
      <c r="BJ979" s="58">
        <f t="shared" si="174"/>
        <v>0</v>
      </c>
      <c r="BK979" s="58">
        <f t="shared" si="175"/>
        <v>8</v>
      </c>
    </row>
    <row r="980" spans="1:63" ht="27" customHeight="1">
      <c r="A980" s="238">
        <f t="shared" si="176"/>
        <v>978</v>
      </c>
      <c r="B980" s="239"/>
      <c r="C980" s="239">
        <v>3820</v>
      </c>
      <c r="D980" s="241" t="s">
        <v>5561</v>
      </c>
      <c r="E980" s="242" t="s">
        <v>5562</v>
      </c>
      <c r="F980" s="243" t="s">
        <v>976</v>
      </c>
      <c r="G980" s="244" t="s">
        <v>5563</v>
      </c>
      <c r="H980" s="245" t="s">
        <v>5564</v>
      </c>
      <c r="I980" s="246" t="s">
        <v>5565</v>
      </c>
      <c r="J980" s="247" t="s">
        <v>178</v>
      </c>
      <c r="K980" s="248">
        <v>32493</v>
      </c>
      <c r="L980" s="249" t="s">
        <v>179</v>
      </c>
      <c r="M980" s="250">
        <v>43784</v>
      </c>
      <c r="N980" s="250"/>
      <c r="O980" s="250" t="s">
        <v>26</v>
      </c>
      <c r="P980" s="238" t="e">
        <v>#N/A</v>
      </c>
      <c r="Q980" s="238" t="s">
        <v>249</v>
      </c>
      <c r="R980" s="238" t="s">
        <v>182</v>
      </c>
      <c r="S980" s="238" t="s">
        <v>727</v>
      </c>
      <c r="T980" s="251"/>
      <c r="U980" s="307"/>
      <c r="V980" s="252" t="s">
        <v>184</v>
      </c>
      <c r="W980" s="252" t="s">
        <v>184</v>
      </c>
      <c r="X980" s="252">
        <v>9</v>
      </c>
      <c r="Y980" s="253" t="s">
        <v>5566</v>
      </c>
      <c r="Z980" s="254"/>
      <c r="AA980" s="277" t="s">
        <v>186</v>
      </c>
      <c r="AB980" s="252"/>
      <c r="AC980" s="255"/>
      <c r="AD980" s="256" t="s">
        <v>188</v>
      </c>
      <c r="AE980" s="256" t="s">
        <v>3607</v>
      </c>
      <c r="AF980" s="257"/>
      <c r="AG980" s="258"/>
      <c r="AH980" s="259"/>
      <c r="AI980" s="259"/>
      <c r="AJ980" s="274" t="s">
        <v>203</v>
      </c>
      <c r="AK980" s="274" t="s">
        <v>190</v>
      </c>
      <c r="AL980" s="274" t="s">
        <v>190</v>
      </c>
      <c r="AM980" s="260" t="s">
        <v>3859</v>
      </c>
      <c r="AN980" s="22">
        <v>177</v>
      </c>
      <c r="AO980" s="22">
        <v>0</v>
      </c>
      <c r="AP980" s="22">
        <v>20</v>
      </c>
      <c r="AQ980" s="22">
        <v>0</v>
      </c>
      <c r="AR980" s="22">
        <v>0</v>
      </c>
      <c r="AS980" s="22">
        <v>7</v>
      </c>
      <c r="AT980" s="22">
        <v>10</v>
      </c>
      <c r="AU980" s="316">
        <f t="shared" si="166"/>
        <v>214</v>
      </c>
      <c r="AV980" s="22">
        <v>185</v>
      </c>
      <c r="AW980" s="22">
        <v>0</v>
      </c>
      <c r="AX980" s="22">
        <v>20</v>
      </c>
      <c r="AY980" s="22">
        <v>0</v>
      </c>
      <c r="AZ980" s="22">
        <v>0</v>
      </c>
      <c r="BA980" s="22">
        <v>7</v>
      </c>
      <c r="BB980" s="22">
        <v>10</v>
      </c>
      <c r="BC980" s="316">
        <f t="shared" si="167"/>
        <v>222</v>
      </c>
      <c r="BD980" s="58">
        <f t="shared" si="168"/>
        <v>8</v>
      </c>
      <c r="BE980" s="58">
        <f t="shared" si="169"/>
        <v>0</v>
      </c>
      <c r="BF980" s="58">
        <f t="shared" si="170"/>
        <v>0</v>
      </c>
      <c r="BG980" s="58">
        <f t="shared" si="171"/>
        <v>0</v>
      </c>
      <c r="BH980" s="58">
        <f t="shared" si="172"/>
        <v>0</v>
      </c>
      <c r="BI980" s="58">
        <f t="shared" si="173"/>
        <v>0</v>
      </c>
      <c r="BJ980" s="58">
        <f t="shared" si="174"/>
        <v>0</v>
      </c>
      <c r="BK980" s="58">
        <f t="shared" si="175"/>
        <v>8</v>
      </c>
    </row>
    <row r="981" spans="1:63" ht="27" customHeight="1">
      <c r="A981" s="238">
        <f t="shared" si="176"/>
        <v>979</v>
      </c>
      <c r="B981" s="239"/>
      <c r="C981" s="239">
        <v>3819</v>
      </c>
      <c r="D981" s="241">
        <v>0</v>
      </c>
      <c r="E981" s="242" t="s">
        <v>296</v>
      </c>
      <c r="F981" s="243" t="s">
        <v>732</v>
      </c>
      <c r="G981" s="244" t="s">
        <v>1809</v>
      </c>
      <c r="H981" s="245">
        <v>0</v>
      </c>
      <c r="I981" s="246">
        <v>0</v>
      </c>
      <c r="J981" s="247" t="s">
        <v>178</v>
      </c>
      <c r="K981" s="248">
        <v>36779</v>
      </c>
      <c r="L981" s="249" t="s">
        <v>179</v>
      </c>
      <c r="M981" s="250">
        <v>43784</v>
      </c>
      <c r="N981" s="250"/>
      <c r="O981" s="250"/>
      <c r="P981" s="238" t="e">
        <v>#N/A</v>
      </c>
      <c r="Q981" s="238" t="s">
        <v>249</v>
      </c>
      <c r="R981" s="238" t="s">
        <v>182</v>
      </c>
      <c r="S981" s="238" t="s">
        <v>211</v>
      </c>
      <c r="T981" s="251"/>
      <c r="U981" s="307"/>
      <c r="V981" s="252" t="s">
        <v>184</v>
      </c>
      <c r="W981" s="252">
        <v>1244</v>
      </c>
      <c r="X981" s="252">
        <v>6</v>
      </c>
      <c r="Y981" s="253" t="s">
        <v>5567</v>
      </c>
      <c r="Z981" s="277" t="s">
        <v>186</v>
      </c>
      <c r="AA981" s="254"/>
      <c r="AB981" s="252"/>
      <c r="AC981" s="255"/>
      <c r="AD981" s="256"/>
      <c r="AE981" s="256"/>
      <c r="AF981" s="257"/>
      <c r="AG981" s="258"/>
      <c r="AH981" s="259"/>
      <c r="AI981" s="259"/>
      <c r="AJ981" s="274" t="s">
        <v>203</v>
      </c>
      <c r="AK981" s="274" t="s">
        <v>190</v>
      </c>
      <c r="AL981" s="274" t="s">
        <v>190</v>
      </c>
      <c r="AM981" s="260" t="s">
        <v>3859</v>
      </c>
      <c r="AN981" s="22">
        <v>177</v>
      </c>
      <c r="AO981" s="22">
        <v>0</v>
      </c>
      <c r="AP981" s="22">
        <v>20</v>
      </c>
      <c r="AQ981" s="22">
        <v>0</v>
      </c>
      <c r="AR981" s="22">
        <v>0</v>
      </c>
      <c r="AS981" s="22">
        <v>7</v>
      </c>
      <c r="AT981" s="22">
        <v>10</v>
      </c>
      <c r="AU981" s="316">
        <f t="shared" si="166"/>
        <v>214</v>
      </c>
      <c r="AV981" s="22">
        <v>185</v>
      </c>
      <c r="AW981" s="22">
        <v>0</v>
      </c>
      <c r="AX981" s="22">
        <v>20</v>
      </c>
      <c r="AY981" s="22">
        <v>0</v>
      </c>
      <c r="AZ981" s="22">
        <v>0</v>
      </c>
      <c r="BA981" s="22">
        <v>7</v>
      </c>
      <c r="BB981" s="22">
        <v>10</v>
      </c>
      <c r="BC981" s="316">
        <f t="shared" si="167"/>
        <v>222</v>
      </c>
      <c r="BD981" s="58">
        <f t="shared" si="168"/>
        <v>8</v>
      </c>
      <c r="BE981" s="58">
        <f t="shared" si="169"/>
        <v>0</v>
      </c>
      <c r="BF981" s="58">
        <f t="shared" si="170"/>
        <v>0</v>
      </c>
      <c r="BG981" s="58">
        <f t="shared" si="171"/>
        <v>0</v>
      </c>
      <c r="BH981" s="58">
        <f t="shared" si="172"/>
        <v>0</v>
      </c>
      <c r="BI981" s="58">
        <f t="shared" si="173"/>
        <v>0</v>
      </c>
      <c r="BJ981" s="58">
        <f t="shared" si="174"/>
        <v>0</v>
      </c>
      <c r="BK981" s="58">
        <f t="shared" si="175"/>
        <v>8</v>
      </c>
    </row>
    <row r="982" spans="1:63" ht="27" customHeight="1">
      <c r="A982" s="238">
        <f t="shared" si="176"/>
        <v>980</v>
      </c>
      <c r="B982" s="239"/>
      <c r="C982" s="239">
        <v>3809</v>
      </c>
      <c r="D982" s="241" t="s">
        <v>5568</v>
      </c>
      <c r="E982" s="242" t="s">
        <v>5569</v>
      </c>
      <c r="F982" s="243" t="s">
        <v>2944</v>
      </c>
      <c r="G982" s="244" t="s">
        <v>5570</v>
      </c>
      <c r="H982" s="245" t="s">
        <v>5571</v>
      </c>
      <c r="I982" s="246" t="s">
        <v>5572</v>
      </c>
      <c r="J982" s="247" t="s">
        <v>178</v>
      </c>
      <c r="K982" s="248">
        <v>33665</v>
      </c>
      <c r="L982" s="249" t="s">
        <v>179</v>
      </c>
      <c r="M982" s="250">
        <v>43784</v>
      </c>
      <c r="N982" s="250"/>
      <c r="O982" s="250"/>
      <c r="P982" s="238" t="e">
        <v>#N/A</v>
      </c>
      <c r="Q982" s="238" t="s">
        <v>249</v>
      </c>
      <c r="R982" s="238" t="s">
        <v>182</v>
      </c>
      <c r="S982" s="238" t="s">
        <v>228</v>
      </c>
      <c r="T982" s="251"/>
      <c r="U982" s="307"/>
      <c r="V982" s="252" t="s">
        <v>184</v>
      </c>
      <c r="W982" s="252" t="s">
        <v>184</v>
      </c>
      <c r="X982" s="252">
        <v>5</v>
      </c>
      <c r="Y982" s="253" t="s">
        <v>5573</v>
      </c>
      <c r="Z982" s="254"/>
      <c r="AA982" s="277" t="s">
        <v>186</v>
      </c>
      <c r="AB982" s="252"/>
      <c r="AC982" s="255"/>
      <c r="AD982" s="256" t="s">
        <v>3607</v>
      </c>
      <c r="AE982" s="256"/>
      <c r="AF982" s="257"/>
      <c r="AG982" s="258"/>
      <c r="AH982" s="259"/>
      <c r="AI982" s="259"/>
      <c r="AJ982" s="274" t="s">
        <v>203</v>
      </c>
      <c r="AK982" s="274" t="s">
        <v>190</v>
      </c>
      <c r="AL982" s="274" t="s">
        <v>190</v>
      </c>
      <c r="AM982" s="260" t="s">
        <v>3859</v>
      </c>
      <c r="AN982" s="22">
        <v>182</v>
      </c>
      <c r="AO982" s="22">
        <v>0</v>
      </c>
      <c r="AP982" s="22">
        <v>20</v>
      </c>
      <c r="AQ982" s="22">
        <v>0</v>
      </c>
      <c r="AR982" s="22">
        <v>0</v>
      </c>
      <c r="AS982" s="22">
        <v>7</v>
      </c>
      <c r="AT982" s="22">
        <v>10</v>
      </c>
      <c r="AU982" s="316">
        <f t="shared" si="166"/>
        <v>219</v>
      </c>
      <c r="AV982" s="22">
        <v>190</v>
      </c>
      <c r="AW982" s="22">
        <v>0</v>
      </c>
      <c r="AX982" s="22">
        <v>20</v>
      </c>
      <c r="AY982" s="22">
        <v>0</v>
      </c>
      <c r="AZ982" s="22">
        <v>0</v>
      </c>
      <c r="BA982" s="22">
        <v>7</v>
      </c>
      <c r="BB982" s="22">
        <v>10</v>
      </c>
      <c r="BC982" s="316">
        <f t="shared" si="167"/>
        <v>227</v>
      </c>
      <c r="BD982" s="58">
        <f t="shared" si="168"/>
        <v>8</v>
      </c>
      <c r="BE982" s="58">
        <f t="shared" si="169"/>
        <v>0</v>
      </c>
      <c r="BF982" s="58">
        <f t="shared" si="170"/>
        <v>0</v>
      </c>
      <c r="BG982" s="58">
        <f t="shared" si="171"/>
        <v>0</v>
      </c>
      <c r="BH982" s="58">
        <f t="shared" si="172"/>
        <v>0</v>
      </c>
      <c r="BI982" s="58">
        <f t="shared" si="173"/>
        <v>0</v>
      </c>
      <c r="BJ982" s="58">
        <f t="shared" si="174"/>
        <v>0</v>
      </c>
      <c r="BK982" s="58">
        <f t="shared" si="175"/>
        <v>8</v>
      </c>
    </row>
    <row r="983" spans="1:63" ht="27" customHeight="1">
      <c r="A983" s="238">
        <f t="shared" si="176"/>
        <v>981</v>
      </c>
      <c r="B983" s="239"/>
      <c r="C983" s="239">
        <v>3823</v>
      </c>
      <c r="D983" s="241" t="s">
        <v>5574</v>
      </c>
      <c r="E983" s="242" t="s">
        <v>5575</v>
      </c>
      <c r="F983" s="243" t="s">
        <v>5576</v>
      </c>
      <c r="G983" s="244" t="s">
        <v>3926</v>
      </c>
      <c r="H983" s="245" t="s">
        <v>5417</v>
      </c>
      <c r="I983" s="246" t="s">
        <v>5577</v>
      </c>
      <c r="J983" s="247" t="s">
        <v>178</v>
      </c>
      <c r="K983" s="248">
        <v>31573</v>
      </c>
      <c r="L983" s="249" t="s">
        <v>179</v>
      </c>
      <c r="M983" s="250">
        <v>43785</v>
      </c>
      <c r="N983" s="250"/>
      <c r="O983" s="250" t="s">
        <v>3999</v>
      </c>
      <c r="P983" s="238" t="e">
        <v>#N/A</v>
      </c>
      <c r="Q983" s="238" t="s">
        <v>249</v>
      </c>
      <c r="R983" s="238" t="s">
        <v>182</v>
      </c>
      <c r="S983" s="238" t="s">
        <v>219</v>
      </c>
      <c r="T983" s="251"/>
      <c r="U983" s="307"/>
      <c r="V983" s="252" t="s">
        <v>184</v>
      </c>
      <c r="W983" s="252" t="s">
        <v>184</v>
      </c>
      <c r="X983" s="252">
        <v>1</v>
      </c>
      <c r="Y983" s="253" t="s">
        <v>5578</v>
      </c>
      <c r="Z983" s="254"/>
      <c r="AA983" s="277" t="s">
        <v>186</v>
      </c>
      <c r="AB983" s="252"/>
      <c r="AC983" s="255"/>
      <c r="AD983" s="256"/>
      <c r="AE983" s="256"/>
      <c r="AF983" s="257"/>
      <c r="AG983" s="258"/>
      <c r="AH983" s="259"/>
      <c r="AI983" s="259"/>
      <c r="AJ983" s="274" t="s">
        <v>203</v>
      </c>
      <c r="AK983" s="274" t="s">
        <v>190</v>
      </c>
      <c r="AL983" s="274" t="s">
        <v>190</v>
      </c>
      <c r="AM983" s="260" t="s">
        <v>3859</v>
      </c>
      <c r="AN983" s="22">
        <v>177</v>
      </c>
      <c r="AO983" s="22">
        <v>0</v>
      </c>
      <c r="AP983" s="22">
        <v>20</v>
      </c>
      <c r="AQ983" s="22">
        <v>0</v>
      </c>
      <c r="AR983" s="22">
        <v>0</v>
      </c>
      <c r="AS983" s="22">
        <v>7</v>
      </c>
      <c r="AT983" s="22">
        <v>10</v>
      </c>
      <c r="AU983" s="316">
        <f t="shared" si="166"/>
        <v>214</v>
      </c>
      <c r="AV983" s="22">
        <v>185</v>
      </c>
      <c r="AW983" s="22">
        <v>0</v>
      </c>
      <c r="AX983" s="22">
        <v>20</v>
      </c>
      <c r="AY983" s="22">
        <v>0</v>
      </c>
      <c r="AZ983" s="22">
        <v>0</v>
      </c>
      <c r="BA983" s="22">
        <v>7</v>
      </c>
      <c r="BB983" s="22">
        <v>10</v>
      </c>
      <c r="BC983" s="316">
        <f t="shared" si="167"/>
        <v>222</v>
      </c>
      <c r="BD983" s="58">
        <f t="shared" si="168"/>
        <v>8</v>
      </c>
      <c r="BE983" s="58">
        <f t="shared" si="169"/>
        <v>0</v>
      </c>
      <c r="BF983" s="58">
        <f t="shared" si="170"/>
        <v>0</v>
      </c>
      <c r="BG983" s="58">
        <f t="shared" si="171"/>
        <v>0</v>
      </c>
      <c r="BH983" s="58">
        <f t="shared" si="172"/>
        <v>0</v>
      </c>
      <c r="BI983" s="58">
        <f t="shared" si="173"/>
        <v>0</v>
      </c>
      <c r="BJ983" s="58">
        <f t="shared" si="174"/>
        <v>0</v>
      </c>
      <c r="BK983" s="58">
        <f t="shared" si="175"/>
        <v>8</v>
      </c>
    </row>
    <row r="984" spans="1:63" ht="27" customHeight="1">
      <c r="A984" s="238">
        <f t="shared" si="176"/>
        <v>982</v>
      </c>
      <c r="B984" s="239"/>
      <c r="C984" s="239">
        <v>3839</v>
      </c>
      <c r="D984" s="241" t="s">
        <v>5579</v>
      </c>
      <c r="E984" s="242" t="s">
        <v>5580</v>
      </c>
      <c r="F984" s="243" t="s">
        <v>5581</v>
      </c>
      <c r="G984" s="244" t="s">
        <v>4008</v>
      </c>
      <c r="H984" s="245" t="s">
        <v>5582</v>
      </c>
      <c r="I984" s="246" t="s">
        <v>5583</v>
      </c>
      <c r="J984" s="247" t="s">
        <v>178</v>
      </c>
      <c r="K984" s="248">
        <v>29756</v>
      </c>
      <c r="L984" s="249" t="s">
        <v>179</v>
      </c>
      <c r="M984" s="250">
        <v>43787</v>
      </c>
      <c r="N984" s="250"/>
      <c r="O984" s="250"/>
      <c r="P984" s="238" t="e">
        <v>#N/A</v>
      </c>
      <c r="Q984" s="238" t="s">
        <v>249</v>
      </c>
      <c r="R984" s="238" t="s">
        <v>182</v>
      </c>
      <c r="S984" s="238" t="s">
        <v>183</v>
      </c>
      <c r="T984" s="251"/>
      <c r="U984" s="307"/>
      <c r="V984" s="252" t="s">
        <v>184</v>
      </c>
      <c r="W984" s="252" t="s">
        <v>184</v>
      </c>
      <c r="X984" s="252">
        <v>5</v>
      </c>
      <c r="Y984" s="253" t="s">
        <v>5584</v>
      </c>
      <c r="Z984" s="254"/>
      <c r="AA984" s="277" t="s">
        <v>186</v>
      </c>
      <c r="AB984" s="252"/>
      <c r="AC984" s="255"/>
      <c r="AD984" s="256" t="s">
        <v>188</v>
      </c>
      <c r="AE984" s="256" t="s">
        <v>188</v>
      </c>
      <c r="AF984" s="256" t="s">
        <v>188</v>
      </c>
      <c r="AG984" s="258"/>
      <c r="AH984" s="259"/>
      <c r="AI984" s="259"/>
      <c r="AJ984" s="274" t="s">
        <v>203</v>
      </c>
      <c r="AK984" s="274" t="s">
        <v>190</v>
      </c>
      <c r="AL984" s="274" t="s">
        <v>190</v>
      </c>
      <c r="AM984" s="260" t="s">
        <v>5585</v>
      </c>
      <c r="AN984" s="22">
        <v>177</v>
      </c>
      <c r="AO984" s="22">
        <v>0</v>
      </c>
      <c r="AP984" s="22">
        <v>20</v>
      </c>
      <c r="AQ984" s="22">
        <v>0</v>
      </c>
      <c r="AR984" s="22">
        <v>0</v>
      </c>
      <c r="AS984" s="22">
        <v>7</v>
      </c>
      <c r="AT984" s="22">
        <v>10</v>
      </c>
      <c r="AU984" s="316">
        <f t="shared" si="166"/>
        <v>214</v>
      </c>
      <c r="AV984" s="22">
        <v>185</v>
      </c>
      <c r="AW984" s="22">
        <v>0</v>
      </c>
      <c r="AX984" s="22">
        <v>20</v>
      </c>
      <c r="AY984" s="22">
        <v>0</v>
      </c>
      <c r="AZ984" s="22">
        <v>0</v>
      </c>
      <c r="BA984" s="22">
        <v>7</v>
      </c>
      <c r="BB984" s="22">
        <v>10</v>
      </c>
      <c r="BC984" s="316">
        <f t="shared" si="167"/>
        <v>222</v>
      </c>
      <c r="BD984" s="58">
        <f t="shared" si="168"/>
        <v>8</v>
      </c>
      <c r="BE984" s="58">
        <f t="shared" si="169"/>
        <v>0</v>
      </c>
      <c r="BF984" s="58">
        <f t="shared" si="170"/>
        <v>0</v>
      </c>
      <c r="BG984" s="58">
        <f t="shared" si="171"/>
        <v>0</v>
      </c>
      <c r="BH984" s="58">
        <f t="shared" si="172"/>
        <v>0</v>
      </c>
      <c r="BI984" s="58">
        <f t="shared" si="173"/>
        <v>0</v>
      </c>
      <c r="BJ984" s="58">
        <f t="shared" si="174"/>
        <v>0</v>
      </c>
      <c r="BK984" s="58">
        <f t="shared" si="175"/>
        <v>8</v>
      </c>
    </row>
    <row r="985" spans="1:63" ht="27" customHeight="1">
      <c r="A985" s="238">
        <f t="shared" si="176"/>
        <v>983</v>
      </c>
      <c r="B985" s="239"/>
      <c r="C985" s="239">
        <v>3838</v>
      </c>
      <c r="D985" s="241" t="s">
        <v>5586</v>
      </c>
      <c r="E985" s="242" t="s">
        <v>5587</v>
      </c>
      <c r="F985" s="243" t="s">
        <v>2427</v>
      </c>
      <c r="G985" s="244" t="s">
        <v>5588</v>
      </c>
      <c r="H985" s="245" t="s">
        <v>4518</v>
      </c>
      <c r="I985" s="246" t="s">
        <v>5589</v>
      </c>
      <c r="J985" s="247" t="s">
        <v>178</v>
      </c>
      <c r="K985" s="248">
        <v>29593</v>
      </c>
      <c r="L985" s="249" t="s">
        <v>179</v>
      </c>
      <c r="M985" s="250">
        <v>43787</v>
      </c>
      <c r="N985" s="250"/>
      <c r="O985" s="250"/>
      <c r="P985" s="238" t="e">
        <v>#N/A</v>
      </c>
      <c r="Q985" s="238" t="s">
        <v>249</v>
      </c>
      <c r="R985" s="238" t="s">
        <v>182</v>
      </c>
      <c r="S985" s="238" t="s">
        <v>183</v>
      </c>
      <c r="T985" s="251"/>
      <c r="U985" s="307"/>
      <c r="V985" s="252" t="s">
        <v>184</v>
      </c>
      <c r="W985" s="252" t="s">
        <v>184</v>
      </c>
      <c r="X985" s="252">
        <v>5</v>
      </c>
      <c r="Y985" s="253" t="s">
        <v>5590</v>
      </c>
      <c r="Z985" s="254"/>
      <c r="AA985" s="277" t="s">
        <v>186</v>
      </c>
      <c r="AB985" s="252"/>
      <c r="AC985" s="255"/>
      <c r="AD985" s="256" t="s">
        <v>187</v>
      </c>
      <c r="AE985" s="256" t="s">
        <v>188</v>
      </c>
      <c r="AF985" s="257"/>
      <c r="AG985" s="258"/>
      <c r="AH985" s="259"/>
      <c r="AI985" s="259"/>
      <c r="AJ985" s="260" t="s">
        <v>190</v>
      </c>
      <c r="AK985" s="274" t="s">
        <v>190</v>
      </c>
      <c r="AL985" s="274" t="s">
        <v>190</v>
      </c>
      <c r="AM985" s="260" t="s">
        <v>3859</v>
      </c>
      <c r="AN985" s="22">
        <v>182</v>
      </c>
      <c r="AO985" s="22">
        <v>0</v>
      </c>
      <c r="AP985" s="22">
        <v>20</v>
      </c>
      <c r="AQ985" s="22">
        <v>0</v>
      </c>
      <c r="AR985" s="22">
        <v>0</v>
      </c>
      <c r="AS985" s="22">
        <v>7</v>
      </c>
      <c r="AT985" s="22">
        <v>10</v>
      </c>
      <c r="AU985" s="316">
        <f t="shared" si="166"/>
        <v>219</v>
      </c>
      <c r="AV985" s="22">
        <v>190</v>
      </c>
      <c r="AW985" s="22">
        <v>0</v>
      </c>
      <c r="AX985" s="22">
        <v>20</v>
      </c>
      <c r="AY985" s="22">
        <v>0</v>
      </c>
      <c r="AZ985" s="22">
        <v>0</v>
      </c>
      <c r="BA985" s="22">
        <v>7</v>
      </c>
      <c r="BB985" s="22">
        <v>10</v>
      </c>
      <c r="BC985" s="316">
        <f t="shared" si="167"/>
        <v>227</v>
      </c>
      <c r="BD985" s="58">
        <f t="shared" si="168"/>
        <v>8</v>
      </c>
      <c r="BE985" s="58">
        <f t="shared" si="169"/>
        <v>0</v>
      </c>
      <c r="BF985" s="58">
        <f t="shared" si="170"/>
        <v>0</v>
      </c>
      <c r="BG985" s="58">
        <f t="shared" si="171"/>
        <v>0</v>
      </c>
      <c r="BH985" s="58">
        <f t="shared" si="172"/>
        <v>0</v>
      </c>
      <c r="BI985" s="58">
        <f t="shared" si="173"/>
        <v>0</v>
      </c>
      <c r="BJ985" s="58">
        <f t="shared" si="174"/>
        <v>0</v>
      </c>
      <c r="BK985" s="58">
        <f t="shared" si="175"/>
        <v>8</v>
      </c>
    </row>
    <row r="986" spans="1:63" ht="27" customHeight="1">
      <c r="A986" s="238">
        <f t="shared" si="176"/>
        <v>984</v>
      </c>
      <c r="B986" s="239"/>
      <c r="C986" s="239">
        <v>3825</v>
      </c>
      <c r="D986" s="241" t="s">
        <v>5591</v>
      </c>
      <c r="E986" s="242" t="s">
        <v>5592</v>
      </c>
      <c r="F986" s="243" t="s">
        <v>2937</v>
      </c>
      <c r="G986" s="244" t="s">
        <v>3598</v>
      </c>
      <c r="H986" s="245" t="s">
        <v>5593</v>
      </c>
      <c r="I986" s="246" t="s">
        <v>3600</v>
      </c>
      <c r="J986" s="247" t="s">
        <v>178</v>
      </c>
      <c r="K986" s="248">
        <v>36358</v>
      </c>
      <c r="L986" s="249" t="s">
        <v>179</v>
      </c>
      <c r="M986" s="250">
        <v>43787</v>
      </c>
      <c r="N986" s="250"/>
      <c r="O986" s="250"/>
      <c r="P986" s="238" t="e">
        <v>#N/A</v>
      </c>
      <c r="Q986" s="238" t="s">
        <v>249</v>
      </c>
      <c r="R986" s="238" t="s">
        <v>182</v>
      </c>
      <c r="S986" s="238" t="s">
        <v>3601</v>
      </c>
      <c r="T986" s="251"/>
      <c r="U986" s="307"/>
      <c r="V986" s="252" t="s">
        <v>184</v>
      </c>
      <c r="W986" s="252" t="s">
        <v>184</v>
      </c>
      <c r="X986" s="252">
        <v>6</v>
      </c>
      <c r="Y986" s="253" t="s">
        <v>5594</v>
      </c>
      <c r="Z986" s="277" t="s">
        <v>186</v>
      </c>
      <c r="AA986" s="254"/>
      <c r="AB986" s="252"/>
      <c r="AC986" s="255"/>
      <c r="AD986" s="256"/>
      <c r="AE986" s="256"/>
      <c r="AF986" s="257"/>
      <c r="AG986" s="258"/>
      <c r="AH986" s="259"/>
      <c r="AI986" s="259"/>
      <c r="AJ986" s="274" t="s">
        <v>203</v>
      </c>
      <c r="AK986" s="274" t="s">
        <v>190</v>
      </c>
      <c r="AL986" s="274" t="s">
        <v>190</v>
      </c>
      <c r="AM986" s="260" t="s">
        <v>3859</v>
      </c>
      <c r="AN986" s="22">
        <v>177</v>
      </c>
      <c r="AO986" s="22">
        <v>0</v>
      </c>
      <c r="AP986" s="22">
        <v>20</v>
      </c>
      <c r="AQ986" s="22">
        <v>0</v>
      </c>
      <c r="AR986" s="22">
        <v>0</v>
      </c>
      <c r="AS986" s="22">
        <v>7</v>
      </c>
      <c r="AT986" s="22">
        <v>10</v>
      </c>
      <c r="AU986" s="316">
        <f t="shared" si="166"/>
        <v>214</v>
      </c>
      <c r="AV986" s="22">
        <v>185</v>
      </c>
      <c r="AW986" s="22">
        <v>0</v>
      </c>
      <c r="AX986" s="22">
        <v>20</v>
      </c>
      <c r="AY986" s="22">
        <v>0</v>
      </c>
      <c r="AZ986" s="22">
        <v>0</v>
      </c>
      <c r="BA986" s="22">
        <v>7</v>
      </c>
      <c r="BB986" s="22">
        <v>10</v>
      </c>
      <c r="BC986" s="316">
        <f t="shared" si="167"/>
        <v>222</v>
      </c>
      <c r="BD986" s="58">
        <f t="shared" si="168"/>
        <v>8</v>
      </c>
      <c r="BE986" s="58">
        <f t="shared" si="169"/>
        <v>0</v>
      </c>
      <c r="BF986" s="58">
        <f t="shared" si="170"/>
        <v>0</v>
      </c>
      <c r="BG986" s="58">
        <f t="shared" si="171"/>
        <v>0</v>
      </c>
      <c r="BH986" s="58">
        <f t="shared" si="172"/>
        <v>0</v>
      </c>
      <c r="BI986" s="58">
        <f t="shared" si="173"/>
        <v>0</v>
      </c>
      <c r="BJ986" s="58">
        <f t="shared" si="174"/>
        <v>0</v>
      </c>
      <c r="BK986" s="58">
        <f t="shared" si="175"/>
        <v>8</v>
      </c>
    </row>
    <row r="987" spans="1:63" ht="27" customHeight="1">
      <c r="A987" s="238">
        <f t="shared" si="176"/>
        <v>985</v>
      </c>
      <c r="B987" s="239"/>
      <c r="C987" s="239">
        <v>3835</v>
      </c>
      <c r="D987" s="241" t="s">
        <v>5595</v>
      </c>
      <c r="E987" s="242" t="s">
        <v>5596</v>
      </c>
      <c r="F987" s="243" t="s">
        <v>1178</v>
      </c>
      <c r="G987" s="244" t="s">
        <v>5597</v>
      </c>
      <c r="H987" s="245" t="s">
        <v>4300</v>
      </c>
      <c r="I987" s="246" t="s">
        <v>5598</v>
      </c>
      <c r="J987" s="247" t="s">
        <v>178</v>
      </c>
      <c r="K987" s="248">
        <v>35065</v>
      </c>
      <c r="L987" s="249" t="s">
        <v>179</v>
      </c>
      <c r="M987" s="250">
        <v>43787</v>
      </c>
      <c r="N987" s="250"/>
      <c r="O987" s="250"/>
      <c r="P987" s="238" t="e">
        <v>#N/A</v>
      </c>
      <c r="Q987" s="238" t="s">
        <v>249</v>
      </c>
      <c r="R987" s="238" t="s">
        <v>182</v>
      </c>
      <c r="S987" s="238" t="s">
        <v>228</v>
      </c>
      <c r="T987" s="251"/>
      <c r="U987" s="307"/>
      <c r="V987" s="252" t="s">
        <v>184</v>
      </c>
      <c r="W987" s="252" t="s">
        <v>184</v>
      </c>
      <c r="X987" s="252">
        <v>9</v>
      </c>
      <c r="Y987" s="253" t="s">
        <v>5599</v>
      </c>
      <c r="Z987" s="254"/>
      <c r="AA987" s="277" t="s">
        <v>186</v>
      </c>
      <c r="AB987" s="252"/>
      <c r="AC987" s="255"/>
      <c r="AD987" s="256"/>
      <c r="AE987" s="256"/>
      <c r="AF987" s="257"/>
      <c r="AG987" s="258"/>
      <c r="AH987" s="259"/>
      <c r="AI987" s="259"/>
      <c r="AJ987" s="274" t="s">
        <v>203</v>
      </c>
      <c r="AK987" s="274" t="s">
        <v>190</v>
      </c>
      <c r="AL987" s="274" t="s">
        <v>190</v>
      </c>
      <c r="AM987" s="260" t="s">
        <v>3859</v>
      </c>
      <c r="AN987" s="22">
        <v>177</v>
      </c>
      <c r="AO987" s="22">
        <v>0</v>
      </c>
      <c r="AP987" s="22">
        <v>20</v>
      </c>
      <c r="AQ987" s="22">
        <v>0</v>
      </c>
      <c r="AR987" s="22">
        <v>0</v>
      </c>
      <c r="AS987" s="22">
        <v>7</v>
      </c>
      <c r="AT987" s="22">
        <v>10</v>
      </c>
      <c r="AU987" s="316">
        <f t="shared" si="166"/>
        <v>214</v>
      </c>
      <c r="AV987" s="22">
        <v>185</v>
      </c>
      <c r="AW987" s="22">
        <v>0</v>
      </c>
      <c r="AX987" s="22">
        <v>20</v>
      </c>
      <c r="AY987" s="22">
        <v>0</v>
      </c>
      <c r="AZ987" s="22">
        <v>0</v>
      </c>
      <c r="BA987" s="22">
        <v>7</v>
      </c>
      <c r="BB987" s="22">
        <v>10</v>
      </c>
      <c r="BC987" s="316">
        <f t="shared" si="167"/>
        <v>222</v>
      </c>
      <c r="BD987" s="58">
        <f t="shared" si="168"/>
        <v>8</v>
      </c>
      <c r="BE987" s="58">
        <f t="shared" si="169"/>
        <v>0</v>
      </c>
      <c r="BF987" s="58">
        <f t="shared" si="170"/>
        <v>0</v>
      </c>
      <c r="BG987" s="58">
        <f t="shared" si="171"/>
        <v>0</v>
      </c>
      <c r="BH987" s="58">
        <f t="shared" si="172"/>
        <v>0</v>
      </c>
      <c r="BI987" s="58">
        <f t="shared" si="173"/>
        <v>0</v>
      </c>
      <c r="BJ987" s="58">
        <f t="shared" si="174"/>
        <v>0</v>
      </c>
      <c r="BK987" s="58">
        <f t="shared" si="175"/>
        <v>8</v>
      </c>
    </row>
    <row r="988" spans="1:63" ht="27" customHeight="1">
      <c r="A988" s="238">
        <f t="shared" si="176"/>
        <v>986</v>
      </c>
      <c r="B988" s="239"/>
      <c r="C988" s="239">
        <v>3828</v>
      </c>
      <c r="D988" s="241" t="s">
        <v>5600</v>
      </c>
      <c r="E988" s="242" t="s">
        <v>5601</v>
      </c>
      <c r="F988" s="243" t="s">
        <v>2324</v>
      </c>
      <c r="G988" s="244" t="s">
        <v>1383</v>
      </c>
      <c r="H988" s="245" t="s">
        <v>5158</v>
      </c>
      <c r="I988" s="246" t="s">
        <v>1384</v>
      </c>
      <c r="J988" s="247" t="s">
        <v>178</v>
      </c>
      <c r="K988" s="248">
        <v>30841</v>
      </c>
      <c r="L988" s="249" t="s">
        <v>179</v>
      </c>
      <c r="M988" s="250">
        <v>43787</v>
      </c>
      <c r="N988" s="250"/>
      <c r="O988" s="250"/>
      <c r="P988" s="238" t="e">
        <v>#N/A</v>
      </c>
      <c r="Q988" s="238" t="s">
        <v>249</v>
      </c>
      <c r="R988" s="238" t="s">
        <v>182</v>
      </c>
      <c r="S988" s="238" t="s">
        <v>228</v>
      </c>
      <c r="T988" s="251"/>
      <c r="U988" s="307"/>
      <c r="V988" s="252" t="s">
        <v>184</v>
      </c>
      <c r="W988" s="252" t="s">
        <v>184</v>
      </c>
      <c r="X988" s="252">
        <v>1</v>
      </c>
      <c r="Y988" s="253" t="s">
        <v>5602</v>
      </c>
      <c r="Z988" s="254"/>
      <c r="AA988" s="277" t="s">
        <v>186</v>
      </c>
      <c r="AB988" s="252"/>
      <c r="AC988" s="255"/>
      <c r="AD988" s="256"/>
      <c r="AE988" s="256"/>
      <c r="AF988" s="257"/>
      <c r="AG988" s="258"/>
      <c r="AH988" s="259"/>
      <c r="AI988" s="259"/>
      <c r="AJ988" s="274" t="s">
        <v>203</v>
      </c>
      <c r="AK988" s="274" t="s">
        <v>190</v>
      </c>
      <c r="AL988" s="274" t="s">
        <v>190</v>
      </c>
      <c r="AM988" s="260" t="s">
        <v>5585</v>
      </c>
      <c r="AN988" s="22">
        <v>182</v>
      </c>
      <c r="AO988" s="22">
        <v>0</v>
      </c>
      <c r="AP988" s="22">
        <v>20</v>
      </c>
      <c r="AQ988" s="22">
        <v>0</v>
      </c>
      <c r="AR988" s="22">
        <v>0</v>
      </c>
      <c r="AS988" s="22">
        <v>7</v>
      </c>
      <c r="AT988" s="22">
        <v>10</v>
      </c>
      <c r="AU988" s="316">
        <f t="shared" si="166"/>
        <v>219</v>
      </c>
      <c r="AV988" s="22">
        <v>190</v>
      </c>
      <c r="AW988" s="22">
        <v>0</v>
      </c>
      <c r="AX988" s="22">
        <v>20</v>
      </c>
      <c r="AY988" s="22">
        <v>0</v>
      </c>
      <c r="AZ988" s="22">
        <v>0</v>
      </c>
      <c r="BA988" s="22">
        <v>7</v>
      </c>
      <c r="BB988" s="22">
        <v>10</v>
      </c>
      <c r="BC988" s="316">
        <f t="shared" si="167"/>
        <v>227</v>
      </c>
      <c r="BD988" s="58">
        <f t="shared" si="168"/>
        <v>8</v>
      </c>
      <c r="BE988" s="58">
        <f t="shared" si="169"/>
        <v>0</v>
      </c>
      <c r="BF988" s="58">
        <f t="shared" si="170"/>
        <v>0</v>
      </c>
      <c r="BG988" s="58">
        <f t="shared" si="171"/>
        <v>0</v>
      </c>
      <c r="BH988" s="58">
        <f t="shared" si="172"/>
        <v>0</v>
      </c>
      <c r="BI988" s="58">
        <f t="shared" si="173"/>
        <v>0</v>
      </c>
      <c r="BJ988" s="58">
        <f t="shared" si="174"/>
        <v>0</v>
      </c>
      <c r="BK988" s="58">
        <f t="shared" si="175"/>
        <v>8</v>
      </c>
    </row>
    <row r="989" spans="1:63" ht="27" customHeight="1">
      <c r="A989" s="238">
        <f t="shared" si="176"/>
        <v>987</v>
      </c>
      <c r="B989" s="239"/>
      <c r="C989" s="239">
        <v>3836</v>
      </c>
      <c r="D989" s="241">
        <v>0</v>
      </c>
      <c r="E989" s="242" t="s">
        <v>5603</v>
      </c>
      <c r="F989" s="243" t="s">
        <v>3197</v>
      </c>
      <c r="G989" s="244" t="s">
        <v>5604</v>
      </c>
      <c r="H989" s="245" t="s">
        <v>5605</v>
      </c>
      <c r="I989" s="246" t="s">
        <v>5606</v>
      </c>
      <c r="J989" s="247" t="s">
        <v>178</v>
      </c>
      <c r="K989" s="248">
        <v>36567</v>
      </c>
      <c r="L989" s="249" t="s">
        <v>179</v>
      </c>
      <c r="M989" s="250">
        <v>43787</v>
      </c>
      <c r="N989" s="250"/>
      <c r="O989" s="250"/>
      <c r="P989" s="238" t="e">
        <v>#N/A</v>
      </c>
      <c r="Q989" s="238" t="s">
        <v>249</v>
      </c>
      <c r="R989" s="238" t="s">
        <v>182</v>
      </c>
      <c r="S989" s="238" t="s">
        <v>228</v>
      </c>
      <c r="T989" s="251"/>
      <c r="U989" s="307"/>
      <c r="V989" s="252" t="s">
        <v>184</v>
      </c>
      <c r="W989" s="252" t="s">
        <v>184</v>
      </c>
      <c r="X989" s="252">
        <v>12</v>
      </c>
      <c r="Y989" s="253" t="s">
        <v>5607</v>
      </c>
      <c r="Z989" s="277" t="s">
        <v>186</v>
      </c>
      <c r="AA989" s="254"/>
      <c r="AB989" s="252"/>
      <c r="AC989" s="255"/>
      <c r="AD989" s="256"/>
      <c r="AE989" s="256"/>
      <c r="AF989" s="257"/>
      <c r="AG989" s="258"/>
      <c r="AH989" s="259"/>
      <c r="AI989" s="259"/>
      <c r="AJ989" s="274" t="s">
        <v>203</v>
      </c>
      <c r="AK989" s="274" t="s">
        <v>190</v>
      </c>
      <c r="AL989" s="274" t="s">
        <v>190</v>
      </c>
      <c r="AM989" s="260" t="s">
        <v>5585</v>
      </c>
      <c r="AN989" s="22">
        <v>182</v>
      </c>
      <c r="AO989" s="22">
        <v>0</v>
      </c>
      <c r="AP989" s="22">
        <v>20</v>
      </c>
      <c r="AQ989" s="22">
        <v>0</v>
      </c>
      <c r="AR989" s="22">
        <v>0</v>
      </c>
      <c r="AS989" s="22">
        <v>7</v>
      </c>
      <c r="AT989" s="22">
        <v>10</v>
      </c>
      <c r="AU989" s="316">
        <f t="shared" si="166"/>
        <v>219</v>
      </c>
      <c r="AV989" s="22">
        <v>190</v>
      </c>
      <c r="AW989" s="22">
        <v>0</v>
      </c>
      <c r="AX989" s="22">
        <v>20</v>
      </c>
      <c r="AY989" s="22">
        <v>0</v>
      </c>
      <c r="AZ989" s="22">
        <v>0</v>
      </c>
      <c r="BA989" s="22">
        <v>7</v>
      </c>
      <c r="BB989" s="22">
        <v>10</v>
      </c>
      <c r="BC989" s="316">
        <f t="shared" si="167"/>
        <v>227</v>
      </c>
      <c r="BD989" s="58">
        <f t="shared" si="168"/>
        <v>8</v>
      </c>
      <c r="BE989" s="58">
        <f t="shared" si="169"/>
        <v>0</v>
      </c>
      <c r="BF989" s="58">
        <f t="shared" si="170"/>
        <v>0</v>
      </c>
      <c r="BG989" s="58">
        <f t="shared" si="171"/>
        <v>0</v>
      </c>
      <c r="BH989" s="58">
        <f t="shared" si="172"/>
        <v>0</v>
      </c>
      <c r="BI989" s="58">
        <f t="shared" si="173"/>
        <v>0</v>
      </c>
      <c r="BJ989" s="58">
        <f t="shared" si="174"/>
        <v>0</v>
      </c>
      <c r="BK989" s="58">
        <f t="shared" si="175"/>
        <v>8</v>
      </c>
    </row>
    <row r="990" spans="1:63" ht="27" customHeight="1">
      <c r="A990" s="238">
        <f t="shared" si="176"/>
        <v>988</v>
      </c>
      <c r="B990" s="239"/>
      <c r="C990" s="239">
        <v>3831</v>
      </c>
      <c r="D990" s="241">
        <v>0</v>
      </c>
      <c r="E990" s="242" t="s">
        <v>5608</v>
      </c>
      <c r="F990" s="243" t="s">
        <v>2151</v>
      </c>
      <c r="G990" s="244" t="s">
        <v>3479</v>
      </c>
      <c r="H990" s="245" t="s">
        <v>4558</v>
      </c>
      <c r="I990" s="246" t="s">
        <v>5609</v>
      </c>
      <c r="J990" s="247" t="s">
        <v>178</v>
      </c>
      <c r="K990" s="248">
        <v>33655</v>
      </c>
      <c r="L990" s="249" t="s">
        <v>179</v>
      </c>
      <c r="M990" s="250">
        <v>43787</v>
      </c>
      <c r="N990" s="250"/>
      <c r="O990" s="250"/>
      <c r="P990" s="238" t="e">
        <v>#N/A</v>
      </c>
      <c r="Q990" s="238" t="s">
        <v>249</v>
      </c>
      <c r="R990" s="238" t="s">
        <v>182</v>
      </c>
      <c r="S990" s="238" t="s">
        <v>533</v>
      </c>
      <c r="T990" s="251"/>
      <c r="U990" s="307"/>
      <c r="V990" s="252" t="s">
        <v>184</v>
      </c>
      <c r="W990" s="252">
        <v>5166</v>
      </c>
      <c r="X990" s="252">
        <v>9</v>
      </c>
      <c r="Y990" s="253" t="s">
        <v>5610</v>
      </c>
      <c r="Z990" s="254"/>
      <c r="AA990" s="277" t="s">
        <v>186</v>
      </c>
      <c r="AB990" s="252"/>
      <c r="AC990" s="255"/>
      <c r="AD990" s="256"/>
      <c r="AE990" s="256"/>
      <c r="AF990" s="257"/>
      <c r="AG990" s="258"/>
      <c r="AH990" s="259"/>
      <c r="AI990" s="259"/>
      <c r="AJ990" s="274" t="s">
        <v>203</v>
      </c>
      <c r="AK990" s="274" t="s">
        <v>190</v>
      </c>
      <c r="AL990" s="274" t="s">
        <v>190</v>
      </c>
      <c r="AM990" s="260" t="s">
        <v>241</v>
      </c>
      <c r="AN990" s="22">
        <v>177</v>
      </c>
      <c r="AO990" s="22">
        <v>0</v>
      </c>
      <c r="AP990" s="22">
        <v>20</v>
      </c>
      <c r="AQ990" s="22">
        <v>0</v>
      </c>
      <c r="AR990" s="22">
        <v>0</v>
      </c>
      <c r="AS990" s="22">
        <v>7</v>
      </c>
      <c r="AT990" s="22">
        <v>10</v>
      </c>
      <c r="AU990" s="316">
        <f t="shared" si="166"/>
        <v>214</v>
      </c>
      <c r="AV990" s="22">
        <v>185</v>
      </c>
      <c r="AW990" s="22">
        <v>0</v>
      </c>
      <c r="AX990" s="22">
        <v>20</v>
      </c>
      <c r="AY990" s="22">
        <v>0</v>
      </c>
      <c r="AZ990" s="22">
        <v>0</v>
      </c>
      <c r="BA990" s="22">
        <v>7</v>
      </c>
      <c r="BB990" s="22">
        <v>10</v>
      </c>
      <c r="BC990" s="316">
        <f t="shared" si="167"/>
        <v>222</v>
      </c>
      <c r="BD990" s="58">
        <f t="shared" si="168"/>
        <v>8</v>
      </c>
      <c r="BE990" s="58">
        <f t="shared" si="169"/>
        <v>0</v>
      </c>
      <c r="BF990" s="58">
        <f t="shared" si="170"/>
        <v>0</v>
      </c>
      <c r="BG990" s="58">
        <f t="shared" si="171"/>
        <v>0</v>
      </c>
      <c r="BH990" s="58">
        <f t="shared" si="172"/>
        <v>0</v>
      </c>
      <c r="BI990" s="58">
        <f t="shared" si="173"/>
        <v>0</v>
      </c>
      <c r="BJ990" s="58">
        <f t="shared" si="174"/>
        <v>0</v>
      </c>
      <c r="BK990" s="58">
        <f t="shared" si="175"/>
        <v>8</v>
      </c>
    </row>
    <row r="991" spans="1:63" ht="27" customHeight="1">
      <c r="A991" s="238">
        <f t="shared" si="176"/>
        <v>989</v>
      </c>
      <c r="B991" s="239"/>
      <c r="C991" s="239">
        <v>3842</v>
      </c>
      <c r="D991" s="241" t="s">
        <v>5611</v>
      </c>
      <c r="E991" s="242" t="s">
        <v>5612</v>
      </c>
      <c r="F991" s="243" t="s">
        <v>4243</v>
      </c>
      <c r="G991" s="244" t="s">
        <v>4185</v>
      </c>
      <c r="H991" s="245" t="s">
        <v>4245</v>
      </c>
      <c r="I991" s="246" t="s">
        <v>4186</v>
      </c>
      <c r="J991" s="247" t="s">
        <v>178</v>
      </c>
      <c r="K991" s="248">
        <v>32237</v>
      </c>
      <c r="L991" s="249" t="s">
        <v>179</v>
      </c>
      <c r="M991" s="250">
        <v>43788</v>
      </c>
      <c r="N991" s="250"/>
      <c r="O991" s="250"/>
      <c r="P991" s="238" t="e">
        <v>#N/A</v>
      </c>
      <c r="Q991" s="238" t="s">
        <v>249</v>
      </c>
      <c r="R991" s="238" t="s">
        <v>182</v>
      </c>
      <c r="S991" s="238" t="s">
        <v>228</v>
      </c>
      <c r="T991" s="251"/>
      <c r="U991" s="307"/>
      <c r="V991" s="252" t="s">
        <v>184</v>
      </c>
      <c r="W991" s="252" t="s">
        <v>184</v>
      </c>
      <c r="X991" s="252">
        <v>3</v>
      </c>
      <c r="Y991" s="253" t="s">
        <v>5613</v>
      </c>
      <c r="Z991" s="254"/>
      <c r="AA991" s="277" t="s">
        <v>186</v>
      </c>
      <c r="AB991" s="252"/>
      <c r="AC991" s="255"/>
      <c r="AD991" s="256" t="s">
        <v>188</v>
      </c>
      <c r="AE991" s="256" t="s">
        <v>188</v>
      </c>
      <c r="AF991" s="257"/>
      <c r="AG991" s="258"/>
      <c r="AH991" s="259"/>
      <c r="AI991" s="259"/>
      <c r="AJ991" s="274" t="s">
        <v>203</v>
      </c>
      <c r="AK991" s="274" t="s">
        <v>190</v>
      </c>
      <c r="AL991" s="274" t="s">
        <v>190</v>
      </c>
      <c r="AM991" s="260" t="s">
        <v>3859</v>
      </c>
      <c r="AN991" s="22">
        <v>182</v>
      </c>
      <c r="AO991" s="22">
        <v>0</v>
      </c>
      <c r="AP991" s="22">
        <v>20</v>
      </c>
      <c r="AQ991" s="22">
        <v>0</v>
      </c>
      <c r="AR991" s="22">
        <v>0</v>
      </c>
      <c r="AS991" s="22">
        <v>7</v>
      </c>
      <c r="AT991" s="22">
        <v>10</v>
      </c>
      <c r="AU991" s="316">
        <f t="shared" si="166"/>
        <v>219</v>
      </c>
      <c r="AV991" s="22">
        <v>190</v>
      </c>
      <c r="AW991" s="22">
        <v>0</v>
      </c>
      <c r="AX991" s="22">
        <v>20</v>
      </c>
      <c r="AY991" s="22">
        <v>0</v>
      </c>
      <c r="AZ991" s="22">
        <v>0</v>
      </c>
      <c r="BA991" s="22">
        <v>7</v>
      </c>
      <c r="BB991" s="22">
        <v>10</v>
      </c>
      <c r="BC991" s="316">
        <f t="shared" si="167"/>
        <v>227</v>
      </c>
      <c r="BD991" s="58">
        <f t="shared" si="168"/>
        <v>8</v>
      </c>
      <c r="BE991" s="58">
        <f t="shared" si="169"/>
        <v>0</v>
      </c>
      <c r="BF991" s="58">
        <f t="shared" si="170"/>
        <v>0</v>
      </c>
      <c r="BG991" s="58">
        <f t="shared" si="171"/>
        <v>0</v>
      </c>
      <c r="BH991" s="58">
        <f t="shared" si="172"/>
        <v>0</v>
      </c>
      <c r="BI991" s="58">
        <f t="shared" si="173"/>
        <v>0</v>
      </c>
      <c r="BJ991" s="58">
        <f t="shared" si="174"/>
        <v>0</v>
      </c>
      <c r="BK991" s="58">
        <f t="shared" si="175"/>
        <v>8</v>
      </c>
    </row>
    <row r="992" spans="1:63" ht="27" customHeight="1">
      <c r="A992" s="238">
        <f t="shared" si="176"/>
        <v>990</v>
      </c>
      <c r="B992" s="239"/>
      <c r="C992" s="239">
        <v>3834</v>
      </c>
      <c r="D992" s="241" t="s">
        <v>5614</v>
      </c>
      <c r="E992" s="242" t="s">
        <v>5615</v>
      </c>
      <c r="F992" s="243" t="s">
        <v>874</v>
      </c>
      <c r="G992" s="244" t="s">
        <v>5616</v>
      </c>
      <c r="H992" s="245" t="s">
        <v>725</v>
      </c>
      <c r="I992" s="246" t="s">
        <v>5617</v>
      </c>
      <c r="J992" s="247" t="s">
        <v>178</v>
      </c>
      <c r="K992" s="248">
        <v>35055</v>
      </c>
      <c r="L992" s="249" t="s">
        <v>179</v>
      </c>
      <c r="M992" s="250">
        <v>43787</v>
      </c>
      <c r="N992" s="250"/>
      <c r="O992" s="250"/>
      <c r="P992" s="238" t="e">
        <v>#N/A</v>
      </c>
      <c r="Q992" s="238" t="s">
        <v>249</v>
      </c>
      <c r="R992" s="238" t="s">
        <v>182</v>
      </c>
      <c r="S992" s="238" t="s">
        <v>183</v>
      </c>
      <c r="T992" s="251"/>
      <c r="U992" s="307"/>
      <c r="V992" s="252" t="s">
        <v>184</v>
      </c>
      <c r="W992" s="252" t="s">
        <v>184</v>
      </c>
      <c r="X992" s="252">
        <v>3</v>
      </c>
      <c r="Y992" s="253" t="s">
        <v>5618</v>
      </c>
      <c r="Z992" s="277" t="s">
        <v>186</v>
      </c>
      <c r="AA992" s="254"/>
      <c r="AB992" s="252"/>
      <c r="AC992" s="255"/>
      <c r="AD992" s="256"/>
      <c r="AE992" s="256"/>
      <c r="AF992" s="257"/>
      <c r="AG992" s="258"/>
      <c r="AH992" s="259"/>
      <c r="AI992" s="259"/>
      <c r="AJ992" s="274" t="s">
        <v>203</v>
      </c>
      <c r="AK992" s="274" t="s">
        <v>190</v>
      </c>
      <c r="AL992" s="274" t="s">
        <v>190</v>
      </c>
      <c r="AM992" s="260" t="s">
        <v>5585</v>
      </c>
      <c r="AN992" s="22">
        <v>177</v>
      </c>
      <c r="AO992" s="22">
        <v>0</v>
      </c>
      <c r="AP992" s="22">
        <v>20</v>
      </c>
      <c r="AQ992" s="22">
        <v>0</v>
      </c>
      <c r="AR992" s="22">
        <v>0</v>
      </c>
      <c r="AS992" s="22">
        <v>7</v>
      </c>
      <c r="AT992" s="22">
        <v>10</v>
      </c>
      <c r="AU992" s="316">
        <f t="shared" si="166"/>
        <v>214</v>
      </c>
      <c r="AV992" s="22">
        <v>185</v>
      </c>
      <c r="AW992" s="22">
        <v>0</v>
      </c>
      <c r="AX992" s="22">
        <v>20</v>
      </c>
      <c r="AY992" s="22">
        <v>0</v>
      </c>
      <c r="AZ992" s="22">
        <v>0</v>
      </c>
      <c r="BA992" s="22">
        <v>7</v>
      </c>
      <c r="BB992" s="22">
        <v>10</v>
      </c>
      <c r="BC992" s="316">
        <f t="shared" si="167"/>
        <v>222</v>
      </c>
      <c r="BD992" s="58">
        <f t="shared" si="168"/>
        <v>8</v>
      </c>
      <c r="BE992" s="58">
        <f t="shared" si="169"/>
        <v>0</v>
      </c>
      <c r="BF992" s="58">
        <f t="shared" si="170"/>
        <v>0</v>
      </c>
      <c r="BG992" s="58">
        <f t="shared" si="171"/>
        <v>0</v>
      </c>
      <c r="BH992" s="58">
        <f t="shared" si="172"/>
        <v>0</v>
      </c>
      <c r="BI992" s="58">
        <f t="shared" si="173"/>
        <v>0</v>
      </c>
      <c r="BJ992" s="58">
        <f t="shared" si="174"/>
        <v>0</v>
      </c>
      <c r="BK992" s="58">
        <f t="shared" si="175"/>
        <v>8</v>
      </c>
    </row>
    <row r="993" spans="1:63" ht="27" customHeight="1">
      <c r="A993" s="238">
        <f t="shared" si="176"/>
        <v>991</v>
      </c>
      <c r="B993" s="239"/>
      <c r="C993" s="239">
        <v>3830</v>
      </c>
      <c r="D993" s="241" t="s">
        <v>5619</v>
      </c>
      <c r="E993" s="242" t="s">
        <v>5620</v>
      </c>
      <c r="F993" s="243" t="s">
        <v>2406</v>
      </c>
      <c r="G993" s="244" t="s">
        <v>5621</v>
      </c>
      <c r="H993" s="245" t="s">
        <v>5622</v>
      </c>
      <c r="I993" s="246" t="s">
        <v>4235</v>
      </c>
      <c r="J993" s="247" t="s">
        <v>178</v>
      </c>
      <c r="K993" s="248">
        <v>31447</v>
      </c>
      <c r="L993" s="249" t="s">
        <v>179</v>
      </c>
      <c r="M993" s="250">
        <v>43787</v>
      </c>
      <c r="N993" s="250"/>
      <c r="O993" s="250"/>
      <c r="P993" s="238" t="e">
        <v>#N/A</v>
      </c>
      <c r="Q993" s="238" t="s">
        <v>249</v>
      </c>
      <c r="R993" s="238" t="s">
        <v>182</v>
      </c>
      <c r="S993" s="238" t="s">
        <v>228</v>
      </c>
      <c r="T993" s="251"/>
      <c r="U993" s="307"/>
      <c r="V993" s="252" t="s">
        <v>184</v>
      </c>
      <c r="W993" s="252" t="s">
        <v>184</v>
      </c>
      <c r="X993" s="252">
        <v>7</v>
      </c>
      <c r="Y993" s="253" t="s">
        <v>5623</v>
      </c>
      <c r="Z993" s="254"/>
      <c r="AA993" s="277" t="s">
        <v>186</v>
      </c>
      <c r="AB993" s="252"/>
      <c r="AC993" s="255" t="s">
        <v>5624</v>
      </c>
      <c r="AD993" s="256" t="s">
        <v>188</v>
      </c>
      <c r="AE993" s="256" t="s">
        <v>3607</v>
      </c>
      <c r="AF993" s="257"/>
      <c r="AG993" s="258"/>
      <c r="AH993" s="259"/>
      <c r="AI993" s="259"/>
      <c r="AJ993" s="274" t="s">
        <v>203</v>
      </c>
      <c r="AK993" s="274" t="s">
        <v>190</v>
      </c>
      <c r="AL993" s="274" t="s">
        <v>190</v>
      </c>
      <c r="AM993" s="260" t="s">
        <v>5585</v>
      </c>
      <c r="AN993" s="22">
        <v>177</v>
      </c>
      <c r="AO993" s="22">
        <v>0</v>
      </c>
      <c r="AP993" s="22">
        <v>20</v>
      </c>
      <c r="AQ993" s="22">
        <v>0</v>
      </c>
      <c r="AR993" s="22">
        <v>0</v>
      </c>
      <c r="AS993" s="22">
        <v>7</v>
      </c>
      <c r="AT993" s="22">
        <v>10</v>
      </c>
      <c r="AU993" s="316">
        <f t="shared" si="166"/>
        <v>214</v>
      </c>
      <c r="AV993" s="22">
        <v>185</v>
      </c>
      <c r="AW993" s="22">
        <v>0</v>
      </c>
      <c r="AX993" s="22">
        <v>20</v>
      </c>
      <c r="AY993" s="22">
        <v>0</v>
      </c>
      <c r="AZ993" s="22">
        <v>0</v>
      </c>
      <c r="BA993" s="22">
        <v>7</v>
      </c>
      <c r="BB993" s="22">
        <v>10</v>
      </c>
      <c r="BC993" s="316">
        <f t="shared" si="167"/>
        <v>222</v>
      </c>
      <c r="BD993" s="58">
        <f t="shared" si="168"/>
        <v>8</v>
      </c>
      <c r="BE993" s="58">
        <f t="shared" si="169"/>
        <v>0</v>
      </c>
      <c r="BF993" s="58">
        <f t="shared" si="170"/>
        <v>0</v>
      </c>
      <c r="BG993" s="58">
        <f t="shared" si="171"/>
        <v>0</v>
      </c>
      <c r="BH993" s="58">
        <f t="shared" si="172"/>
        <v>0</v>
      </c>
      <c r="BI993" s="58">
        <f t="shared" si="173"/>
        <v>0</v>
      </c>
      <c r="BJ993" s="58">
        <f t="shared" si="174"/>
        <v>0</v>
      </c>
      <c r="BK993" s="58">
        <f t="shared" si="175"/>
        <v>8</v>
      </c>
    </row>
    <row r="994" spans="1:63" ht="27" customHeight="1">
      <c r="A994" s="238">
        <f t="shared" si="176"/>
        <v>992</v>
      </c>
      <c r="B994" s="239"/>
      <c r="C994" s="239">
        <v>3789</v>
      </c>
      <c r="D994" s="241" t="s">
        <v>5625</v>
      </c>
      <c r="E994" s="242" t="s">
        <v>5626</v>
      </c>
      <c r="F994" s="243" t="s">
        <v>5627</v>
      </c>
      <c r="G994" s="244" t="s">
        <v>5628</v>
      </c>
      <c r="H994" s="245" t="s">
        <v>5629</v>
      </c>
      <c r="I994" s="246" t="s">
        <v>5630</v>
      </c>
      <c r="J994" s="247" t="s">
        <v>178</v>
      </c>
      <c r="K994" s="248">
        <v>34056</v>
      </c>
      <c r="L994" s="249" t="s">
        <v>179</v>
      </c>
      <c r="M994" s="250">
        <v>43770</v>
      </c>
      <c r="N994" s="250"/>
      <c r="O994" s="250"/>
      <c r="P994" s="238" t="e">
        <v>#N/A</v>
      </c>
      <c r="Q994" s="238" t="s">
        <v>249</v>
      </c>
      <c r="R994" s="238" t="s">
        <v>182</v>
      </c>
      <c r="S994" s="238" t="s">
        <v>219</v>
      </c>
      <c r="T994" s="251"/>
      <c r="U994" s="307"/>
      <c r="V994" s="252" t="s">
        <v>184</v>
      </c>
      <c r="W994" s="252" t="s">
        <v>184</v>
      </c>
      <c r="X994" s="252">
        <v>6</v>
      </c>
      <c r="Y994" s="253" t="s">
        <v>5631</v>
      </c>
      <c r="Z994" s="254"/>
      <c r="AA994" s="277" t="s">
        <v>186</v>
      </c>
      <c r="AB994" s="252"/>
      <c r="AC994" s="255"/>
      <c r="AD994" s="256"/>
      <c r="AE994" s="256"/>
      <c r="AF994" s="257"/>
      <c r="AG994" s="258"/>
      <c r="AH994" s="259"/>
      <c r="AI994" s="259"/>
      <c r="AJ994" s="274" t="s">
        <v>203</v>
      </c>
      <c r="AK994" s="274" t="s">
        <v>190</v>
      </c>
      <c r="AL994" s="274" t="s">
        <v>190</v>
      </c>
      <c r="AM994" s="260" t="s">
        <v>3859</v>
      </c>
      <c r="AN994" s="22">
        <v>182</v>
      </c>
      <c r="AO994" s="22">
        <v>0</v>
      </c>
      <c r="AP994" s="22">
        <v>20</v>
      </c>
      <c r="AQ994" s="22">
        <v>0</v>
      </c>
      <c r="AR994" s="22">
        <v>0</v>
      </c>
      <c r="AS994" s="22">
        <v>7</v>
      </c>
      <c r="AT994" s="22">
        <v>10</v>
      </c>
      <c r="AU994" s="316">
        <f t="shared" si="166"/>
        <v>219</v>
      </c>
      <c r="AV994" s="22">
        <v>190</v>
      </c>
      <c r="AW994" s="22">
        <v>0</v>
      </c>
      <c r="AX994" s="22">
        <v>20</v>
      </c>
      <c r="AY994" s="22">
        <v>0</v>
      </c>
      <c r="AZ994" s="22">
        <v>0</v>
      </c>
      <c r="BA994" s="22">
        <v>7</v>
      </c>
      <c r="BB994" s="22">
        <v>10</v>
      </c>
      <c r="BC994" s="316">
        <f t="shared" si="167"/>
        <v>227</v>
      </c>
      <c r="BD994" s="58">
        <f t="shared" si="168"/>
        <v>8</v>
      </c>
      <c r="BE994" s="58">
        <f t="shared" si="169"/>
        <v>0</v>
      </c>
      <c r="BF994" s="58">
        <f t="shared" si="170"/>
        <v>0</v>
      </c>
      <c r="BG994" s="58">
        <f t="shared" si="171"/>
        <v>0</v>
      </c>
      <c r="BH994" s="58">
        <f t="shared" si="172"/>
        <v>0</v>
      </c>
      <c r="BI994" s="58">
        <f t="shared" si="173"/>
        <v>0</v>
      </c>
      <c r="BJ994" s="58">
        <f t="shared" si="174"/>
        <v>0</v>
      </c>
      <c r="BK994" s="58">
        <f t="shared" si="175"/>
        <v>8</v>
      </c>
    </row>
    <row r="995" spans="1:63" ht="27" customHeight="1">
      <c r="A995" s="238">
        <f t="shared" si="176"/>
        <v>993</v>
      </c>
      <c r="B995" s="239"/>
      <c r="C995" s="239">
        <v>3826</v>
      </c>
      <c r="D995" s="241" t="s">
        <v>5632</v>
      </c>
      <c r="E995" s="242" t="s">
        <v>5633</v>
      </c>
      <c r="F995" s="243" t="s">
        <v>2346</v>
      </c>
      <c r="G995" s="244" t="s">
        <v>5106</v>
      </c>
      <c r="H995" s="245" t="s">
        <v>4978</v>
      </c>
      <c r="I995" s="246" t="s">
        <v>5634</v>
      </c>
      <c r="J995" s="247" t="s">
        <v>178</v>
      </c>
      <c r="K995" s="248">
        <v>32027</v>
      </c>
      <c r="L995" s="249" t="s">
        <v>179</v>
      </c>
      <c r="M995" s="250">
        <v>43787</v>
      </c>
      <c r="N995" s="250"/>
      <c r="O995" s="250"/>
      <c r="P995" s="238" t="e">
        <v>#N/A</v>
      </c>
      <c r="Q995" s="238" t="s">
        <v>249</v>
      </c>
      <c r="R995" s="238" t="s">
        <v>182</v>
      </c>
      <c r="S995" s="238" t="s">
        <v>228</v>
      </c>
      <c r="T995" s="251"/>
      <c r="U995" s="307"/>
      <c r="V995" s="252" t="s">
        <v>184</v>
      </c>
      <c r="W995" s="252" t="s">
        <v>184</v>
      </c>
      <c r="X995" s="252">
        <v>1</v>
      </c>
      <c r="Y995" s="253" t="s">
        <v>5635</v>
      </c>
      <c r="Z995" s="254"/>
      <c r="AA995" s="277" t="s">
        <v>186</v>
      </c>
      <c r="AB995" s="252"/>
      <c r="AC995" s="255"/>
      <c r="AD995" s="256" t="s">
        <v>188</v>
      </c>
      <c r="AE995" s="256" t="s">
        <v>188</v>
      </c>
      <c r="AF995" s="257"/>
      <c r="AG995" s="258"/>
      <c r="AH995" s="259"/>
      <c r="AI995" s="259"/>
      <c r="AJ995" s="274" t="s">
        <v>203</v>
      </c>
      <c r="AK995" s="274" t="s">
        <v>190</v>
      </c>
      <c r="AL995" s="274" t="s">
        <v>190</v>
      </c>
      <c r="AM995" s="260" t="s">
        <v>241</v>
      </c>
      <c r="AN995" s="22">
        <v>177</v>
      </c>
      <c r="AO995" s="22">
        <v>0</v>
      </c>
      <c r="AP995" s="22">
        <v>20</v>
      </c>
      <c r="AQ995" s="22">
        <v>0</v>
      </c>
      <c r="AR995" s="22">
        <v>0</v>
      </c>
      <c r="AS995" s="22">
        <v>7</v>
      </c>
      <c r="AT995" s="22">
        <v>10</v>
      </c>
      <c r="AU995" s="316">
        <f t="shared" si="166"/>
        <v>214</v>
      </c>
      <c r="AV995" s="22">
        <v>185</v>
      </c>
      <c r="AW995" s="22">
        <v>0</v>
      </c>
      <c r="AX995" s="22">
        <v>20</v>
      </c>
      <c r="AY995" s="22">
        <v>0</v>
      </c>
      <c r="AZ995" s="22">
        <v>0</v>
      </c>
      <c r="BA995" s="22">
        <v>7</v>
      </c>
      <c r="BB995" s="22">
        <v>10</v>
      </c>
      <c r="BC995" s="316">
        <f t="shared" si="167"/>
        <v>222</v>
      </c>
      <c r="BD995" s="58">
        <f t="shared" si="168"/>
        <v>8</v>
      </c>
      <c r="BE995" s="58">
        <f t="shared" si="169"/>
        <v>0</v>
      </c>
      <c r="BF995" s="58">
        <f t="shared" si="170"/>
        <v>0</v>
      </c>
      <c r="BG995" s="58">
        <f t="shared" si="171"/>
        <v>0</v>
      </c>
      <c r="BH995" s="58">
        <f t="shared" si="172"/>
        <v>0</v>
      </c>
      <c r="BI995" s="58">
        <f t="shared" si="173"/>
        <v>0</v>
      </c>
      <c r="BJ995" s="58">
        <f t="shared" si="174"/>
        <v>0</v>
      </c>
      <c r="BK995" s="58">
        <f t="shared" si="175"/>
        <v>8</v>
      </c>
    </row>
    <row r="996" spans="1:63" ht="27" customHeight="1">
      <c r="A996" s="238">
        <f t="shared" si="176"/>
        <v>994</v>
      </c>
      <c r="B996" s="239"/>
      <c r="C996" s="239">
        <v>3832</v>
      </c>
      <c r="D996" s="241" t="s">
        <v>5636</v>
      </c>
      <c r="E996" s="242" t="s">
        <v>5637</v>
      </c>
      <c r="F996" s="243" t="s">
        <v>351</v>
      </c>
      <c r="G996" s="244" t="s">
        <v>1669</v>
      </c>
      <c r="H996" s="245" t="s">
        <v>5638</v>
      </c>
      <c r="I996" s="246" t="s">
        <v>1671</v>
      </c>
      <c r="J996" s="247" t="s">
        <v>178</v>
      </c>
      <c r="K996" s="248">
        <v>30008</v>
      </c>
      <c r="L996" s="249" t="s">
        <v>179</v>
      </c>
      <c r="M996" s="250">
        <v>43787</v>
      </c>
      <c r="N996" s="250"/>
      <c r="O996" s="250"/>
      <c r="P996" s="238" t="e">
        <v>#N/A</v>
      </c>
      <c r="Q996" s="238" t="s">
        <v>249</v>
      </c>
      <c r="R996" s="238" t="s">
        <v>182</v>
      </c>
      <c r="S996" s="238" t="s">
        <v>228</v>
      </c>
      <c r="T996" s="251"/>
      <c r="U996" s="307"/>
      <c r="V996" s="252" t="s">
        <v>184</v>
      </c>
      <c r="W996" s="252" t="s">
        <v>184</v>
      </c>
      <c r="X996" s="252">
        <v>1</v>
      </c>
      <c r="Y996" s="253" t="s">
        <v>5639</v>
      </c>
      <c r="Z996" s="254"/>
      <c r="AA996" s="277" t="s">
        <v>186</v>
      </c>
      <c r="AB996" s="252"/>
      <c r="AC996" s="255"/>
      <c r="AD996" s="256" t="s">
        <v>5341</v>
      </c>
      <c r="AE996" s="256" t="s">
        <v>3607</v>
      </c>
      <c r="AF996" s="257"/>
      <c r="AG996" s="258"/>
      <c r="AH996" s="259"/>
      <c r="AI996" s="259"/>
      <c r="AJ996" s="274" t="s">
        <v>203</v>
      </c>
      <c r="AK996" s="274" t="s">
        <v>190</v>
      </c>
      <c r="AL996" s="274" t="s">
        <v>190</v>
      </c>
      <c r="AM996" s="260" t="s">
        <v>241</v>
      </c>
      <c r="AN996" s="22">
        <v>182</v>
      </c>
      <c r="AO996" s="22">
        <v>0</v>
      </c>
      <c r="AP996" s="22">
        <v>0</v>
      </c>
      <c r="AQ996" s="22">
        <v>0</v>
      </c>
      <c r="AR996" s="22">
        <v>0</v>
      </c>
      <c r="AS996" s="22">
        <v>7</v>
      </c>
      <c r="AT996" s="22">
        <v>10</v>
      </c>
      <c r="AU996" s="316">
        <f t="shared" si="166"/>
        <v>199</v>
      </c>
      <c r="AV996" s="22">
        <v>190</v>
      </c>
      <c r="AW996" s="22">
        <v>0</v>
      </c>
      <c r="AX996" s="22">
        <v>0</v>
      </c>
      <c r="AY996" s="22">
        <v>0</v>
      </c>
      <c r="AZ996" s="22">
        <v>0</v>
      </c>
      <c r="BA996" s="22">
        <v>7</v>
      </c>
      <c r="BB996" s="22">
        <v>10</v>
      </c>
      <c r="BC996" s="316">
        <f t="shared" si="167"/>
        <v>207</v>
      </c>
      <c r="BD996" s="58">
        <f t="shared" si="168"/>
        <v>8</v>
      </c>
      <c r="BE996" s="58">
        <f t="shared" si="169"/>
        <v>0</v>
      </c>
      <c r="BF996" s="58">
        <f t="shared" si="170"/>
        <v>0</v>
      </c>
      <c r="BG996" s="58">
        <f t="shared" si="171"/>
        <v>0</v>
      </c>
      <c r="BH996" s="58">
        <f t="shared" si="172"/>
        <v>0</v>
      </c>
      <c r="BI996" s="58">
        <f t="shared" si="173"/>
        <v>0</v>
      </c>
      <c r="BJ996" s="58">
        <f t="shared" si="174"/>
        <v>0</v>
      </c>
      <c r="BK996" s="58">
        <f t="shared" si="175"/>
        <v>8</v>
      </c>
    </row>
    <row r="997" spans="1:63" ht="27" customHeight="1">
      <c r="A997" s="238">
        <f t="shared" si="176"/>
        <v>995</v>
      </c>
      <c r="B997" s="239"/>
      <c r="C997" s="239">
        <v>3833</v>
      </c>
      <c r="D997" s="241" t="s">
        <v>5640</v>
      </c>
      <c r="E997" s="242" t="s">
        <v>5641</v>
      </c>
      <c r="F997" s="243" t="s">
        <v>963</v>
      </c>
      <c r="G997" s="244" t="s">
        <v>5642</v>
      </c>
      <c r="H997" s="245" t="s">
        <v>964</v>
      </c>
      <c r="I997" s="246" t="s">
        <v>5643</v>
      </c>
      <c r="J997" s="247" t="s">
        <v>178</v>
      </c>
      <c r="K997" s="248">
        <v>31932</v>
      </c>
      <c r="L997" s="249" t="s">
        <v>179</v>
      </c>
      <c r="M997" s="250">
        <v>43787</v>
      </c>
      <c r="N997" s="250"/>
      <c r="O997" s="250"/>
      <c r="P997" s="238" t="e">
        <v>#N/A</v>
      </c>
      <c r="Q997" s="238" t="s">
        <v>249</v>
      </c>
      <c r="R997" s="238" t="s">
        <v>182</v>
      </c>
      <c r="S997" s="238" t="s">
        <v>228</v>
      </c>
      <c r="T997" s="251"/>
      <c r="U997" s="307"/>
      <c r="V997" s="252" t="s">
        <v>184</v>
      </c>
      <c r="W997" s="252" t="s">
        <v>184</v>
      </c>
      <c r="X997" s="252">
        <v>1</v>
      </c>
      <c r="Y997" s="253" t="s">
        <v>5644</v>
      </c>
      <c r="Z997" s="277" t="s">
        <v>186</v>
      </c>
      <c r="AA997" s="254"/>
      <c r="AB997" s="252"/>
      <c r="AC997" s="255"/>
      <c r="AD997" s="256"/>
      <c r="AE997" s="256"/>
      <c r="AF997" s="257"/>
      <c r="AG997" s="258"/>
      <c r="AH997" s="259"/>
      <c r="AI997" s="259"/>
      <c r="AJ997" s="274" t="s">
        <v>203</v>
      </c>
      <c r="AK997" s="274" t="s">
        <v>190</v>
      </c>
      <c r="AL997" s="274" t="s">
        <v>190</v>
      </c>
      <c r="AM997" s="260" t="s">
        <v>3859</v>
      </c>
      <c r="AN997" s="22">
        <v>177</v>
      </c>
      <c r="AO997" s="22">
        <v>0</v>
      </c>
      <c r="AP997" s="22">
        <v>20</v>
      </c>
      <c r="AQ997" s="22">
        <v>0</v>
      </c>
      <c r="AR997" s="22">
        <v>0</v>
      </c>
      <c r="AS997" s="22">
        <v>7</v>
      </c>
      <c r="AT997" s="22">
        <v>10</v>
      </c>
      <c r="AU997" s="316">
        <f t="shared" si="166"/>
        <v>214</v>
      </c>
      <c r="AV997" s="22">
        <v>185</v>
      </c>
      <c r="AW997" s="22">
        <v>0</v>
      </c>
      <c r="AX997" s="22">
        <v>20</v>
      </c>
      <c r="AY997" s="22">
        <v>0</v>
      </c>
      <c r="AZ997" s="22">
        <v>0</v>
      </c>
      <c r="BA997" s="22">
        <v>7</v>
      </c>
      <c r="BB997" s="22">
        <v>10</v>
      </c>
      <c r="BC997" s="316">
        <f t="shared" si="167"/>
        <v>222</v>
      </c>
      <c r="BD997" s="58">
        <f t="shared" si="168"/>
        <v>8</v>
      </c>
      <c r="BE997" s="58">
        <f t="shared" si="169"/>
        <v>0</v>
      </c>
      <c r="BF997" s="58">
        <f t="shared" si="170"/>
        <v>0</v>
      </c>
      <c r="BG997" s="58">
        <f t="shared" si="171"/>
        <v>0</v>
      </c>
      <c r="BH997" s="58">
        <f t="shared" si="172"/>
        <v>0</v>
      </c>
      <c r="BI997" s="58">
        <f t="shared" si="173"/>
        <v>0</v>
      </c>
      <c r="BJ997" s="58">
        <f t="shared" si="174"/>
        <v>0</v>
      </c>
      <c r="BK997" s="58">
        <f t="shared" si="175"/>
        <v>8</v>
      </c>
    </row>
    <row r="998" spans="1:63" ht="27" customHeight="1">
      <c r="A998" s="238">
        <f t="shared" si="176"/>
        <v>996</v>
      </c>
      <c r="B998" s="239"/>
      <c r="C998" s="239">
        <v>3829</v>
      </c>
      <c r="D998" s="241" t="s">
        <v>5645</v>
      </c>
      <c r="E998" s="242" t="s">
        <v>5646</v>
      </c>
      <c r="F998" s="243" t="s">
        <v>649</v>
      </c>
      <c r="G998" s="244" t="s">
        <v>2125</v>
      </c>
      <c r="H998" s="245" t="s">
        <v>1536</v>
      </c>
      <c r="I998" s="246" t="s">
        <v>2269</v>
      </c>
      <c r="J998" s="247" t="s">
        <v>178</v>
      </c>
      <c r="K998" s="248">
        <v>30698</v>
      </c>
      <c r="L998" s="249" t="s">
        <v>179</v>
      </c>
      <c r="M998" s="250">
        <v>43787</v>
      </c>
      <c r="N998" s="250"/>
      <c r="O998" s="250"/>
      <c r="P998" s="238" t="e">
        <v>#N/A</v>
      </c>
      <c r="Q998" s="238" t="s">
        <v>249</v>
      </c>
      <c r="R998" s="238" t="s">
        <v>182</v>
      </c>
      <c r="S998" s="238" t="s">
        <v>183</v>
      </c>
      <c r="T998" s="251"/>
      <c r="U998" s="307"/>
      <c r="V998" s="252" t="s">
        <v>184</v>
      </c>
      <c r="W998" s="252" t="s">
        <v>184</v>
      </c>
      <c r="X998" s="252">
        <v>2</v>
      </c>
      <c r="Y998" s="253" t="s">
        <v>5647</v>
      </c>
      <c r="Z998" s="254"/>
      <c r="AA998" s="277" t="s">
        <v>186</v>
      </c>
      <c r="AB998" s="252"/>
      <c r="AC998" s="255"/>
      <c r="AD998" s="256" t="s">
        <v>188</v>
      </c>
      <c r="AE998" s="256" t="s">
        <v>188</v>
      </c>
      <c r="AF998" s="256" t="s">
        <v>188</v>
      </c>
      <c r="AG998" s="258"/>
      <c r="AH998" s="259"/>
      <c r="AI998" s="259"/>
      <c r="AJ998" s="274" t="s">
        <v>203</v>
      </c>
      <c r="AK998" s="274" t="s">
        <v>190</v>
      </c>
      <c r="AL998" s="274" t="s">
        <v>190</v>
      </c>
      <c r="AM998" s="260" t="s">
        <v>5585</v>
      </c>
      <c r="AN998" s="22">
        <v>182</v>
      </c>
      <c r="AO998" s="22">
        <v>0</v>
      </c>
      <c r="AP998" s="22">
        <v>20</v>
      </c>
      <c r="AQ998" s="22">
        <v>0</v>
      </c>
      <c r="AR998" s="22">
        <v>0</v>
      </c>
      <c r="AS998" s="22">
        <v>7</v>
      </c>
      <c r="AT998" s="22">
        <v>10</v>
      </c>
      <c r="AU998" s="316">
        <f t="shared" si="166"/>
        <v>219</v>
      </c>
      <c r="AV998" s="22">
        <v>190</v>
      </c>
      <c r="AW998" s="22">
        <v>0</v>
      </c>
      <c r="AX998" s="22">
        <v>20</v>
      </c>
      <c r="AY998" s="22">
        <v>0</v>
      </c>
      <c r="AZ998" s="22">
        <v>0</v>
      </c>
      <c r="BA998" s="22">
        <v>7</v>
      </c>
      <c r="BB998" s="22">
        <v>10</v>
      </c>
      <c r="BC998" s="316">
        <f t="shared" si="167"/>
        <v>227</v>
      </c>
      <c r="BD998" s="58">
        <f t="shared" si="168"/>
        <v>8</v>
      </c>
      <c r="BE998" s="58">
        <f t="shared" si="169"/>
        <v>0</v>
      </c>
      <c r="BF998" s="58">
        <f t="shared" si="170"/>
        <v>0</v>
      </c>
      <c r="BG998" s="58">
        <f t="shared" si="171"/>
        <v>0</v>
      </c>
      <c r="BH998" s="58">
        <f t="shared" si="172"/>
        <v>0</v>
      </c>
      <c r="BI998" s="58">
        <f t="shared" si="173"/>
        <v>0</v>
      </c>
      <c r="BJ998" s="58">
        <f t="shared" si="174"/>
        <v>0</v>
      </c>
      <c r="BK998" s="58">
        <f t="shared" si="175"/>
        <v>8</v>
      </c>
    </row>
    <row r="999" spans="1:63" ht="27" customHeight="1">
      <c r="A999" s="238">
        <f t="shared" si="176"/>
        <v>997</v>
      </c>
      <c r="B999" s="239"/>
      <c r="C999" s="239">
        <v>3840</v>
      </c>
      <c r="D999" s="241" t="s">
        <v>5648</v>
      </c>
      <c r="E999" s="242" t="s">
        <v>5649</v>
      </c>
      <c r="F999" s="243" t="s">
        <v>392</v>
      </c>
      <c r="G999" s="244" t="s">
        <v>5650</v>
      </c>
      <c r="H999" s="245" t="s">
        <v>1770</v>
      </c>
      <c r="I999" s="246" t="s">
        <v>5651</v>
      </c>
      <c r="J999" s="247" t="s">
        <v>209</v>
      </c>
      <c r="K999" s="248">
        <v>36254</v>
      </c>
      <c r="L999" s="249" t="s">
        <v>179</v>
      </c>
      <c r="M999" s="250">
        <v>43787</v>
      </c>
      <c r="N999" s="250"/>
      <c r="O999" s="250"/>
      <c r="P999" s="238" t="e">
        <v>#N/A</v>
      </c>
      <c r="Q999" s="238" t="s">
        <v>249</v>
      </c>
      <c r="R999" s="238" t="s">
        <v>182</v>
      </c>
      <c r="S999" s="238" t="s">
        <v>211</v>
      </c>
      <c r="T999" s="251"/>
      <c r="U999" s="307"/>
      <c r="V999" s="252" t="s">
        <v>184</v>
      </c>
      <c r="W999" s="252" t="s">
        <v>184</v>
      </c>
      <c r="X999" s="252">
        <v>5</v>
      </c>
      <c r="Y999" s="253" t="s">
        <v>5652</v>
      </c>
      <c r="Z999" s="277" t="s">
        <v>186</v>
      </c>
      <c r="AA999" s="254"/>
      <c r="AB999" s="252"/>
      <c r="AC999" s="255"/>
      <c r="AD999" s="256"/>
      <c r="AE999" s="256"/>
      <c r="AF999" s="257"/>
      <c r="AG999" s="258"/>
      <c r="AH999" s="259"/>
      <c r="AI999" s="259"/>
      <c r="AJ999" s="274" t="s">
        <v>203</v>
      </c>
      <c r="AK999" s="274" t="s">
        <v>190</v>
      </c>
      <c r="AL999" s="274" t="s">
        <v>190</v>
      </c>
      <c r="AM999" s="260" t="s">
        <v>3859</v>
      </c>
      <c r="AN999" s="22">
        <v>182</v>
      </c>
      <c r="AO999" s="22">
        <v>0</v>
      </c>
      <c r="AP999" s="22">
        <v>20</v>
      </c>
      <c r="AQ999" s="22">
        <v>0</v>
      </c>
      <c r="AR999" s="22">
        <v>0</v>
      </c>
      <c r="AS999" s="22">
        <v>7</v>
      </c>
      <c r="AT999" s="22">
        <v>10</v>
      </c>
      <c r="AU999" s="316">
        <f t="shared" si="166"/>
        <v>219</v>
      </c>
      <c r="AV999" s="22">
        <v>190</v>
      </c>
      <c r="AW999" s="22">
        <v>0</v>
      </c>
      <c r="AX999" s="22">
        <v>20</v>
      </c>
      <c r="AY999" s="22">
        <v>0</v>
      </c>
      <c r="AZ999" s="22">
        <v>0</v>
      </c>
      <c r="BA999" s="22">
        <v>7</v>
      </c>
      <c r="BB999" s="22">
        <v>10</v>
      </c>
      <c r="BC999" s="316">
        <f t="shared" si="167"/>
        <v>227</v>
      </c>
      <c r="BD999" s="58">
        <f t="shared" si="168"/>
        <v>8</v>
      </c>
      <c r="BE999" s="58">
        <f t="shared" si="169"/>
        <v>0</v>
      </c>
      <c r="BF999" s="58">
        <f t="shared" si="170"/>
        <v>0</v>
      </c>
      <c r="BG999" s="58">
        <f t="shared" si="171"/>
        <v>0</v>
      </c>
      <c r="BH999" s="58">
        <f t="shared" si="172"/>
        <v>0</v>
      </c>
      <c r="BI999" s="58">
        <f t="shared" si="173"/>
        <v>0</v>
      </c>
      <c r="BJ999" s="58">
        <f t="shared" si="174"/>
        <v>0</v>
      </c>
      <c r="BK999" s="58">
        <f t="shared" si="175"/>
        <v>8</v>
      </c>
    </row>
    <row r="1000" spans="1:63" ht="27" customHeight="1">
      <c r="A1000" s="238">
        <f t="shared" si="176"/>
        <v>998</v>
      </c>
      <c r="B1000" s="239"/>
      <c r="C1000" s="239">
        <v>3837</v>
      </c>
      <c r="D1000" s="241" t="s">
        <v>5653</v>
      </c>
      <c r="E1000" s="242" t="s">
        <v>5654</v>
      </c>
      <c r="F1000" s="243" t="s">
        <v>1444</v>
      </c>
      <c r="G1000" s="244" t="s">
        <v>5655</v>
      </c>
      <c r="H1000" s="245" t="s">
        <v>5656</v>
      </c>
      <c r="I1000" s="246" t="s">
        <v>5657</v>
      </c>
      <c r="J1000" s="247" t="s">
        <v>178</v>
      </c>
      <c r="K1000" s="248">
        <v>31722</v>
      </c>
      <c r="L1000" s="249" t="s">
        <v>179</v>
      </c>
      <c r="M1000" s="250">
        <v>43787</v>
      </c>
      <c r="N1000" s="250"/>
      <c r="O1000" s="250"/>
      <c r="P1000" s="238" t="e">
        <v>#N/A</v>
      </c>
      <c r="Q1000" s="238" t="s">
        <v>249</v>
      </c>
      <c r="R1000" s="238" t="s">
        <v>182</v>
      </c>
      <c r="S1000" s="238" t="s">
        <v>228</v>
      </c>
      <c r="T1000" s="251"/>
      <c r="U1000" s="307"/>
      <c r="V1000" s="252" t="s">
        <v>184</v>
      </c>
      <c r="W1000" s="252" t="s">
        <v>184</v>
      </c>
      <c r="X1000" s="252">
        <v>7</v>
      </c>
      <c r="Y1000" s="253" t="s">
        <v>5658</v>
      </c>
      <c r="Z1000" s="254"/>
      <c r="AA1000" s="277" t="s">
        <v>186</v>
      </c>
      <c r="AB1000" s="252"/>
      <c r="AC1000" s="255"/>
      <c r="AD1000" s="256"/>
      <c r="AE1000" s="256"/>
      <c r="AF1000" s="257"/>
      <c r="AG1000" s="258"/>
      <c r="AH1000" s="259"/>
      <c r="AI1000" s="259"/>
      <c r="AJ1000" s="274" t="s">
        <v>203</v>
      </c>
      <c r="AK1000" s="274" t="s">
        <v>190</v>
      </c>
      <c r="AL1000" s="274" t="s">
        <v>190</v>
      </c>
      <c r="AM1000" s="260" t="s">
        <v>3859</v>
      </c>
      <c r="AN1000" s="22">
        <v>182</v>
      </c>
      <c r="AO1000" s="22">
        <v>0</v>
      </c>
      <c r="AP1000" s="22">
        <v>20</v>
      </c>
      <c r="AQ1000" s="22">
        <v>0</v>
      </c>
      <c r="AR1000" s="22">
        <v>0</v>
      </c>
      <c r="AS1000" s="22">
        <v>7</v>
      </c>
      <c r="AT1000" s="22">
        <v>10</v>
      </c>
      <c r="AU1000" s="316">
        <f t="shared" si="166"/>
        <v>219</v>
      </c>
      <c r="AV1000" s="22">
        <v>190</v>
      </c>
      <c r="AW1000" s="22">
        <v>0</v>
      </c>
      <c r="AX1000" s="22">
        <v>20</v>
      </c>
      <c r="AY1000" s="22">
        <v>0</v>
      </c>
      <c r="AZ1000" s="22">
        <v>0</v>
      </c>
      <c r="BA1000" s="22">
        <v>7</v>
      </c>
      <c r="BB1000" s="22">
        <v>10</v>
      </c>
      <c r="BC1000" s="316">
        <f t="shared" si="167"/>
        <v>227</v>
      </c>
      <c r="BD1000" s="58">
        <f t="shared" si="168"/>
        <v>8</v>
      </c>
      <c r="BE1000" s="58">
        <f t="shared" si="169"/>
        <v>0</v>
      </c>
      <c r="BF1000" s="58">
        <f t="shared" si="170"/>
        <v>0</v>
      </c>
      <c r="BG1000" s="58">
        <f t="shared" si="171"/>
        <v>0</v>
      </c>
      <c r="BH1000" s="58">
        <f t="shared" si="172"/>
        <v>0</v>
      </c>
      <c r="BI1000" s="58">
        <f t="shared" si="173"/>
        <v>0</v>
      </c>
      <c r="BJ1000" s="58">
        <f t="shared" si="174"/>
        <v>0</v>
      </c>
      <c r="BK1000" s="58">
        <f t="shared" si="175"/>
        <v>8</v>
      </c>
    </row>
    <row r="1001" spans="1:63" ht="27" customHeight="1">
      <c r="A1001" s="238">
        <f t="shared" si="176"/>
        <v>999</v>
      </c>
      <c r="B1001" s="239"/>
      <c r="C1001" s="239">
        <v>3841</v>
      </c>
      <c r="D1001" s="241">
        <v>0</v>
      </c>
      <c r="E1001" s="242" t="s">
        <v>5659</v>
      </c>
      <c r="F1001" s="243" t="s">
        <v>4185</v>
      </c>
      <c r="G1001" s="244" t="s">
        <v>2125</v>
      </c>
      <c r="H1001" s="245" t="s">
        <v>5660</v>
      </c>
      <c r="I1001" s="246" t="s">
        <v>2269</v>
      </c>
      <c r="J1001" s="247" t="s">
        <v>178</v>
      </c>
      <c r="K1001" s="248">
        <v>28995</v>
      </c>
      <c r="L1001" s="249" t="s">
        <v>179</v>
      </c>
      <c r="M1001" s="250">
        <v>43787</v>
      </c>
      <c r="N1001" s="250"/>
      <c r="O1001" s="250"/>
      <c r="P1001" s="238" t="e">
        <v>#N/A</v>
      </c>
      <c r="Q1001" s="238" t="s">
        <v>249</v>
      </c>
      <c r="R1001" s="238" t="s">
        <v>182</v>
      </c>
      <c r="S1001" s="238" t="s">
        <v>4604</v>
      </c>
      <c r="T1001" s="251"/>
      <c r="U1001" s="307"/>
      <c r="V1001" s="252" t="s">
        <v>184</v>
      </c>
      <c r="W1001" s="252" t="s">
        <v>184</v>
      </c>
      <c r="X1001" s="252">
        <v>1</v>
      </c>
      <c r="Y1001" s="253" t="s">
        <v>5661</v>
      </c>
      <c r="Z1001" s="254"/>
      <c r="AA1001" s="277" t="s">
        <v>186</v>
      </c>
      <c r="AB1001" s="252"/>
      <c r="AC1001" s="255"/>
      <c r="AD1001" s="256"/>
      <c r="AE1001" s="256"/>
      <c r="AF1001" s="257"/>
      <c r="AG1001" s="258"/>
      <c r="AH1001" s="259"/>
      <c r="AI1001" s="259"/>
      <c r="AJ1001" s="274" t="s">
        <v>203</v>
      </c>
      <c r="AK1001" s="274" t="s">
        <v>190</v>
      </c>
      <c r="AL1001" s="274" t="s">
        <v>190</v>
      </c>
      <c r="AM1001" s="260" t="s">
        <v>3916</v>
      </c>
      <c r="AN1001" s="22">
        <v>182</v>
      </c>
      <c r="AO1001" s="22">
        <v>0</v>
      </c>
      <c r="AP1001" s="22">
        <v>20</v>
      </c>
      <c r="AQ1001" s="22">
        <v>0</v>
      </c>
      <c r="AR1001" s="22">
        <v>0</v>
      </c>
      <c r="AS1001" s="22">
        <v>7</v>
      </c>
      <c r="AT1001" s="22">
        <v>10</v>
      </c>
      <c r="AU1001" s="316">
        <f t="shared" si="166"/>
        <v>219</v>
      </c>
      <c r="AV1001" s="22">
        <v>190</v>
      </c>
      <c r="AW1001" s="22">
        <v>0</v>
      </c>
      <c r="AX1001" s="22">
        <v>20</v>
      </c>
      <c r="AY1001" s="22">
        <v>0</v>
      </c>
      <c r="AZ1001" s="22">
        <v>0</v>
      </c>
      <c r="BA1001" s="22">
        <v>7</v>
      </c>
      <c r="BB1001" s="22">
        <v>10</v>
      </c>
      <c r="BC1001" s="316">
        <f t="shared" si="167"/>
        <v>227</v>
      </c>
      <c r="BD1001" s="58">
        <f t="shared" si="168"/>
        <v>8</v>
      </c>
      <c r="BE1001" s="58">
        <f t="shared" si="169"/>
        <v>0</v>
      </c>
      <c r="BF1001" s="58">
        <f t="shared" si="170"/>
        <v>0</v>
      </c>
      <c r="BG1001" s="58">
        <f t="shared" si="171"/>
        <v>0</v>
      </c>
      <c r="BH1001" s="58">
        <f t="shared" si="172"/>
        <v>0</v>
      </c>
      <c r="BI1001" s="58">
        <f t="shared" si="173"/>
        <v>0</v>
      </c>
      <c r="BJ1001" s="58">
        <f t="shared" si="174"/>
        <v>0</v>
      </c>
      <c r="BK1001" s="58">
        <f t="shared" si="175"/>
        <v>8</v>
      </c>
    </row>
    <row r="1002" spans="1:63" ht="27" customHeight="1">
      <c r="A1002" s="238">
        <f t="shared" si="176"/>
        <v>1000</v>
      </c>
      <c r="B1002" s="239"/>
      <c r="C1002" s="239">
        <v>3850</v>
      </c>
      <c r="D1002" s="241" t="s">
        <v>5662</v>
      </c>
      <c r="E1002" s="242" t="s">
        <v>5663</v>
      </c>
      <c r="F1002" s="243" t="s">
        <v>1640</v>
      </c>
      <c r="G1002" s="244" t="s">
        <v>5664</v>
      </c>
      <c r="H1002" s="245" t="s">
        <v>5665</v>
      </c>
      <c r="I1002" s="246" t="s">
        <v>5666</v>
      </c>
      <c r="J1002" s="247" t="s">
        <v>178</v>
      </c>
      <c r="K1002" s="248">
        <v>33733</v>
      </c>
      <c r="L1002" s="249" t="s">
        <v>179</v>
      </c>
      <c r="M1002" s="250">
        <v>43791</v>
      </c>
      <c r="N1002" s="250"/>
      <c r="O1002" s="250" t="s">
        <v>5667</v>
      </c>
      <c r="P1002" s="238" t="e">
        <v>#N/A</v>
      </c>
      <c r="Q1002" s="238" t="s">
        <v>249</v>
      </c>
      <c r="R1002" s="238" t="s">
        <v>182</v>
      </c>
      <c r="S1002" s="238" t="s">
        <v>211</v>
      </c>
      <c r="T1002" s="251"/>
      <c r="U1002" s="307"/>
      <c r="V1002" s="252" t="s">
        <v>184</v>
      </c>
      <c r="W1002" s="252" t="s">
        <v>184</v>
      </c>
      <c r="X1002" s="252">
        <v>1</v>
      </c>
      <c r="Y1002" s="253" t="s">
        <v>5433</v>
      </c>
      <c r="Z1002" s="254"/>
      <c r="AA1002" s="277" t="s">
        <v>186</v>
      </c>
      <c r="AB1002" s="252"/>
      <c r="AC1002" s="255"/>
      <c r="AD1002" s="256" t="s">
        <v>3607</v>
      </c>
      <c r="AE1002" s="256"/>
      <c r="AF1002" s="257"/>
      <c r="AG1002" s="258"/>
      <c r="AH1002" s="259"/>
      <c r="AI1002" s="259"/>
      <c r="AJ1002" s="274" t="s">
        <v>203</v>
      </c>
      <c r="AK1002" s="274" t="s">
        <v>190</v>
      </c>
      <c r="AL1002" s="274" t="s">
        <v>190</v>
      </c>
      <c r="AM1002" s="260" t="s">
        <v>5585</v>
      </c>
      <c r="AN1002" s="22">
        <v>182</v>
      </c>
      <c r="AO1002" s="22">
        <v>0</v>
      </c>
      <c r="AP1002" s="22">
        <v>20</v>
      </c>
      <c r="AQ1002" s="22">
        <v>0</v>
      </c>
      <c r="AR1002" s="22">
        <v>0</v>
      </c>
      <c r="AS1002" s="22">
        <v>7</v>
      </c>
      <c r="AT1002" s="22">
        <v>10</v>
      </c>
      <c r="AU1002" s="316">
        <f t="shared" si="166"/>
        <v>219</v>
      </c>
      <c r="AV1002" s="22">
        <v>190</v>
      </c>
      <c r="AW1002" s="22">
        <v>0</v>
      </c>
      <c r="AX1002" s="22">
        <v>20</v>
      </c>
      <c r="AY1002" s="22">
        <v>0</v>
      </c>
      <c r="AZ1002" s="22">
        <v>0</v>
      </c>
      <c r="BA1002" s="22">
        <v>7</v>
      </c>
      <c r="BB1002" s="22">
        <v>10</v>
      </c>
      <c r="BC1002" s="316">
        <f t="shared" si="167"/>
        <v>227</v>
      </c>
      <c r="BD1002" s="58">
        <f t="shared" si="168"/>
        <v>8</v>
      </c>
      <c r="BE1002" s="58">
        <f t="shared" si="169"/>
        <v>0</v>
      </c>
      <c r="BF1002" s="58">
        <f t="shared" si="170"/>
        <v>0</v>
      </c>
      <c r="BG1002" s="58">
        <f t="shared" si="171"/>
        <v>0</v>
      </c>
      <c r="BH1002" s="58">
        <f t="shared" si="172"/>
        <v>0</v>
      </c>
      <c r="BI1002" s="58">
        <f t="shared" si="173"/>
        <v>0</v>
      </c>
      <c r="BJ1002" s="58">
        <f t="shared" si="174"/>
        <v>0</v>
      </c>
      <c r="BK1002" s="58">
        <f t="shared" si="175"/>
        <v>8</v>
      </c>
    </row>
    <row r="1003" spans="1:63" ht="27" customHeight="1">
      <c r="A1003" s="238">
        <f t="shared" si="176"/>
        <v>1001</v>
      </c>
      <c r="B1003" s="239"/>
      <c r="C1003" s="239">
        <v>3851</v>
      </c>
      <c r="D1003" s="241" t="s">
        <v>5668</v>
      </c>
      <c r="E1003" s="242" t="s">
        <v>5669</v>
      </c>
      <c r="F1003" s="243" t="s">
        <v>5670</v>
      </c>
      <c r="G1003" s="244" t="s">
        <v>705</v>
      </c>
      <c r="H1003" s="245" t="s">
        <v>5671</v>
      </c>
      <c r="I1003" s="246" t="s">
        <v>17</v>
      </c>
      <c r="J1003" s="247" t="s">
        <v>178</v>
      </c>
      <c r="K1003" s="248">
        <v>34423</v>
      </c>
      <c r="L1003" s="249" t="s">
        <v>179</v>
      </c>
      <c r="M1003" s="250">
        <v>43791</v>
      </c>
      <c r="N1003" s="250"/>
      <c r="O1003" s="250" t="s">
        <v>5667</v>
      </c>
      <c r="P1003" s="238" t="e">
        <v>#N/A</v>
      </c>
      <c r="Q1003" s="238" t="s">
        <v>249</v>
      </c>
      <c r="R1003" s="238" t="s">
        <v>182</v>
      </c>
      <c r="S1003" s="238" t="s">
        <v>211</v>
      </c>
      <c r="T1003" s="251"/>
      <c r="U1003" s="307"/>
      <c r="V1003" s="252" t="s">
        <v>184</v>
      </c>
      <c r="W1003" s="252" t="s">
        <v>184</v>
      </c>
      <c r="X1003" s="252">
        <v>5</v>
      </c>
      <c r="Y1003" s="253" t="s">
        <v>5672</v>
      </c>
      <c r="Z1003" s="254"/>
      <c r="AA1003" s="277" t="s">
        <v>186</v>
      </c>
      <c r="AB1003" s="252"/>
      <c r="AC1003" s="255"/>
      <c r="AD1003" s="256" t="s">
        <v>188</v>
      </c>
      <c r="AE1003" s="256" t="s">
        <v>3607</v>
      </c>
      <c r="AF1003" s="257"/>
      <c r="AG1003" s="258"/>
      <c r="AH1003" s="259"/>
      <c r="AI1003" s="259"/>
      <c r="AJ1003" s="274" t="s">
        <v>203</v>
      </c>
      <c r="AK1003" s="274" t="s">
        <v>190</v>
      </c>
      <c r="AL1003" s="274" t="s">
        <v>190</v>
      </c>
      <c r="AM1003" s="260" t="s">
        <v>3859</v>
      </c>
      <c r="AN1003" s="22">
        <v>182</v>
      </c>
      <c r="AO1003" s="22">
        <v>0</v>
      </c>
      <c r="AP1003" s="22">
        <v>20</v>
      </c>
      <c r="AQ1003" s="22">
        <v>0</v>
      </c>
      <c r="AR1003" s="22">
        <v>0</v>
      </c>
      <c r="AS1003" s="22">
        <v>7</v>
      </c>
      <c r="AT1003" s="22">
        <v>10</v>
      </c>
      <c r="AU1003" s="316">
        <f t="shared" si="166"/>
        <v>219</v>
      </c>
      <c r="AV1003" s="22">
        <v>190</v>
      </c>
      <c r="AW1003" s="22">
        <v>0</v>
      </c>
      <c r="AX1003" s="22">
        <v>20</v>
      </c>
      <c r="AY1003" s="22">
        <v>0</v>
      </c>
      <c r="AZ1003" s="22">
        <v>0</v>
      </c>
      <c r="BA1003" s="22">
        <v>7</v>
      </c>
      <c r="BB1003" s="22">
        <v>10</v>
      </c>
      <c r="BC1003" s="316">
        <f t="shared" si="167"/>
        <v>227</v>
      </c>
      <c r="BD1003" s="58">
        <f t="shared" si="168"/>
        <v>8</v>
      </c>
      <c r="BE1003" s="58">
        <f t="shared" si="169"/>
        <v>0</v>
      </c>
      <c r="BF1003" s="58">
        <f t="shared" si="170"/>
        <v>0</v>
      </c>
      <c r="BG1003" s="58">
        <f t="shared" si="171"/>
        <v>0</v>
      </c>
      <c r="BH1003" s="58">
        <f t="shared" si="172"/>
        <v>0</v>
      </c>
      <c r="BI1003" s="58">
        <f t="shared" si="173"/>
        <v>0</v>
      </c>
      <c r="BJ1003" s="58">
        <f t="shared" si="174"/>
        <v>0</v>
      </c>
      <c r="BK1003" s="58">
        <f t="shared" si="175"/>
        <v>8</v>
      </c>
    </row>
    <row r="1004" spans="1:63" ht="27" customHeight="1">
      <c r="A1004" s="238">
        <f t="shared" si="176"/>
        <v>1002</v>
      </c>
      <c r="B1004" s="239"/>
      <c r="C1004" s="239">
        <v>3843</v>
      </c>
      <c r="D1004" s="241" t="s">
        <v>5673</v>
      </c>
      <c r="E1004" s="242" t="s">
        <v>5674</v>
      </c>
      <c r="F1004" s="243" t="s">
        <v>3768</v>
      </c>
      <c r="G1004" s="244" t="s">
        <v>5675</v>
      </c>
      <c r="H1004" s="245" t="s">
        <v>4234</v>
      </c>
      <c r="I1004" s="246" t="s">
        <v>5676</v>
      </c>
      <c r="J1004" s="247" t="s">
        <v>178</v>
      </c>
      <c r="K1004" s="248">
        <v>29347</v>
      </c>
      <c r="L1004" s="249" t="s">
        <v>179</v>
      </c>
      <c r="M1004" s="250">
        <v>43789</v>
      </c>
      <c r="N1004" s="250"/>
      <c r="O1004" s="250" t="s">
        <v>5667</v>
      </c>
      <c r="P1004" s="238" t="e">
        <v>#N/A</v>
      </c>
      <c r="Q1004" s="238" t="s">
        <v>249</v>
      </c>
      <c r="R1004" s="238" t="s">
        <v>182</v>
      </c>
      <c r="S1004" s="238" t="s">
        <v>727</v>
      </c>
      <c r="T1004" s="251"/>
      <c r="U1004" s="307"/>
      <c r="V1004" s="252" t="s">
        <v>184</v>
      </c>
      <c r="W1004" s="252" t="s">
        <v>184</v>
      </c>
      <c r="X1004" s="252">
        <v>3</v>
      </c>
      <c r="Y1004" s="253" t="s">
        <v>5677</v>
      </c>
      <c r="Z1004" s="277"/>
      <c r="AA1004" s="254"/>
      <c r="AB1004" s="277" t="s">
        <v>186</v>
      </c>
      <c r="AC1004" s="255"/>
      <c r="AD1004" s="256" t="s">
        <v>3607</v>
      </c>
      <c r="AE1004" s="256"/>
      <c r="AF1004" s="257"/>
      <c r="AG1004" s="258"/>
      <c r="AH1004" s="259"/>
      <c r="AI1004" s="259"/>
      <c r="AJ1004" s="274" t="s">
        <v>203</v>
      </c>
      <c r="AK1004" s="274" t="s">
        <v>190</v>
      </c>
      <c r="AL1004" s="274" t="s">
        <v>190</v>
      </c>
      <c r="AM1004" s="260" t="s">
        <v>3859</v>
      </c>
      <c r="AN1004" s="22">
        <v>182</v>
      </c>
      <c r="AO1004" s="22">
        <v>0</v>
      </c>
      <c r="AP1004" s="22">
        <v>20</v>
      </c>
      <c r="AQ1004" s="22">
        <v>0</v>
      </c>
      <c r="AR1004" s="22">
        <v>0</v>
      </c>
      <c r="AS1004" s="22">
        <v>7</v>
      </c>
      <c r="AT1004" s="22">
        <v>10</v>
      </c>
      <c r="AU1004" s="316">
        <f t="shared" si="166"/>
        <v>219</v>
      </c>
      <c r="AV1004" s="22">
        <v>190</v>
      </c>
      <c r="AW1004" s="22">
        <v>0</v>
      </c>
      <c r="AX1004" s="22">
        <v>20</v>
      </c>
      <c r="AY1004" s="22">
        <v>0</v>
      </c>
      <c r="AZ1004" s="22">
        <v>0</v>
      </c>
      <c r="BA1004" s="22">
        <v>7</v>
      </c>
      <c r="BB1004" s="22">
        <v>10</v>
      </c>
      <c r="BC1004" s="316">
        <f t="shared" si="167"/>
        <v>227</v>
      </c>
      <c r="BD1004" s="58">
        <f t="shared" si="168"/>
        <v>8</v>
      </c>
      <c r="BE1004" s="58">
        <f t="shared" si="169"/>
        <v>0</v>
      </c>
      <c r="BF1004" s="58">
        <f t="shared" si="170"/>
        <v>0</v>
      </c>
      <c r="BG1004" s="58">
        <f t="shared" si="171"/>
        <v>0</v>
      </c>
      <c r="BH1004" s="58">
        <f t="shared" si="172"/>
        <v>0</v>
      </c>
      <c r="BI1004" s="58">
        <f t="shared" si="173"/>
        <v>0</v>
      </c>
      <c r="BJ1004" s="58">
        <f t="shared" si="174"/>
        <v>0</v>
      </c>
      <c r="BK1004" s="58">
        <f t="shared" si="175"/>
        <v>8</v>
      </c>
    </row>
    <row r="1005" spans="1:63" ht="27" customHeight="1">
      <c r="A1005" s="238">
        <f t="shared" si="176"/>
        <v>1003</v>
      </c>
      <c r="B1005" s="239"/>
      <c r="C1005" s="239">
        <v>3849</v>
      </c>
      <c r="D1005" s="241" t="s">
        <v>5678</v>
      </c>
      <c r="E1005" s="242" t="s">
        <v>5679</v>
      </c>
      <c r="F1005" s="243" t="s">
        <v>5680</v>
      </c>
      <c r="G1005" s="244" t="s">
        <v>705</v>
      </c>
      <c r="H1005" s="245" t="s">
        <v>5681</v>
      </c>
      <c r="I1005" s="246" t="s">
        <v>17</v>
      </c>
      <c r="J1005" s="247" t="s">
        <v>178</v>
      </c>
      <c r="K1005" s="248">
        <v>34792</v>
      </c>
      <c r="L1005" s="249" t="s">
        <v>179</v>
      </c>
      <c r="M1005" s="250">
        <v>43790</v>
      </c>
      <c r="N1005" s="250"/>
      <c r="O1005" s="250" t="s">
        <v>5667</v>
      </c>
      <c r="P1005" s="238" t="e">
        <v>#N/A</v>
      </c>
      <c r="Q1005" s="238" t="s">
        <v>249</v>
      </c>
      <c r="R1005" s="238" t="s">
        <v>182</v>
      </c>
      <c r="S1005" s="238" t="s">
        <v>228</v>
      </c>
      <c r="T1005" s="251"/>
      <c r="U1005" s="307"/>
      <c r="V1005" s="252" t="s">
        <v>184</v>
      </c>
      <c r="W1005" s="252" t="s">
        <v>184</v>
      </c>
      <c r="X1005" s="252">
        <v>3</v>
      </c>
      <c r="Y1005" s="253" t="s">
        <v>5682</v>
      </c>
      <c r="Z1005" s="254"/>
      <c r="AA1005" s="277" t="s">
        <v>186</v>
      </c>
      <c r="AB1005" s="252"/>
      <c r="AC1005" s="255"/>
      <c r="AD1005" s="256" t="s">
        <v>188</v>
      </c>
      <c r="AE1005" s="256"/>
      <c r="AF1005" s="257"/>
      <c r="AG1005" s="258"/>
      <c r="AH1005" s="259"/>
      <c r="AI1005" s="259"/>
      <c r="AJ1005" s="274" t="s">
        <v>203</v>
      </c>
      <c r="AK1005" s="274" t="s">
        <v>190</v>
      </c>
      <c r="AL1005" s="274" t="s">
        <v>190</v>
      </c>
      <c r="AM1005" s="260" t="s">
        <v>3859</v>
      </c>
      <c r="AN1005" s="22">
        <v>182</v>
      </c>
      <c r="AO1005" s="22">
        <v>0</v>
      </c>
      <c r="AP1005" s="22">
        <v>20</v>
      </c>
      <c r="AQ1005" s="22">
        <v>0</v>
      </c>
      <c r="AR1005" s="22">
        <v>0</v>
      </c>
      <c r="AS1005" s="22">
        <v>7</v>
      </c>
      <c r="AT1005" s="22">
        <v>10</v>
      </c>
      <c r="AU1005" s="316">
        <f t="shared" si="166"/>
        <v>219</v>
      </c>
      <c r="AV1005" s="22">
        <v>190</v>
      </c>
      <c r="AW1005" s="22">
        <v>0</v>
      </c>
      <c r="AX1005" s="22">
        <v>20</v>
      </c>
      <c r="AY1005" s="22">
        <v>0</v>
      </c>
      <c r="AZ1005" s="22">
        <v>0</v>
      </c>
      <c r="BA1005" s="22">
        <v>7</v>
      </c>
      <c r="BB1005" s="22">
        <v>10</v>
      </c>
      <c r="BC1005" s="316">
        <f t="shared" si="167"/>
        <v>227</v>
      </c>
      <c r="BD1005" s="58">
        <f t="shared" si="168"/>
        <v>8</v>
      </c>
      <c r="BE1005" s="58">
        <f t="shared" si="169"/>
        <v>0</v>
      </c>
      <c r="BF1005" s="58">
        <f t="shared" si="170"/>
        <v>0</v>
      </c>
      <c r="BG1005" s="58">
        <f t="shared" si="171"/>
        <v>0</v>
      </c>
      <c r="BH1005" s="58">
        <f t="shared" si="172"/>
        <v>0</v>
      </c>
      <c r="BI1005" s="58">
        <f t="shared" si="173"/>
        <v>0</v>
      </c>
      <c r="BJ1005" s="58">
        <f t="shared" si="174"/>
        <v>0</v>
      </c>
      <c r="BK1005" s="58">
        <f t="shared" si="175"/>
        <v>8</v>
      </c>
    </row>
    <row r="1006" spans="1:63" ht="27" customHeight="1">
      <c r="A1006" s="238">
        <f t="shared" si="176"/>
        <v>1004</v>
      </c>
      <c r="B1006" s="239"/>
      <c r="C1006" s="239">
        <v>3846</v>
      </c>
      <c r="D1006" s="241" t="s">
        <v>5683</v>
      </c>
      <c r="E1006" s="242" t="s">
        <v>296</v>
      </c>
      <c r="F1006" s="243" t="s">
        <v>457</v>
      </c>
      <c r="G1006" s="244" t="s">
        <v>1698</v>
      </c>
      <c r="H1006" s="245" t="s">
        <v>459</v>
      </c>
      <c r="I1006" s="246" t="s">
        <v>1299</v>
      </c>
      <c r="J1006" s="247" t="s">
        <v>178</v>
      </c>
      <c r="K1006" s="248">
        <v>31322</v>
      </c>
      <c r="L1006" s="249" t="s">
        <v>179</v>
      </c>
      <c r="M1006" s="250">
        <v>43789</v>
      </c>
      <c r="N1006" s="250"/>
      <c r="O1006" s="250" t="s">
        <v>5667</v>
      </c>
      <c r="P1006" s="238" t="e">
        <v>#N/A</v>
      </c>
      <c r="Q1006" s="238" t="s">
        <v>249</v>
      </c>
      <c r="R1006" s="238" t="s">
        <v>182</v>
      </c>
      <c r="S1006" s="238" t="s">
        <v>727</v>
      </c>
      <c r="T1006" s="251"/>
      <c r="U1006" s="307"/>
      <c r="V1006" s="252" t="s">
        <v>184</v>
      </c>
      <c r="W1006" s="252" t="s">
        <v>184</v>
      </c>
      <c r="X1006" s="252">
        <v>3</v>
      </c>
      <c r="Y1006" s="253" t="s">
        <v>5684</v>
      </c>
      <c r="Z1006" s="254"/>
      <c r="AA1006" s="277" t="s">
        <v>186</v>
      </c>
      <c r="AB1006" s="252"/>
      <c r="AC1006" s="255"/>
      <c r="AD1006" s="256" t="s">
        <v>188</v>
      </c>
      <c r="AE1006" s="256" t="s">
        <v>188</v>
      </c>
      <c r="AF1006" s="256" t="s">
        <v>188</v>
      </c>
      <c r="AG1006" s="258"/>
      <c r="AH1006" s="259"/>
      <c r="AI1006" s="259"/>
      <c r="AJ1006" s="274" t="s">
        <v>203</v>
      </c>
      <c r="AK1006" s="274" t="s">
        <v>190</v>
      </c>
      <c r="AL1006" s="274" t="s">
        <v>190</v>
      </c>
      <c r="AM1006" s="260" t="s">
        <v>3859</v>
      </c>
      <c r="AN1006" s="22">
        <v>182</v>
      </c>
      <c r="AO1006" s="22">
        <v>0</v>
      </c>
      <c r="AP1006" s="22">
        <v>20</v>
      </c>
      <c r="AQ1006" s="22">
        <v>0</v>
      </c>
      <c r="AR1006" s="22">
        <v>0</v>
      </c>
      <c r="AS1006" s="22">
        <v>7</v>
      </c>
      <c r="AT1006" s="22">
        <v>10</v>
      </c>
      <c r="AU1006" s="316">
        <f t="shared" si="166"/>
        <v>219</v>
      </c>
      <c r="AV1006" s="22">
        <v>190</v>
      </c>
      <c r="AW1006" s="22">
        <v>0</v>
      </c>
      <c r="AX1006" s="22">
        <v>20</v>
      </c>
      <c r="AY1006" s="22">
        <v>0</v>
      </c>
      <c r="AZ1006" s="22">
        <v>0</v>
      </c>
      <c r="BA1006" s="22">
        <v>7</v>
      </c>
      <c r="BB1006" s="22">
        <v>10</v>
      </c>
      <c r="BC1006" s="316">
        <f t="shared" si="167"/>
        <v>227</v>
      </c>
      <c r="BD1006" s="58">
        <f t="shared" si="168"/>
        <v>8</v>
      </c>
      <c r="BE1006" s="58">
        <f t="shared" si="169"/>
        <v>0</v>
      </c>
      <c r="BF1006" s="58">
        <f t="shared" si="170"/>
        <v>0</v>
      </c>
      <c r="BG1006" s="58">
        <f t="shared" si="171"/>
        <v>0</v>
      </c>
      <c r="BH1006" s="58">
        <f t="shared" si="172"/>
        <v>0</v>
      </c>
      <c r="BI1006" s="58">
        <f t="shared" si="173"/>
        <v>0</v>
      </c>
      <c r="BJ1006" s="58">
        <f t="shared" si="174"/>
        <v>0</v>
      </c>
      <c r="BK1006" s="58">
        <f t="shared" si="175"/>
        <v>8</v>
      </c>
    </row>
    <row r="1007" spans="1:63" ht="27" customHeight="1">
      <c r="A1007" s="238">
        <f t="shared" si="176"/>
        <v>1005</v>
      </c>
      <c r="B1007" s="239"/>
      <c r="C1007" s="239">
        <v>3847</v>
      </c>
      <c r="D1007" s="241" t="s">
        <v>5685</v>
      </c>
      <c r="E1007" s="242" t="s">
        <v>296</v>
      </c>
      <c r="F1007" s="243" t="s">
        <v>4185</v>
      </c>
      <c r="G1007" s="244" t="s">
        <v>2125</v>
      </c>
      <c r="H1007" s="245" t="s">
        <v>5660</v>
      </c>
      <c r="I1007" s="246" t="s">
        <v>2269</v>
      </c>
      <c r="J1007" s="247" t="s">
        <v>178</v>
      </c>
      <c r="K1007" s="248">
        <v>28995</v>
      </c>
      <c r="L1007" s="249" t="s">
        <v>179</v>
      </c>
      <c r="M1007" s="250">
        <v>43789</v>
      </c>
      <c r="N1007" s="250"/>
      <c r="O1007" s="250" t="s">
        <v>5667</v>
      </c>
      <c r="P1007" s="238" t="e">
        <v>#N/A</v>
      </c>
      <c r="Q1007" s="238" t="s">
        <v>249</v>
      </c>
      <c r="R1007" s="238" t="s">
        <v>182</v>
      </c>
      <c r="S1007" s="238" t="s">
        <v>310</v>
      </c>
      <c r="T1007" s="251"/>
      <c r="U1007" s="307"/>
      <c r="V1007" s="252" t="s">
        <v>184</v>
      </c>
      <c r="W1007" s="252" t="s">
        <v>184</v>
      </c>
      <c r="X1007" s="252">
        <v>8</v>
      </c>
      <c r="Y1007" s="253" t="s">
        <v>5686</v>
      </c>
      <c r="Z1007" s="254"/>
      <c r="AA1007" s="277" t="s">
        <v>186</v>
      </c>
      <c r="AB1007" s="252"/>
      <c r="AC1007" s="255"/>
      <c r="AD1007" s="256" t="s">
        <v>188</v>
      </c>
      <c r="AE1007" s="256" t="s">
        <v>188</v>
      </c>
      <c r="AF1007" s="257" t="s">
        <v>3607</v>
      </c>
      <c r="AG1007" s="258"/>
      <c r="AH1007" s="259"/>
      <c r="AI1007" s="259"/>
      <c r="AJ1007" s="274" t="s">
        <v>203</v>
      </c>
      <c r="AK1007" s="274" t="s">
        <v>190</v>
      </c>
      <c r="AL1007" s="274" t="s">
        <v>190</v>
      </c>
      <c r="AM1007" s="260" t="s">
        <v>3859</v>
      </c>
      <c r="AN1007" s="22">
        <v>182</v>
      </c>
      <c r="AO1007" s="22">
        <v>0</v>
      </c>
      <c r="AP1007" s="22">
        <v>20</v>
      </c>
      <c r="AQ1007" s="22">
        <v>0</v>
      </c>
      <c r="AR1007" s="22">
        <v>0</v>
      </c>
      <c r="AS1007" s="22">
        <v>7</v>
      </c>
      <c r="AT1007" s="22">
        <v>10</v>
      </c>
      <c r="AU1007" s="316">
        <f t="shared" si="166"/>
        <v>219</v>
      </c>
      <c r="AV1007" s="22">
        <v>190</v>
      </c>
      <c r="AW1007" s="22">
        <v>0</v>
      </c>
      <c r="AX1007" s="22">
        <v>20</v>
      </c>
      <c r="AY1007" s="22">
        <v>0</v>
      </c>
      <c r="AZ1007" s="22">
        <v>0</v>
      </c>
      <c r="BA1007" s="22">
        <v>7</v>
      </c>
      <c r="BB1007" s="22">
        <v>10</v>
      </c>
      <c r="BC1007" s="316">
        <f t="shared" si="167"/>
        <v>227</v>
      </c>
      <c r="BD1007" s="58">
        <f t="shared" si="168"/>
        <v>8</v>
      </c>
      <c r="BE1007" s="58">
        <f t="shared" si="169"/>
        <v>0</v>
      </c>
      <c r="BF1007" s="58">
        <f t="shared" si="170"/>
        <v>0</v>
      </c>
      <c r="BG1007" s="58">
        <f t="shared" si="171"/>
        <v>0</v>
      </c>
      <c r="BH1007" s="58">
        <f t="shared" si="172"/>
        <v>0</v>
      </c>
      <c r="BI1007" s="58">
        <f t="shared" si="173"/>
        <v>0</v>
      </c>
      <c r="BJ1007" s="58">
        <f t="shared" si="174"/>
        <v>0</v>
      </c>
      <c r="BK1007" s="58">
        <f t="shared" si="175"/>
        <v>8</v>
      </c>
    </row>
    <row r="1008" spans="1:63" ht="27" customHeight="1">
      <c r="A1008" s="238">
        <f t="shared" si="176"/>
        <v>1006</v>
      </c>
      <c r="B1008" s="239"/>
      <c r="C1008" s="239">
        <v>3852</v>
      </c>
      <c r="D1008" s="241">
        <v>0</v>
      </c>
      <c r="E1008" s="242" t="s">
        <v>296</v>
      </c>
      <c r="F1008" s="243" t="s">
        <v>493</v>
      </c>
      <c r="G1008" s="244" t="s">
        <v>1352</v>
      </c>
      <c r="H1008" s="245">
        <v>0</v>
      </c>
      <c r="I1008" s="246">
        <v>0</v>
      </c>
      <c r="J1008" s="247" t="s">
        <v>178</v>
      </c>
      <c r="K1008" s="248">
        <v>36348</v>
      </c>
      <c r="L1008" s="249" t="s">
        <v>179</v>
      </c>
      <c r="M1008" s="250">
        <v>43791</v>
      </c>
      <c r="N1008" s="250"/>
      <c r="O1008" s="250" t="s">
        <v>26</v>
      </c>
      <c r="P1008" s="238" t="e">
        <v>#N/A</v>
      </c>
      <c r="Q1008" s="238" t="s">
        <v>249</v>
      </c>
      <c r="R1008" s="238" t="s">
        <v>182</v>
      </c>
      <c r="S1008" s="238" t="s">
        <v>228</v>
      </c>
      <c r="T1008" s="251"/>
      <c r="U1008" s="307"/>
      <c r="V1008" s="252" t="s">
        <v>200</v>
      </c>
      <c r="W1008" s="252">
        <v>566</v>
      </c>
      <c r="X1008" s="252">
        <v>8</v>
      </c>
      <c r="Y1008" s="253" t="s">
        <v>5687</v>
      </c>
      <c r="Z1008" s="277" t="s">
        <v>186</v>
      </c>
      <c r="AA1008" s="254"/>
      <c r="AB1008" s="252"/>
      <c r="AC1008" s="255"/>
      <c r="AD1008" s="256"/>
      <c r="AE1008" s="256"/>
      <c r="AF1008" s="257"/>
      <c r="AG1008" s="258"/>
      <c r="AH1008" s="259"/>
      <c r="AI1008" s="259"/>
      <c r="AJ1008" s="274" t="s">
        <v>203</v>
      </c>
      <c r="AK1008" s="274" t="s">
        <v>190</v>
      </c>
      <c r="AL1008" s="274" t="s">
        <v>190</v>
      </c>
      <c r="AM1008" s="260" t="s">
        <v>3916</v>
      </c>
      <c r="AN1008" s="22">
        <v>177</v>
      </c>
      <c r="AO1008" s="22">
        <v>0</v>
      </c>
      <c r="AP1008" s="22">
        <v>20</v>
      </c>
      <c r="AQ1008" s="22">
        <v>0</v>
      </c>
      <c r="AR1008" s="22">
        <v>0</v>
      </c>
      <c r="AS1008" s="22">
        <v>7</v>
      </c>
      <c r="AT1008" s="22">
        <v>10</v>
      </c>
      <c r="AU1008" s="316">
        <f t="shared" si="166"/>
        <v>214</v>
      </c>
      <c r="AV1008" s="22">
        <v>185</v>
      </c>
      <c r="AW1008" s="22">
        <v>0</v>
      </c>
      <c r="AX1008" s="22">
        <v>20</v>
      </c>
      <c r="AY1008" s="22">
        <v>0</v>
      </c>
      <c r="AZ1008" s="22">
        <v>0</v>
      </c>
      <c r="BA1008" s="22">
        <v>7</v>
      </c>
      <c r="BB1008" s="22">
        <v>10</v>
      </c>
      <c r="BC1008" s="316">
        <f t="shared" si="167"/>
        <v>222</v>
      </c>
      <c r="BD1008" s="58">
        <f t="shared" si="168"/>
        <v>8</v>
      </c>
      <c r="BE1008" s="58">
        <f t="shared" si="169"/>
        <v>0</v>
      </c>
      <c r="BF1008" s="58">
        <f t="shared" si="170"/>
        <v>0</v>
      </c>
      <c r="BG1008" s="58">
        <f t="shared" si="171"/>
        <v>0</v>
      </c>
      <c r="BH1008" s="58">
        <f t="shared" si="172"/>
        <v>0</v>
      </c>
      <c r="BI1008" s="58">
        <f t="shared" si="173"/>
        <v>0</v>
      </c>
      <c r="BJ1008" s="58">
        <f t="shared" si="174"/>
        <v>0</v>
      </c>
      <c r="BK1008" s="58">
        <f t="shared" si="175"/>
        <v>8</v>
      </c>
    </row>
    <row r="1009" spans="1:63" ht="27" customHeight="1">
      <c r="A1009" s="238">
        <f t="shared" si="176"/>
        <v>1007</v>
      </c>
      <c r="B1009" s="239"/>
      <c r="C1009" s="239">
        <v>3845</v>
      </c>
      <c r="D1009" s="241" t="s">
        <v>5688</v>
      </c>
      <c r="E1009" s="242" t="s">
        <v>5689</v>
      </c>
      <c r="F1009" s="243" t="s">
        <v>1339</v>
      </c>
      <c r="G1009" s="244" t="s">
        <v>1124</v>
      </c>
      <c r="H1009" s="245" t="s">
        <v>5690</v>
      </c>
      <c r="I1009" s="246" t="s">
        <v>1126</v>
      </c>
      <c r="J1009" s="247" t="s">
        <v>178</v>
      </c>
      <c r="K1009" s="248">
        <v>29081</v>
      </c>
      <c r="L1009" s="249" t="s">
        <v>179</v>
      </c>
      <c r="M1009" s="250">
        <v>43789</v>
      </c>
      <c r="N1009" s="250"/>
      <c r="O1009" s="250" t="s">
        <v>5291</v>
      </c>
      <c r="P1009" s="238" t="e">
        <v>#N/A</v>
      </c>
      <c r="Q1009" s="238" t="s">
        <v>249</v>
      </c>
      <c r="R1009" s="238" t="s">
        <v>182</v>
      </c>
      <c r="S1009" s="238" t="s">
        <v>310</v>
      </c>
      <c r="T1009" s="251"/>
      <c r="U1009" s="307"/>
      <c r="V1009" s="252" t="s">
        <v>184</v>
      </c>
      <c r="W1009" s="252" t="s">
        <v>184</v>
      </c>
      <c r="X1009" s="252">
        <v>8</v>
      </c>
      <c r="Y1009" s="253" t="s">
        <v>5691</v>
      </c>
      <c r="Z1009" s="254"/>
      <c r="AA1009" s="277" t="s">
        <v>186</v>
      </c>
      <c r="AB1009" s="252"/>
      <c r="AC1009" s="255"/>
      <c r="AD1009" s="256"/>
      <c r="AE1009" s="256" t="s">
        <v>188</v>
      </c>
      <c r="AF1009" s="257"/>
      <c r="AG1009" s="258"/>
      <c r="AH1009" s="259"/>
      <c r="AI1009" s="259"/>
      <c r="AJ1009" s="274" t="s">
        <v>203</v>
      </c>
      <c r="AK1009" s="274" t="s">
        <v>190</v>
      </c>
      <c r="AL1009" s="274" t="s">
        <v>190</v>
      </c>
      <c r="AM1009" s="260" t="s">
        <v>3859</v>
      </c>
      <c r="AN1009" s="22">
        <v>182</v>
      </c>
      <c r="AO1009" s="22">
        <v>0</v>
      </c>
      <c r="AP1009" s="22">
        <v>20</v>
      </c>
      <c r="AQ1009" s="22">
        <v>0</v>
      </c>
      <c r="AR1009" s="22">
        <v>0</v>
      </c>
      <c r="AS1009" s="22">
        <v>7</v>
      </c>
      <c r="AT1009" s="22">
        <v>10</v>
      </c>
      <c r="AU1009" s="316">
        <f t="shared" si="166"/>
        <v>219</v>
      </c>
      <c r="AV1009" s="22">
        <v>190</v>
      </c>
      <c r="AW1009" s="22">
        <v>0</v>
      </c>
      <c r="AX1009" s="22">
        <v>20</v>
      </c>
      <c r="AY1009" s="22">
        <v>0</v>
      </c>
      <c r="AZ1009" s="22">
        <v>0</v>
      </c>
      <c r="BA1009" s="22">
        <v>7</v>
      </c>
      <c r="BB1009" s="22">
        <v>10</v>
      </c>
      <c r="BC1009" s="316">
        <f t="shared" si="167"/>
        <v>227</v>
      </c>
      <c r="BD1009" s="58">
        <f t="shared" si="168"/>
        <v>8</v>
      </c>
      <c r="BE1009" s="58">
        <f t="shared" si="169"/>
        <v>0</v>
      </c>
      <c r="BF1009" s="58">
        <f t="shared" si="170"/>
        <v>0</v>
      </c>
      <c r="BG1009" s="58">
        <f t="shared" si="171"/>
        <v>0</v>
      </c>
      <c r="BH1009" s="58">
        <f t="shared" si="172"/>
        <v>0</v>
      </c>
      <c r="BI1009" s="58">
        <f t="shared" si="173"/>
        <v>0</v>
      </c>
      <c r="BJ1009" s="58">
        <f t="shared" si="174"/>
        <v>0</v>
      </c>
      <c r="BK1009" s="58">
        <f t="shared" si="175"/>
        <v>8</v>
      </c>
    </row>
    <row r="1010" spans="1:63" ht="27" customHeight="1">
      <c r="A1010" s="238">
        <f t="shared" si="176"/>
        <v>1008</v>
      </c>
      <c r="B1010" s="239"/>
      <c r="C1010" s="239">
        <v>3848</v>
      </c>
      <c r="D1010" s="241" t="s">
        <v>5692</v>
      </c>
      <c r="E1010" s="242" t="s">
        <v>5693</v>
      </c>
      <c r="F1010" s="243" t="s">
        <v>5694</v>
      </c>
      <c r="G1010" s="244" t="s">
        <v>1000</v>
      </c>
      <c r="H1010" s="245" t="s">
        <v>4030</v>
      </c>
      <c r="I1010" s="246" t="s">
        <v>5695</v>
      </c>
      <c r="J1010" s="247" t="s">
        <v>178</v>
      </c>
      <c r="K1010" s="248">
        <v>27321</v>
      </c>
      <c r="L1010" s="249" t="s">
        <v>179</v>
      </c>
      <c r="M1010" s="250">
        <v>43789</v>
      </c>
      <c r="N1010" s="250"/>
      <c r="O1010" s="250" t="s">
        <v>5696</v>
      </c>
      <c r="P1010" s="238" t="e">
        <v>#N/A</v>
      </c>
      <c r="Q1010" s="238" t="s">
        <v>249</v>
      </c>
      <c r="R1010" s="238" t="s">
        <v>182</v>
      </c>
      <c r="S1010" s="238" t="s">
        <v>228</v>
      </c>
      <c r="T1010" s="251"/>
      <c r="U1010" s="307"/>
      <c r="V1010" s="252" t="s">
        <v>184</v>
      </c>
      <c r="W1010" s="252" t="s">
        <v>184</v>
      </c>
      <c r="X1010" s="252">
        <v>2</v>
      </c>
      <c r="Y1010" s="253" t="s">
        <v>5697</v>
      </c>
      <c r="Z1010" s="254"/>
      <c r="AA1010" s="277" t="s">
        <v>186</v>
      </c>
      <c r="AB1010" s="252"/>
      <c r="AC1010" s="255" t="s">
        <v>356</v>
      </c>
      <c r="AD1010" s="256" t="s">
        <v>3607</v>
      </c>
      <c r="AE1010" s="256" t="s">
        <v>3607</v>
      </c>
      <c r="AF1010" s="256" t="s">
        <v>3607</v>
      </c>
      <c r="AG1010" s="258"/>
      <c r="AH1010" s="259"/>
      <c r="AI1010" s="259"/>
      <c r="AJ1010" s="274" t="s">
        <v>203</v>
      </c>
      <c r="AK1010" s="274" t="s">
        <v>190</v>
      </c>
      <c r="AL1010" s="274" t="s">
        <v>190</v>
      </c>
      <c r="AM1010" s="260" t="s">
        <v>241</v>
      </c>
      <c r="AN1010" s="22">
        <v>177</v>
      </c>
      <c r="AO1010" s="22">
        <v>0</v>
      </c>
      <c r="AP1010" s="22">
        <v>20</v>
      </c>
      <c r="AQ1010" s="22">
        <v>0</v>
      </c>
      <c r="AR1010" s="22">
        <v>0</v>
      </c>
      <c r="AS1010" s="22">
        <v>7</v>
      </c>
      <c r="AT1010" s="22">
        <v>10</v>
      </c>
      <c r="AU1010" s="316">
        <f t="shared" si="166"/>
        <v>214</v>
      </c>
      <c r="AV1010" s="22">
        <v>185</v>
      </c>
      <c r="AW1010" s="22">
        <v>0</v>
      </c>
      <c r="AX1010" s="22">
        <v>20</v>
      </c>
      <c r="AY1010" s="22">
        <v>0</v>
      </c>
      <c r="AZ1010" s="22">
        <v>0</v>
      </c>
      <c r="BA1010" s="22">
        <v>7</v>
      </c>
      <c r="BB1010" s="22">
        <v>10</v>
      </c>
      <c r="BC1010" s="316">
        <f t="shared" si="167"/>
        <v>222</v>
      </c>
      <c r="BD1010" s="58">
        <f t="shared" si="168"/>
        <v>8</v>
      </c>
      <c r="BE1010" s="58">
        <f t="shared" si="169"/>
        <v>0</v>
      </c>
      <c r="BF1010" s="58">
        <f t="shared" si="170"/>
        <v>0</v>
      </c>
      <c r="BG1010" s="58">
        <f t="shared" si="171"/>
        <v>0</v>
      </c>
      <c r="BH1010" s="58">
        <f t="shared" si="172"/>
        <v>0</v>
      </c>
      <c r="BI1010" s="58">
        <f t="shared" si="173"/>
        <v>0</v>
      </c>
      <c r="BJ1010" s="58">
        <f t="shared" si="174"/>
        <v>0</v>
      </c>
      <c r="BK1010" s="58">
        <f t="shared" si="175"/>
        <v>8</v>
      </c>
    </row>
    <row r="1011" spans="1:63" ht="27" customHeight="1">
      <c r="A1011" s="238">
        <f t="shared" si="176"/>
        <v>1009</v>
      </c>
      <c r="B1011" s="239"/>
      <c r="C1011" s="239">
        <v>3844</v>
      </c>
      <c r="D1011" s="241" t="s">
        <v>5698</v>
      </c>
      <c r="E1011" s="242" t="s">
        <v>5699</v>
      </c>
      <c r="F1011" s="243" t="s">
        <v>5700</v>
      </c>
      <c r="G1011" s="244" t="s">
        <v>5701</v>
      </c>
      <c r="H1011" s="245" t="s">
        <v>5702</v>
      </c>
      <c r="I1011" s="246" t="s">
        <v>5703</v>
      </c>
      <c r="J1011" s="247" t="s">
        <v>178</v>
      </c>
      <c r="K1011" s="248">
        <v>35523</v>
      </c>
      <c r="L1011" s="249" t="s">
        <v>179</v>
      </c>
      <c r="M1011" s="250">
        <v>43789</v>
      </c>
      <c r="N1011" s="250"/>
      <c r="O1011" s="250" t="s">
        <v>4152</v>
      </c>
      <c r="P1011" s="238" t="e">
        <v>#N/A</v>
      </c>
      <c r="Q1011" s="238" t="s">
        <v>249</v>
      </c>
      <c r="R1011" s="238" t="s">
        <v>182</v>
      </c>
      <c r="S1011" s="238" t="s">
        <v>211</v>
      </c>
      <c r="T1011" s="251"/>
      <c r="U1011" s="307"/>
      <c r="V1011" s="252" t="s">
        <v>184</v>
      </c>
      <c r="W1011" s="252" t="s">
        <v>184</v>
      </c>
      <c r="X1011" s="252">
        <v>10</v>
      </c>
      <c r="Y1011" s="253" t="s">
        <v>5704</v>
      </c>
      <c r="Z1011" s="277" t="s">
        <v>186</v>
      </c>
      <c r="AA1011" s="254"/>
      <c r="AB1011" s="252"/>
      <c r="AC1011" s="255"/>
      <c r="AD1011" s="256"/>
      <c r="AE1011" s="256"/>
      <c r="AF1011" s="257"/>
      <c r="AG1011" s="258"/>
      <c r="AH1011" s="259"/>
      <c r="AI1011" s="259"/>
      <c r="AJ1011" s="274" t="s">
        <v>203</v>
      </c>
      <c r="AK1011" s="274" t="s">
        <v>190</v>
      </c>
      <c r="AL1011" s="274" t="s">
        <v>190</v>
      </c>
      <c r="AM1011" s="260" t="s">
        <v>3859</v>
      </c>
      <c r="AN1011" s="22">
        <v>177</v>
      </c>
      <c r="AO1011" s="22">
        <v>0</v>
      </c>
      <c r="AP1011" s="22">
        <v>20</v>
      </c>
      <c r="AQ1011" s="22">
        <v>0</v>
      </c>
      <c r="AR1011" s="22">
        <v>0</v>
      </c>
      <c r="AS1011" s="22">
        <v>7</v>
      </c>
      <c r="AT1011" s="22">
        <v>10</v>
      </c>
      <c r="AU1011" s="316">
        <f t="shared" si="166"/>
        <v>214</v>
      </c>
      <c r="AV1011" s="22">
        <v>185</v>
      </c>
      <c r="AW1011" s="22">
        <v>0</v>
      </c>
      <c r="AX1011" s="22">
        <v>20</v>
      </c>
      <c r="AY1011" s="22">
        <v>0</v>
      </c>
      <c r="AZ1011" s="22">
        <v>0</v>
      </c>
      <c r="BA1011" s="22">
        <v>7</v>
      </c>
      <c r="BB1011" s="22">
        <v>10</v>
      </c>
      <c r="BC1011" s="316">
        <f t="shared" si="167"/>
        <v>222</v>
      </c>
      <c r="BD1011" s="58">
        <f t="shared" si="168"/>
        <v>8</v>
      </c>
      <c r="BE1011" s="58">
        <f t="shared" si="169"/>
        <v>0</v>
      </c>
      <c r="BF1011" s="58">
        <f t="shared" si="170"/>
        <v>0</v>
      </c>
      <c r="BG1011" s="58">
        <f t="shared" si="171"/>
        <v>0</v>
      </c>
      <c r="BH1011" s="58">
        <f t="shared" si="172"/>
        <v>0</v>
      </c>
      <c r="BI1011" s="58">
        <f t="shared" si="173"/>
        <v>0</v>
      </c>
      <c r="BJ1011" s="58">
        <f t="shared" si="174"/>
        <v>0</v>
      </c>
      <c r="BK1011" s="58">
        <f t="shared" si="175"/>
        <v>8</v>
      </c>
    </row>
    <row r="1012" spans="1:63" ht="27" customHeight="1">
      <c r="A1012" s="238">
        <f t="shared" si="176"/>
        <v>1010</v>
      </c>
      <c r="B1012" s="239"/>
      <c r="C1012" s="239">
        <v>3185</v>
      </c>
      <c r="D1012" s="241" t="s">
        <v>5705</v>
      </c>
      <c r="E1012" s="242" t="s">
        <v>5706</v>
      </c>
      <c r="F1012" s="243" t="s">
        <v>557</v>
      </c>
      <c r="G1012" s="244" t="s">
        <v>5707</v>
      </c>
      <c r="H1012" s="245" t="s">
        <v>559</v>
      </c>
      <c r="I1012" s="246" t="s">
        <v>551</v>
      </c>
      <c r="J1012" s="247" t="s">
        <v>178</v>
      </c>
      <c r="K1012" s="248">
        <v>22778</v>
      </c>
      <c r="L1012" s="249" t="s">
        <v>179</v>
      </c>
      <c r="M1012" s="250">
        <v>43740</v>
      </c>
      <c r="N1012" s="250"/>
      <c r="O1012" s="250" t="s">
        <v>3644</v>
      </c>
      <c r="P1012" s="238" t="s">
        <v>199</v>
      </c>
      <c r="Q1012" s="238" t="s">
        <v>249</v>
      </c>
      <c r="R1012" s="238" t="s">
        <v>182</v>
      </c>
      <c r="S1012" s="238" t="s">
        <v>219</v>
      </c>
      <c r="T1012" s="251"/>
      <c r="U1012" s="307"/>
      <c r="V1012" s="252" t="s">
        <v>184</v>
      </c>
      <c r="W1012" s="252" t="s">
        <v>184</v>
      </c>
      <c r="X1012" s="252"/>
      <c r="Y1012" s="253"/>
      <c r="Z1012" s="254"/>
      <c r="AA1012" s="254"/>
      <c r="AB1012" s="252"/>
      <c r="AC1012" s="255"/>
      <c r="AD1012" s="256"/>
      <c r="AE1012" s="256"/>
      <c r="AF1012" s="257"/>
      <c r="AG1012" s="258"/>
      <c r="AH1012" s="259"/>
      <c r="AI1012" s="259"/>
      <c r="AJ1012" s="260"/>
      <c r="AK1012" s="260"/>
      <c r="AL1012" s="260"/>
      <c r="AM1012" s="255"/>
      <c r="AN1012" s="22">
        <v>182</v>
      </c>
      <c r="AO1012" s="22">
        <v>0</v>
      </c>
      <c r="AP1012" s="22">
        <v>20</v>
      </c>
      <c r="AQ1012" s="22">
        <v>0</v>
      </c>
      <c r="AR1012" s="22">
        <v>0</v>
      </c>
      <c r="AS1012" s="22">
        <v>7</v>
      </c>
      <c r="AT1012" s="22">
        <v>10</v>
      </c>
      <c r="AU1012" s="316">
        <f t="shared" si="166"/>
        <v>219</v>
      </c>
      <c r="AV1012" s="22">
        <v>190</v>
      </c>
      <c r="AW1012" s="22">
        <v>0</v>
      </c>
      <c r="AX1012" s="22">
        <v>20</v>
      </c>
      <c r="AY1012" s="22">
        <v>0</v>
      </c>
      <c r="AZ1012" s="22">
        <v>0</v>
      </c>
      <c r="BA1012" s="22">
        <v>7</v>
      </c>
      <c r="BB1012" s="22">
        <v>10</v>
      </c>
      <c r="BC1012" s="316">
        <f t="shared" si="167"/>
        <v>227</v>
      </c>
      <c r="BD1012" s="58">
        <f t="shared" si="168"/>
        <v>8</v>
      </c>
      <c r="BE1012" s="58">
        <f t="shared" si="169"/>
        <v>0</v>
      </c>
      <c r="BF1012" s="58">
        <f t="shared" si="170"/>
        <v>0</v>
      </c>
      <c r="BG1012" s="58">
        <f t="shared" si="171"/>
        <v>0</v>
      </c>
      <c r="BH1012" s="58">
        <f t="shared" si="172"/>
        <v>0</v>
      </c>
      <c r="BI1012" s="58">
        <f t="shared" si="173"/>
        <v>0</v>
      </c>
      <c r="BJ1012" s="58">
        <f t="shared" si="174"/>
        <v>0</v>
      </c>
      <c r="BK1012" s="58">
        <f t="shared" si="175"/>
        <v>8</v>
      </c>
    </row>
    <row r="1013" spans="1:63" ht="27" customHeight="1">
      <c r="A1013" s="238">
        <f t="shared" si="176"/>
        <v>1011</v>
      </c>
      <c r="B1013" s="239"/>
      <c r="C1013" s="239">
        <v>3447</v>
      </c>
      <c r="D1013" s="241" t="s">
        <v>5708</v>
      </c>
      <c r="E1013" s="242" t="s">
        <v>5709</v>
      </c>
      <c r="F1013" s="243" t="s">
        <v>2151</v>
      </c>
      <c r="G1013" s="244" t="s">
        <v>2435</v>
      </c>
      <c r="H1013" s="245" t="s">
        <v>4558</v>
      </c>
      <c r="I1013" s="246" t="s">
        <v>4586</v>
      </c>
      <c r="J1013" s="247" t="s">
        <v>178</v>
      </c>
      <c r="K1013" s="248">
        <v>29550</v>
      </c>
      <c r="L1013" s="249" t="s">
        <v>179</v>
      </c>
      <c r="M1013" s="250">
        <v>43788</v>
      </c>
      <c r="N1013" s="250"/>
      <c r="O1013" s="250" t="s">
        <v>3545</v>
      </c>
      <c r="P1013" s="238" t="s">
        <v>34</v>
      </c>
      <c r="Q1013" s="238" t="s">
        <v>181</v>
      </c>
      <c r="R1013" s="238" t="s">
        <v>182</v>
      </c>
      <c r="S1013" s="238" t="s">
        <v>4019</v>
      </c>
      <c r="T1013" s="251"/>
      <c r="U1013" s="251"/>
      <c r="V1013" s="252" t="s">
        <v>184</v>
      </c>
      <c r="W1013" s="252" t="s">
        <v>184</v>
      </c>
      <c r="X1013" s="252">
        <v>2</v>
      </c>
      <c r="Y1013" s="253" t="s">
        <v>5710</v>
      </c>
      <c r="Z1013" s="254"/>
      <c r="AA1013" s="254" t="s">
        <v>186</v>
      </c>
      <c r="AB1013" s="252"/>
      <c r="AC1013" s="255"/>
      <c r="AD1013" s="256" t="s">
        <v>188</v>
      </c>
      <c r="AE1013" s="256" t="s">
        <v>188</v>
      </c>
      <c r="AF1013" s="256" t="s">
        <v>188</v>
      </c>
      <c r="AG1013" s="258"/>
      <c r="AH1013" s="259"/>
      <c r="AI1013" s="259"/>
      <c r="AJ1013" s="260" t="s">
        <v>203</v>
      </c>
      <c r="AK1013" s="260" t="s">
        <v>190</v>
      </c>
      <c r="AL1013" s="260" t="s">
        <v>190</v>
      </c>
      <c r="AM1013" s="255" t="s">
        <v>5711</v>
      </c>
      <c r="AN1013" s="22">
        <v>182</v>
      </c>
      <c r="AO1013" s="22">
        <v>0</v>
      </c>
      <c r="AP1013" s="22">
        <v>0</v>
      </c>
      <c r="AQ1013" s="22">
        <v>0</v>
      </c>
      <c r="AR1013" s="22">
        <v>0</v>
      </c>
      <c r="AS1013" s="22">
        <v>7</v>
      </c>
      <c r="AT1013" s="22">
        <v>10</v>
      </c>
      <c r="AU1013" s="316">
        <f t="shared" si="166"/>
        <v>199</v>
      </c>
      <c r="AV1013" s="22">
        <v>190</v>
      </c>
      <c r="AW1013" s="22">
        <v>0</v>
      </c>
      <c r="AX1013" s="22">
        <v>0</v>
      </c>
      <c r="AY1013" s="22">
        <v>0</v>
      </c>
      <c r="AZ1013" s="22">
        <v>0</v>
      </c>
      <c r="BA1013" s="22">
        <v>7</v>
      </c>
      <c r="BB1013" s="22">
        <v>10</v>
      </c>
      <c r="BC1013" s="316">
        <f t="shared" si="167"/>
        <v>207</v>
      </c>
      <c r="BD1013" s="58">
        <f t="shared" si="168"/>
        <v>8</v>
      </c>
      <c r="BE1013" s="58">
        <f t="shared" si="169"/>
        <v>0</v>
      </c>
      <c r="BF1013" s="58">
        <f t="shared" si="170"/>
        <v>0</v>
      </c>
      <c r="BG1013" s="58">
        <f t="shared" si="171"/>
        <v>0</v>
      </c>
      <c r="BH1013" s="58">
        <f t="shared" si="172"/>
        <v>0</v>
      </c>
      <c r="BI1013" s="58">
        <f t="shared" si="173"/>
        <v>0</v>
      </c>
      <c r="BJ1013" s="58">
        <f t="shared" si="174"/>
        <v>0</v>
      </c>
      <c r="BK1013" s="58">
        <f t="shared" si="175"/>
        <v>8</v>
      </c>
    </row>
    <row r="1014" spans="1:63" ht="27" customHeight="1">
      <c r="A1014" s="238">
        <f t="shared" si="176"/>
        <v>1012</v>
      </c>
      <c r="B1014" s="239"/>
      <c r="C1014" s="239">
        <v>3446</v>
      </c>
      <c r="D1014" s="241" t="s">
        <v>5712</v>
      </c>
      <c r="E1014" s="242" t="s">
        <v>5713</v>
      </c>
      <c r="F1014" s="243" t="s">
        <v>723</v>
      </c>
      <c r="G1014" s="244" t="s">
        <v>5714</v>
      </c>
      <c r="H1014" s="245" t="s">
        <v>5634</v>
      </c>
      <c r="I1014" s="246" t="s">
        <v>5715</v>
      </c>
      <c r="J1014" s="247" t="s">
        <v>178</v>
      </c>
      <c r="K1014" s="248">
        <v>32984</v>
      </c>
      <c r="L1014" s="249" t="s">
        <v>179</v>
      </c>
      <c r="M1014" s="250">
        <v>43787</v>
      </c>
      <c r="N1014" s="250"/>
      <c r="O1014" s="250" t="s">
        <v>5716</v>
      </c>
      <c r="P1014" s="238" t="s">
        <v>5717</v>
      </c>
      <c r="Q1014" s="238" t="s">
        <v>181</v>
      </c>
      <c r="R1014" s="238" t="s">
        <v>182</v>
      </c>
      <c r="S1014" s="238" t="s">
        <v>219</v>
      </c>
      <c r="T1014" s="251"/>
      <c r="U1014" s="251"/>
      <c r="V1014" s="252" t="s">
        <v>184</v>
      </c>
      <c r="W1014" s="252" t="s">
        <v>184</v>
      </c>
      <c r="X1014" s="252">
        <v>6</v>
      </c>
      <c r="Y1014" s="253" t="s">
        <v>5718</v>
      </c>
      <c r="Z1014" s="254"/>
      <c r="AA1014" s="254" t="s">
        <v>186</v>
      </c>
      <c r="AB1014" s="252"/>
      <c r="AC1014" s="255"/>
      <c r="AD1014" s="256"/>
      <c r="AE1014" s="256"/>
      <c r="AF1014" s="257"/>
      <c r="AG1014" s="258"/>
      <c r="AH1014" s="259"/>
      <c r="AI1014" s="259"/>
      <c r="AJ1014" s="260" t="s">
        <v>203</v>
      </c>
      <c r="AK1014" s="260" t="s">
        <v>190</v>
      </c>
      <c r="AL1014" s="260" t="s">
        <v>190</v>
      </c>
      <c r="AM1014" s="255" t="s">
        <v>5711</v>
      </c>
      <c r="AN1014" s="22">
        <v>177</v>
      </c>
      <c r="AO1014" s="22">
        <v>0</v>
      </c>
      <c r="AP1014" s="22">
        <v>0</v>
      </c>
      <c r="AQ1014" s="22">
        <v>0</v>
      </c>
      <c r="AR1014" s="22">
        <v>0</v>
      </c>
      <c r="AS1014" s="22">
        <v>7</v>
      </c>
      <c r="AT1014" s="22">
        <v>10</v>
      </c>
      <c r="AU1014" s="316">
        <f t="shared" si="166"/>
        <v>194</v>
      </c>
      <c r="AV1014" s="22">
        <v>185</v>
      </c>
      <c r="AW1014" s="22">
        <v>0</v>
      </c>
      <c r="AX1014" s="22">
        <v>0</v>
      </c>
      <c r="AY1014" s="22">
        <v>0</v>
      </c>
      <c r="AZ1014" s="22">
        <v>0</v>
      </c>
      <c r="BA1014" s="22">
        <v>7</v>
      </c>
      <c r="BB1014" s="22">
        <v>10</v>
      </c>
      <c r="BC1014" s="316">
        <f t="shared" si="167"/>
        <v>202</v>
      </c>
      <c r="BD1014" s="58">
        <f t="shared" si="168"/>
        <v>8</v>
      </c>
      <c r="BE1014" s="58">
        <f t="shared" si="169"/>
        <v>0</v>
      </c>
      <c r="BF1014" s="58">
        <f t="shared" si="170"/>
        <v>0</v>
      </c>
      <c r="BG1014" s="58">
        <f t="shared" si="171"/>
        <v>0</v>
      </c>
      <c r="BH1014" s="58">
        <f t="shared" si="172"/>
        <v>0</v>
      </c>
      <c r="BI1014" s="58">
        <f t="shared" si="173"/>
        <v>0</v>
      </c>
      <c r="BJ1014" s="58">
        <f t="shared" si="174"/>
        <v>0</v>
      </c>
      <c r="BK1014" s="58">
        <f t="shared" si="175"/>
        <v>8</v>
      </c>
    </row>
    <row r="1015" spans="1:63" ht="27" customHeight="1">
      <c r="A1015" s="238">
        <f t="shared" si="176"/>
        <v>1013</v>
      </c>
      <c r="B1015" s="239"/>
      <c r="C1015" s="239">
        <v>3449</v>
      </c>
      <c r="D1015" s="241" t="s">
        <v>5719</v>
      </c>
      <c r="E1015" s="242" t="s">
        <v>5720</v>
      </c>
      <c r="F1015" s="243" t="s">
        <v>1796</v>
      </c>
      <c r="G1015" s="244" t="s">
        <v>1898</v>
      </c>
      <c r="H1015" s="245" t="s">
        <v>1798</v>
      </c>
      <c r="I1015" s="246" t="s">
        <v>1900</v>
      </c>
      <c r="J1015" s="247" t="s">
        <v>178</v>
      </c>
      <c r="K1015" s="248">
        <v>30142</v>
      </c>
      <c r="L1015" s="249" t="s">
        <v>179</v>
      </c>
      <c r="M1015" s="250">
        <v>43787</v>
      </c>
      <c r="N1015" s="250"/>
      <c r="O1015" s="250" t="s">
        <v>5721</v>
      </c>
      <c r="P1015" s="238" t="s">
        <v>34</v>
      </c>
      <c r="Q1015" s="238" t="s">
        <v>181</v>
      </c>
      <c r="R1015" s="238" t="s">
        <v>182</v>
      </c>
      <c r="S1015" s="238" t="s">
        <v>211</v>
      </c>
      <c r="T1015" s="251"/>
      <c r="U1015" s="251"/>
      <c r="V1015" s="252" t="s">
        <v>184</v>
      </c>
      <c r="W1015" s="252" t="s">
        <v>184</v>
      </c>
      <c r="X1015" s="252">
        <v>2</v>
      </c>
      <c r="Y1015" s="253" t="s">
        <v>5722</v>
      </c>
      <c r="Z1015" s="254"/>
      <c r="AA1015" s="254" t="s">
        <v>186</v>
      </c>
      <c r="AB1015" s="252"/>
      <c r="AC1015" s="255"/>
      <c r="AD1015" s="256"/>
      <c r="AE1015" s="256"/>
      <c r="AF1015" s="257"/>
      <c r="AG1015" s="258"/>
      <c r="AH1015" s="259"/>
      <c r="AI1015" s="259"/>
      <c r="AJ1015" s="260" t="s">
        <v>203</v>
      </c>
      <c r="AK1015" s="260" t="s">
        <v>190</v>
      </c>
      <c r="AL1015" s="260" t="s">
        <v>190</v>
      </c>
      <c r="AM1015" s="255" t="s">
        <v>5723</v>
      </c>
      <c r="AN1015" s="22">
        <v>177</v>
      </c>
      <c r="AO1015" s="22">
        <v>0</v>
      </c>
      <c r="AP1015" s="22">
        <v>0</v>
      </c>
      <c r="AQ1015" s="22">
        <v>0</v>
      </c>
      <c r="AR1015" s="22">
        <v>0</v>
      </c>
      <c r="AS1015" s="22">
        <v>7</v>
      </c>
      <c r="AT1015" s="22">
        <v>10</v>
      </c>
      <c r="AU1015" s="316">
        <f t="shared" si="166"/>
        <v>194</v>
      </c>
      <c r="AV1015" s="22">
        <v>185</v>
      </c>
      <c r="AW1015" s="22">
        <v>0</v>
      </c>
      <c r="AX1015" s="22">
        <v>0</v>
      </c>
      <c r="AY1015" s="22">
        <v>0</v>
      </c>
      <c r="AZ1015" s="22">
        <v>0</v>
      </c>
      <c r="BA1015" s="22">
        <v>7</v>
      </c>
      <c r="BB1015" s="22">
        <v>10</v>
      </c>
      <c r="BC1015" s="316">
        <f t="shared" si="167"/>
        <v>202</v>
      </c>
      <c r="BD1015" s="58">
        <f t="shared" si="168"/>
        <v>8</v>
      </c>
      <c r="BE1015" s="58">
        <f t="shared" si="169"/>
        <v>0</v>
      </c>
      <c r="BF1015" s="58">
        <f t="shared" si="170"/>
        <v>0</v>
      </c>
      <c r="BG1015" s="58">
        <f t="shared" si="171"/>
        <v>0</v>
      </c>
      <c r="BH1015" s="58">
        <f t="shared" si="172"/>
        <v>0</v>
      </c>
      <c r="BI1015" s="58">
        <f t="shared" si="173"/>
        <v>0</v>
      </c>
      <c r="BJ1015" s="58">
        <f t="shared" si="174"/>
        <v>0</v>
      </c>
      <c r="BK1015" s="58">
        <f t="shared" si="175"/>
        <v>8</v>
      </c>
    </row>
    <row r="1016" spans="1:63" ht="27" customHeight="1">
      <c r="A1016" s="238">
        <f t="shared" si="176"/>
        <v>1014</v>
      </c>
      <c r="B1016" s="239"/>
      <c r="C1016" s="239">
        <v>3448</v>
      </c>
      <c r="D1016" s="241" t="s">
        <v>2047</v>
      </c>
      <c r="E1016" s="242" t="s">
        <v>2048</v>
      </c>
      <c r="F1016" s="243" t="s">
        <v>1171</v>
      </c>
      <c r="G1016" s="244" t="s">
        <v>2049</v>
      </c>
      <c r="H1016" s="245" t="s">
        <v>1173</v>
      </c>
      <c r="I1016" s="246" t="s">
        <v>5724</v>
      </c>
      <c r="J1016" s="247" t="s">
        <v>178</v>
      </c>
      <c r="K1016" s="248">
        <v>32374</v>
      </c>
      <c r="L1016" s="249" t="s">
        <v>179</v>
      </c>
      <c r="M1016" s="250">
        <v>43787</v>
      </c>
      <c r="N1016" s="250"/>
      <c r="O1016" s="250" t="s">
        <v>3644</v>
      </c>
      <c r="P1016" s="250" t="s">
        <v>3569</v>
      </c>
      <c r="Q1016" s="238" t="s">
        <v>181</v>
      </c>
      <c r="R1016" s="238" t="s">
        <v>182</v>
      </c>
      <c r="S1016" s="238" t="s">
        <v>219</v>
      </c>
      <c r="T1016" s="251"/>
      <c r="U1016" s="251"/>
      <c r="V1016" s="252" t="s">
        <v>184</v>
      </c>
      <c r="W1016" s="252" t="s">
        <v>184</v>
      </c>
      <c r="X1016" s="252">
        <v>3</v>
      </c>
      <c r="Y1016" s="253" t="s">
        <v>5725</v>
      </c>
      <c r="Z1016" s="254"/>
      <c r="AA1016" s="254" t="s">
        <v>186</v>
      </c>
      <c r="AB1016" s="252"/>
      <c r="AC1016" s="255" t="s">
        <v>202</v>
      </c>
      <c r="AD1016" s="256" t="s">
        <v>3607</v>
      </c>
      <c r="AE1016" s="256" t="s">
        <v>3607</v>
      </c>
      <c r="AF1016" s="257"/>
      <c r="AG1016" s="258"/>
      <c r="AH1016" s="259"/>
      <c r="AI1016" s="259"/>
      <c r="AJ1016" s="260" t="s">
        <v>203</v>
      </c>
      <c r="AK1016" s="260" t="s">
        <v>190</v>
      </c>
      <c r="AL1016" s="260" t="s">
        <v>190</v>
      </c>
      <c r="AM1016" s="255" t="s">
        <v>5726</v>
      </c>
      <c r="AN1016" s="22">
        <v>182</v>
      </c>
      <c r="AO1016" s="22">
        <v>0</v>
      </c>
      <c r="AP1016" s="22">
        <v>0</v>
      </c>
      <c r="AQ1016" s="22">
        <v>0</v>
      </c>
      <c r="AR1016" s="22">
        <v>0</v>
      </c>
      <c r="AS1016" s="22">
        <v>7</v>
      </c>
      <c r="AT1016" s="22">
        <v>10</v>
      </c>
      <c r="AU1016" s="316">
        <f t="shared" si="166"/>
        <v>199</v>
      </c>
      <c r="AV1016" s="22">
        <v>190</v>
      </c>
      <c r="AW1016" s="22">
        <v>0</v>
      </c>
      <c r="AX1016" s="22">
        <v>0</v>
      </c>
      <c r="AY1016" s="22">
        <v>0</v>
      </c>
      <c r="AZ1016" s="22">
        <v>0</v>
      </c>
      <c r="BA1016" s="22">
        <v>7</v>
      </c>
      <c r="BB1016" s="22">
        <v>10</v>
      </c>
      <c r="BC1016" s="316">
        <f t="shared" si="167"/>
        <v>207</v>
      </c>
      <c r="BD1016" s="58">
        <f t="shared" si="168"/>
        <v>8</v>
      </c>
      <c r="BE1016" s="58">
        <f t="shared" si="169"/>
        <v>0</v>
      </c>
      <c r="BF1016" s="58">
        <f t="shared" si="170"/>
        <v>0</v>
      </c>
      <c r="BG1016" s="58">
        <f t="shared" si="171"/>
        <v>0</v>
      </c>
      <c r="BH1016" s="58">
        <f t="shared" si="172"/>
        <v>0</v>
      </c>
      <c r="BI1016" s="58">
        <f t="shared" si="173"/>
        <v>0</v>
      </c>
      <c r="BJ1016" s="58">
        <f t="shared" si="174"/>
        <v>0</v>
      </c>
      <c r="BK1016" s="58">
        <f t="shared" si="175"/>
        <v>8</v>
      </c>
    </row>
    <row r="1017" spans="1:63" ht="27" customHeight="1">
      <c r="A1017" s="238">
        <f t="shared" si="176"/>
        <v>1015</v>
      </c>
      <c r="B1017" s="239"/>
      <c r="C1017" s="239">
        <v>3438</v>
      </c>
      <c r="D1017" s="241" t="s">
        <v>5727</v>
      </c>
      <c r="E1017" s="242" t="s">
        <v>5728</v>
      </c>
      <c r="F1017" s="243" t="s">
        <v>5729</v>
      </c>
      <c r="G1017" s="244" t="s">
        <v>5730</v>
      </c>
      <c r="H1017" s="245" t="s">
        <v>5731</v>
      </c>
      <c r="I1017" s="246" t="s">
        <v>5732</v>
      </c>
      <c r="J1017" s="247" t="s">
        <v>178</v>
      </c>
      <c r="K1017" s="248">
        <v>30970</v>
      </c>
      <c r="L1017" s="249" t="s">
        <v>179</v>
      </c>
      <c r="M1017" s="250">
        <v>43770</v>
      </c>
      <c r="N1017" s="250"/>
      <c r="O1017" s="250" t="s">
        <v>3644</v>
      </c>
      <c r="P1017" s="250" t="s">
        <v>3537</v>
      </c>
      <c r="Q1017" s="238" t="s">
        <v>181</v>
      </c>
      <c r="R1017" s="238" t="s">
        <v>182</v>
      </c>
      <c r="S1017" s="238" t="s">
        <v>228</v>
      </c>
      <c r="T1017" s="251"/>
      <c r="U1017" s="251"/>
      <c r="V1017" s="252" t="s">
        <v>184</v>
      </c>
      <c r="W1017" s="252" t="s">
        <v>184</v>
      </c>
      <c r="X1017" s="252">
        <v>3</v>
      </c>
      <c r="Y1017" s="253" t="s">
        <v>5733</v>
      </c>
      <c r="Z1017" s="254"/>
      <c r="AA1017" s="254" t="s">
        <v>186</v>
      </c>
      <c r="AB1017" s="252"/>
      <c r="AC1017" s="255" t="s">
        <v>425</v>
      </c>
      <c r="AD1017" s="256" t="s">
        <v>188</v>
      </c>
      <c r="AE1017" s="256" t="s">
        <v>188</v>
      </c>
      <c r="AF1017" s="257"/>
      <c r="AG1017" s="258"/>
      <c r="AH1017" s="259"/>
      <c r="AI1017" s="259"/>
      <c r="AJ1017" s="260" t="s">
        <v>203</v>
      </c>
      <c r="AK1017" s="260" t="s">
        <v>190</v>
      </c>
      <c r="AL1017" s="260" t="s">
        <v>190</v>
      </c>
      <c r="AM1017" s="255" t="s">
        <v>5723</v>
      </c>
      <c r="AN1017" s="22">
        <v>182</v>
      </c>
      <c r="AO1017" s="22">
        <v>0</v>
      </c>
      <c r="AP1017" s="22">
        <v>0</v>
      </c>
      <c r="AQ1017" s="22">
        <v>0</v>
      </c>
      <c r="AR1017" s="22">
        <v>0</v>
      </c>
      <c r="AS1017" s="22">
        <v>7</v>
      </c>
      <c r="AT1017" s="22">
        <v>10</v>
      </c>
      <c r="AU1017" s="316">
        <f t="shared" si="166"/>
        <v>199</v>
      </c>
      <c r="AV1017" s="22">
        <v>190</v>
      </c>
      <c r="AW1017" s="22">
        <v>0</v>
      </c>
      <c r="AX1017" s="22">
        <v>0</v>
      </c>
      <c r="AY1017" s="22">
        <v>0</v>
      </c>
      <c r="AZ1017" s="22">
        <v>0</v>
      </c>
      <c r="BA1017" s="22">
        <v>7</v>
      </c>
      <c r="BB1017" s="22">
        <v>10</v>
      </c>
      <c r="BC1017" s="316">
        <f t="shared" si="167"/>
        <v>207</v>
      </c>
      <c r="BD1017" s="58">
        <f t="shared" si="168"/>
        <v>8</v>
      </c>
      <c r="BE1017" s="58">
        <f t="shared" si="169"/>
        <v>0</v>
      </c>
      <c r="BF1017" s="58">
        <f t="shared" si="170"/>
        <v>0</v>
      </c>
      <c r="BG1017" s="58">
        <f t="shared" si="171"/>
        <v>0</v>
      </c>
      <c r="BH1017" s="58">
        <f t="shared" si="172"/>
        <v>0</v>
      </c>
      <c r="BI1017" s="58">
        <f t="shared" si="173"/>
        <v>0</v>
      </c>
      <c r="BJ1017" s="58">
        <f t="shared" si="174"/>
        <v>0</v>
      </c>
      <c r="BK1017" s="58">
        <f t="shared" si="175"/>
        <v>8</v>
      </c>
    </row>
    <row r="1018" spans="1:63" ht="27" customHeight="1">
      <c r="A1018" s="238">
        <f t="shared" si="176"/>
        <v>1016</v>
      </c>
      <c r="B1018" s="239"/>
      <c r="C1018" s="239">
        <v>3450</v>
      </c>
      <c r="D1018" s="241" t="s">
        <v>5734</v>
      </c>
      <c r="E1018" s="242" t="s">
        <v>5735</v>
      </c>
      <c r="F1018" s="243" t="s">
        <v>5736</v>
      </c>
      <c r="G1018" s="244" t="s">
        <v>3210</v>
      </c>
      <c r="H1018" s="245" t="s">
        <v>5737</v>
      </c>
      <c r="I1018" s="246" t="s">
        <v>5738</v>
      </c>
      <c r="J1018" s="247" t="s">
        <v>178</v>
      </c>
      <c r="K1018" s="248">
        <v>31298</v>
      </c>
      <c r="L1018" s="249" t="s">
        <v>179</v>
      </c>
      <c r="M1018" s="250">
        <v>43788</v>
      </c>
      <c r="N1018" s="250"/>
      <c r="O1018" s="250" t="s">
        <v>3644</v>
      </c>
      <c r="P1018" s="250" t="s">
        <v>3537</v>
      </c>
      <c r="Q1018" s="238" t="s">
        <v>181</v>
      </c>
      <c r="R1018" s="238" t="s">
        <v>182</v>
      </c>
      <c r="S1018" s="238" t="s">
        <v>256</v>
      </c>
      <c r="T1018" s="251"/>
      <c r="U1018" s="251"/>
      <c r="V1018" s="252" t="s">
        <v>200</v>
      </c>
      <c r="W1018" s="252">
        <v>1055</v>
      </c>
      <c r="X1018" s="252">
        <v>5</v>
      </c>
      <c r="Y1018" s="253" t="s">
        <v>5739</v>
      </c>
      <c r="Z1018" s="254"/>
      <c r="AA1018" s="254" t="s">
        <v>186</v>
      </c>
      <c r="AB1018" s="252"/>
      <c r="AC1018" s="255"/>
      <c r="AD1018" s="256"/>
      <c r="AE1018" s="256"/>
      <c r="AF1018" s="257"/>
      <c r="AG1018" s="258"/>
      <c r="AH1018" s="259"/>
      <c r="AI1018" s="259"/>
      <c r="AJ1018" s="260" t="s">
        <v>203</v>
      </c>
      <c r="AK1018" s="260" t="s">
        <v>190</v>
      </c>
      <c r="AL1018" s="260" t="s">
        <v>190</v>
      </c>
      <c r="AM1018" s="255" t="s">
        <v>5740</v>
      </c>
      <c r="AN1018" s="22">
        <v>182</v>
      </c>
      <c r="AO1018" s="22">
        <v>0</v>
      </c>
      <c r="AP1018" s="22">
        <v>0</v>
      </c>
      <c r="AQ1018" s="22">
        <v>0</v>
      </c>
      <c r="AR1018" s="22">
        <v>0</v>
      </c>
      <c r="AS1018" s="22">
        <v>7</v>
      </c>
      <c r="AT1018" s="22">
        <v>10</v>
      </c>
      <c r="AU1018" s="316">
        <f t="shared" si="166"/>
        <v>199</v>
      </c>
      <c r="AV1018" s="22">
        <v>190</v>
      </c>
      <c r="AW1018" s="22">
        <v>0</v>
      </c>
      <c r="AX1018" s="22">
        <v>0</v>
      </c>
      <c r="AY1018" s="22">
        <v>0</v>
      </c>
      <c r="AZ1018" s="22">
        <v>0</v>
      </c>
      <c r="BA1018" s="22">
        <v>7</v>
      </c>
      <c r="BB1018" s="22">
        <v>10</v>
      </c>
      <c r="BC1018" s="316">
        <f t="shared" si="167"/>
        <v>207</v>
      </c>
      <c r="BD1018" s="58">
        <f t="shared" si="168"/>
        <v>8</v>
      </c>
      <c r="BE1018" s="58">
        <f t="shared" si="169"/>
        <v>0</v>
      </c>
      <c r="BF1018" s="58">
        <f t="shared" si="170"/>
        <v>0</v>
      </c>
      <c r="BG1018" s="58">
        <f t="shared" si="171"/>
        <v>0</v>
      </c>
      <c r="BH1018" s="58">
        <f t="shared" si="172"/>
        <v>0</v>
      </c>
      <c r="BI1018" s="58">
        <f t="shared" si="173"/>
        <v>0</v>
      </c>
      <c r="BJ1018" s="58">
        <f t="shared" si="174"/>
        <v>0</v>
      </c>
      <c r="BK1018" s="58">
        <f t="shared" si="175"/>
        <v>8</v>
      </c>
    </row>
    <row r="1019" spans="1:63" ht="27" customHeight="1">
      <c r="A1019" s="238">
        <f t="shared" si="176"/>
        <v>1017</v>
      </c>
      <c r="B1019" s="239"/>
      <c r="C1019" s="239">
        <v>3423</v>
      </c>
      <c r="D1019" s="241" t="s">
        <v>5741</v>
      </c>
      <c r="E1019" s="242" t="s">
        <v>5742</v>
      </c>
      <c r="F1019" s="243" t="s">
        <v>5743</v>
      </c>
      <c r="G1019" s="244" t="s">
        <v>5744</v>
      </c>
      <c r="H1019" s="245" t="s">
        <v>4612</v>
      </c>
      <c r="I1019" s="246" t="s">
        <v>5745</v>
      </c>
      <c r="J1019" s="247" t="s">
        <v>209</v>
      </c>
      <c r="K1019" s="248">
        <v>33640</v>
      </c>
      <c r="L1019" s="249" t="s">
        <v>179</v>
      </c>
      <c r="M1019" s="250">
        <v>43771</v>
      </c>
      <c r="N1019" s="250"/>
      <c r="O1019" s="250" t="s">
        <v>3537</v>
      </c>
      <c r="P1019" s="238" t="s">
        <v>34</v>
      </c>
      <c r="Q1019" s="238" t="s">
        <v>181</v>
      </c>
      <c r="R1019" s="238" t="s">
        <v>182</v>
      </c>
      <c r="S1019" s="238" t="s">
        <v>256</v>
      </c>
      <c r="T1019" s="251"/>
      <c r="U1019" s="251"/>
      <c r="V1019" s="252" t="s">
        <v>200</v>
      </c>
      <c r="W1019" s="252" t="s">
        <v>184</v>
      </c>
      <c r="X1019" s="252">
        <v>9</v>
      </c>
      <c r="Y1019" s="253" t="s">
        <v>5746</v>
      </c>
      <c r="Z1019" s="254" t="s">
        <v>186</v>
      </c>
      <c r="AA1019" s="254"/>
      <c r="AB1019" s="252"/>
      <c r="AC1019" s="255"/>
      <c r="AD1019" s="256"/>
      <c r="AE1019" s="256"/>
      <c r="AF1019" s="257"/>
      <c r="AG1019" s="258"/>
      <c r="AH1019" s="259"/>
      <c r="AI1019" s="259"/>
      <c r="AJ1019" s="260" t="s">
        <v>203</v>
      </c>
      <c r="AK1019" s="260" t="s">
        <v>190</v>
      </c>
      <c r="AL1019" s="260" t="s">
        <v>190</v>
      </c>
      <c r="AM1019" s="255" t="s">
        <v>5747</v>
      </c>
      <c r="AN1019" s="22">
        <v>177</v>
      </c>
      <c r="AO1019" s="22">
        <v>0</v>
      </c>
      <c r="AP1019" s="22">
        <v>0</v>
      </c>
      <c r="AQ1019" s="22">
        <v>0</v>
      </c>
      <c r="AR1019" s="22">
        <v>0</v>
      </c>
      <c r="AS1019" s="22">
        <v>7</v>
      </c>
      <c r="AT1019" s="22">
        <v>10</v>
      </c>
      <c r="AU1019" s="316">
        <f t="shared" si="166"/>
        <v>194</v>
      </c>
      <c r="AV1019" s="22">
        <v>185</v>
      </c>
      <c r="AW1019" s="22">
        <v>0</v>
      </c>
      <c r="AX1019" s="22">
        <v>0</v>
      </c>
      <c r="AY1019" s="22">
        <v>0</v>
      </c>
      <c r="AZ1019" s="22">
        <v>0</v>
      </c>
      <c r="BA1019" s="22">
        <v>7</v>
      </c>
      <c r="BB1019" s="22">
        <v>10</v>
      </c>
      <c r="BC1019" s="316">
        <f t="shared" si="167"/>
        <v>202</v>
      </c>
      <c r="BD1019" s="58">
        <f t="shared" si="168"/>
        <v>8</v>
      </c>
      <c r="BE1019" s="58">
        <f t="shared" si="169"/>
        <v>0</v>
      </c>
      <c r="BF1019" s="58">
        <f t="shared" si="170"/>
        <v>0</v>
      </c>
      <c r="BG1019" s="58">
        <f t="shared" si="171"/>
        <v>0</v>
      </c>
      <c r="BH1019" s="58">
        <f t="shared" si="172"/>
        <v>0</v>
      </c>
      <c r="BI1019" s="58">
        <f t="shared" si="173"/>
        <v>0</v>
      </c>
      <c r="BJ1019" s="58">
        <f t="shared" si="174"/>
        <v>0</v>
      </c>
      <c r="BK1019" s="58">
        <f t="shared" si="175"/>
        <v>8</v>
      </c>
    </row>
    <row r="1020" spans="1:63" ht="27" customHeight="1">
      <c r="A1020" s="238">
        <f t="shared" si="176"/>
        <v>1018</v>
      </c>
      <c r="B1020" s="239"/>
      <c r="C1020" s="239">
        <v>3426</v>
      </c>
      <c r="D1020" s="241" t="s">
        <v>5748</v>
      </c>
      <c r="E1020" s="242" t="s">
        <v>5749</v>
      </c>
      <c r="F1020" s="243" t="s">
        <v>4561</v>
      </c>
      <c r="G1020" s="244" t="s">
        <v>5750</v>
      </c>
      <c r="H1020" s="245" t="s">
        <v>3897</v>
      </c>
      <c r="I1020" s="246" t="s">
        <v>5751</v>
      </c>
      <c r="J1020" s="247" t="s">
        <v>209</v>
      </c>
      <c r="K1020" s="248">
        <v>34765</v>
      </c>
      <c r="L1020" s="249" t="s">
        <v>179</v>
      </c>
      <c r="M1020" s="250">
        <v>43771</v>
      </c>
      <c r="N1020" s="250"/>
      <c r="O1020" s="250" t="s">
        <v>3573</v>
      </c>
      <c r="P1020" s="238" t="s">
        <v>5752</v>
      </c>
      <c r="Q1020" s="238" t="s">
        <v>181</v>
      </c>
      <c r="R1020" s="238" t="s">
        <v>182</v>
      </c>
      <c r="S1020" s="238" t="s">
        <v>256</v>
      </c>
      <c r="T1020" s="251"/>
      <c r="U1020" s="251"/>
      <c r="V1020" s="252" t="s">
        <v>184</v>
      </c>
      <c r="W1020" s="252" t="s">
        <v>184</v>
      </c>
      <c r="X1020" s="252">
        <v>8</v>
      </c>
      <c r="Y1020" s="253" t="s">
        <v>5753</v>
      </c>
      <c r="Z1020" s="254" t="s">
        <v>186</v>
      </c>
      <c r="AA1020" s="254"/>
      <c r="AB1020" s="252"/>
      <c r="AC1020" s="255"/>
      <c r="AD1020" s="256"/>
      <c r="AE1020" s="256"/>
      <c r="AF1020" s="257"/>
      <c r="AG1020" s="258"/>
      <c r="AH1020" s="259"/>
      <c r="AI1020" s="259"/>
      <c r="AJ1020" s="260" t="s">
        <v>203</v>
      </c>
      <c r="AK1020" s="260" t="s">
        <v>190</v>
      </c>
      <c r="AL1020" s="260" t="s">
        <v>190</v>
      </c>
      <c r="AM1020" s="255" t="s">
        <v>5740</v>
      </c>
      <c r="AN1020" s="22">
        <v>177</v>
      </c>
      <c r="AO1020" s="22">
        <v>0</v>
      </c>
      <c r="AP1020" s="22">
        <v>0</v>
      </c>
      <c r="AQ1020" s="22">
        <v>0</v>
      </c>
      <c r="AR1020" s="22">
        <v>0</v>
      </c>
      <c r="AS1020" s="22">
        <v>7</v>
      </c>
      <c r="AT1020" s="22">
        <v>10</v>
      </c>
      <c r="AU1020" s="316">
        <f t="shared" si="166"/>
        <v>194</v>
      </c>
      <c r="AV1020" s="22">
        <v>185</v>
      </c>
      <c r="AW1020" s="22">
        <v>0</v>
      </c>
      <c r="AX1020" s="22">
        <v>0</v>
      </c>
      <c r="AY1020" s="22">
        <v>0</v>
      </c>
      <c r="AZ1020" s="22">
        <v>0</v>
      </c>
      <c r="BA1020" s="22">
        <v>7</v>
      </c>
      <c r="BB1020" s="22">
        <v>10</v>
      </c>
      <c r="BC1020" s="316">
        <f t="shared" si="167"/>
        <v>202</v>
      </c>
      <c r="BD1020" s="58">
        <f t="shared" si="168"/>
        <v>8</v>
      </c>
      <c r="BE1020" s="58">
        <f t="shared" si="169"/>
        <v>0</v>
      </c>
      <c r="BF1020" s="58">
        <f t="shared" si="170"/>
        <v>0</v>
      </c>
      <c r="BG1020" s="58">
        <f t="shared" si="171"/>
        <v>0</v>
      </c>
      <c r="BH1020" s="58">
        <f t="shared" si="172"/>
        <v>0</v>
      </c>
      <c r="BI1020" s="58">
        <f t="shared" si="173"/>
        <v>0</v>
      </c>
      <c r="BJ1020" s="58">
        <f t="shared" si="174"/>
        <v>0</v>
      </c>
      <c r="BK1020" s="58">
        <f t="shared" si="175"/>
        <v>8</v>
      </c>
    </row>
    <row r="1021" spans="1:63" ht="27" customHeight="1">
      <c r="A1021" s="238">
        <f t="shared" si="176"/>
        <v>1019</v>
      </c>
      <c r="B1021" s="239"/>
      <c r="C1021" s="239">
        <v>3439</v>
      </c>
      <c r="D1021" s="241" t="s">
        <v>5754</v>
      </c>
      <c r="E1021" s="242" t="s">
        <v>5755</v>
      </c>
      <c r="F1021" s="243" t="s">
        <v>5756</v>
      </c>
      <c r="G1021" s="244" t="s">
        <v>2285</v>
      </c>
      <c r="H1021" s="245" t="s">
        <v>5757</v>
      </c>
      <c r="I1021" s="246" t="s">
        <v>5758</v>
      </c>
      <c r="J1021" s="247" t="s">
        <v>178</v>
      </c>
      <c r="K1021" s="248">
        <v>36567</v>
      </c>
      <c r="L1021" s="249" t="s">
        <v>179</v>
      </c>
      <c r="M1021" s="250">
        <v>43785</v>
      </c>
      <c r="N1021" s="250"/>
      <c r="O1021" s="250" t="s">
        <v>5759</v>
      </c>
      <c r="P1021" s="238" t="s">
        <v>34</v>
      </c>
      <c r="Q1021" s="238" t="s">
        <v>181</v>
      </c>
      <c r="R1021" s="238" t="s">
        <v>182</v>
      </c>
      <c r="S1021" s="238" t="s">
        <v>211</v>
      </c>
      <c r="T1021" s="251"/>
      <c r="U1021" s="251"/>
      <c r="V1021" s="252" t="s">
        <v>184</v>
      </c>
      <c r="W1021" s="252" t="s">
        <v>184</v>
      </c>
      <c r="X1021" s="252">
        <v>8</v>
      </c>
      <c r="Y1021" s="253" t="s">
        <v>5760</v>
      </c>
      <c r="Z1021" s="254" t="s">
        <v>186</v>
      </c>
      <c r="AA1021" s="254"/>
      <c r="AB1021" s="252"/>
      <c r="AC1021" s="255"/>
      <c r="AD1021" s="256"/>
      <c r="AE1021" s="256"/>
      <c r="AF1021" s="257"/>
      <c r="AG1021" s="258"/>
      <c r="AH1021" s="259"/>
      <c r="AI1021" s="259"/>
      <c r="AJ1021" s="260" t="s">
        <v>203</v>
      </c>
      <c r="AK1021" s="260" t="s">
        <v>190</v>
      </c>
      <c r="AL1021" s="260" t="s">
        <v>190</v>
      </c>
      <c r="AM1021" s="255" t="s">
        <v>5747</v>
      </c>
      <c r="AN1021" s="22">
        <v>177</v>
      </c>
      <c r="AO1021" s="22">
        <v>0</v>
      </c>
      <c r="AP1021" s="22">
        <v>0</v>
      </c>
      <c r="AQ1021" s="22">
        <v>0</v>
      </c>
      <c r="AR1021" s="22">
        <v>0</v>
      </c>
      <c r="AS1021" s="22">
        <v>7</v>
      </c>
      <c r="AT1021" s="22">
        <v>10</v>
      </c>
      <c r="AU1021" s="316">
        <f t="shared" si="166"/>
        <v>194</v>
      </c>
      <c r="AV1021" s="22">
        <v>185</v>
      </c>
      <c r="AW1021" s="22">
        <v>0</v>
      </c>
      <c r="AX1021" s="22">
        <v>0</v>
      </c>
      <c r="AY1021" s="22">
        <v>0</v>
      </c>
      <c r="AZ1021" s="22">
        <v>0</v>
      </c>
      <c r="BA1021" s="22">
        <v>7</v>
      </c>
      <c r="BB1021" s="22">
        <v>10</v>
      </c>
      <c r="BC1021" s="316">
        <f t="shared" si="167"/>
        <v>202</v>
      </c>
      <c r="BD1021" s="58">
        <f t="shared" si="168"/>
        <v>8</v>
      </c>
      <c r="BE1021" s="58">
        <f t="shared" si="169"/>
        <v>0</v>
      </c>
      <c r="BF1021" s="58">
        <f t="shared" si="170"/>
        <v>0</v>
      </c>
      <c r="BG1021" s="58">
        <f t="shared" si="171"/>
        <v>0</v>
      </c>
      <c r="BH1021" s="58">
        <f t="shared" si="172"/>
        <v>0</v>
      </c>
      <c r="BI1021" s="58">
        <f t="shared" si="173"/>
        <v>0</v>
      </c>
      <c r="BJ1021" s="58">
        <f t="shared" si="174"/>
        <v>0</v>
      </c>
      <c r="BK1021" s="58">
        <f t="shared" si="175"/>
        <v>8</v>
      </c>
    </row>
    <row r="1022" spans="1:63" ht="27" customHeight="1">
      <c r="A1022" s="238">
        <f t="shared" si="176"/>
        <v>1020</v>
      </c>
      <c r="B1022" s="239"/>
      <c r="C1022" s="239">
        <v>3433</v>
      </c>
      <c r="D1022" s="241" t="s">
        <v>5761</v>
      </c>
      <c r="E1022" s="242" t="s">
        <v>5762</v>
      </c>
      <c r="F1022" s="243" t="s">
        <v>457</v>
      </c>
      <c r="G1022" s="244" t="s">
        <v>360</v>
      </c>
      <c r="H1022" s="245" t="s">
        <v>5763</v>
      </c>
      <c r="I1022" s="246" t="s">
        <v>581</v>
      </c>
      <c r="J1022" s="247" t="s">
        <v>178</v>
      </c>
      <c r="K1022" s="248">
        <v>30297</v>
      </c>
      <c r="L1022" s="249" t="s">
        <v>179</v>
      </c>
      <c r="M1022" s="250">
        <v>43774</v>
      </c>
      <c r="N1022" s="250"/>
      <c r="O1022" s="250" t="s">
        <v>5764</v>
      </c>
      <c r="P1022" s="238" t="s">
        <v>5764</v>
      </c>
      <c r="Q1022" s="238" t="s">
        <v>181</v>
      </c>
      <c r="R1022" s="238" t="s">
        <v>3960</v>
      </c>
      <c r="S1022" s="238" t="s">
        <v>228</v>
      </c>
      <c r="T1022" s="251"/>
      <c r="U1022" s="308">
        <v>43788</v>
      </c>
      <c r="V1022" s="252" t="s">
        <v>200</v>
      </c>
      <c r="W1022" s="252">
        <v>8888</v>
      </c>
      <c r="X1022" s="252">
        <v>3</v>
      </c>
      <c r="Y1022" s="253" t="s">
        <v>5765</v>
      </c>
      <c r="Z1022" s="254"/>
      <c r="AA1022" s="254" t="s">
        <v>186</v>
      </c>
      <c r="AB1022" s="252"/>
      <c r="AC1022" s="255"/>
      <c r="AD1022" s="256"/>
      <c r="AE1022" s="256"/>
      <c r="AF1022" s="257"/>
      <c r="AG1022" s="258"/>
      <c r="AH1022" s="259"/>
      <c r="AI1022" s="259"/>
      <c r="AJ1022" s="260" t="s">
        <v>203</v>
      </c>
      <c r="AK1022" s="260" t="s">
        <v>190</v>
      </c>
      <c r="AL1022" s="260" t="s">
        <v>190</v>
      </c>
      <c r="AM1022" s="255" t="s">
        <v>5766</v>
      </c>
      <c r="AN1022" s="22">
        <v>182</v>
      </c>
      <c r="AO1022" s="22">
        <v>0</v>
      </c>
      <c r="AP1022" s="22">
        <v>0</v>
      </c>
      <c r="AQ1022" s="22">
        <v>0</v>
      </c>
      <c r="AR1022" s="22">
        <v>0</v>
      </c>
      <c r="AS1022" s="22">
        <v>7</v>
      </c>
      <c r="AT1022" s="22">
        <v>10</v>
      </c>
      <c r="AU1022" s="316">
        <f t="shared" si="166"/>
        <v>199</v>
      </c>
      <c r="AV1022" s="22">
        <v>190</v>
      </c>
      <c r="AW1022" s="22">
        <v>0</v>
      </c>
      <c r="AX1022" s="22">
        <v>0</v>
      </c>
      <c r="AY1022" s="22">
        <v>0</v>
      </c>
      <c r="AZ1022" s="22">
        <v>0</v>
      </c>
      <c r="BA1022" s="22">
        <v>7</v>
      </c>
      <c r="BB1022" s="22">
        <v>10</v>
      </c>
      <c r="BC1022" s="316">
        <f t="shared" si="167"/>
        <v>207</v>
      </c>
      <c r="BD1022" s="58">
        <f t="shared" si="168"/>
        <v>8</v>
      </c>
      <c r="BE1022" s="58">
        <f t="shared" si="169"/>
        <v>0</v>
      </c>
      <c r="BF1022" s="58">
        <f t="shared" si="170"/>
        <v>0</v>
      </c>
      <c r="BG1022" s="58">
        <f t="shared" si="171"/>
        <v>0</v>
      </c>
      <c r="BH1022" s="58">
        <f t="shared" si="172"/>
        <v>0</v>
      </c>
      <c r="BI1022" s="58">
        <f t="shared" si="173"/>
        <v>0</v>
      </c>
      <c r="BJ1022" s="58">
        <f t="shared" si="174"/>
        <v>0</v>
      </c>
      <c r="BK1022" s="58">
        <f t="shared" si="175"/>
        <v>8</v>
      </c>
    </row>
    <row r="1023" spans="1:63" ht="27" customHeight="1">
      <c r="A1023" s="238">
        <f t="shared" si="176"/>
        <v>1021</v>
      </c>
      <c r="B1023" s="239"/>
      <c r="C1023" s="239">
        <v>3432</v>
      </c>
      <c r="D1023" s="241" t="s">
        <v>5767</v>
      </c>
      <c r="E1023" s="242" t="s">
        <v>5768</v>
      </c>
      <c r="F1023" s="243" t="s">
        <v>5769</v>
      </c>
      <c r="G1023" s="244" t="s">
        <v>2890</v>
      </c>
      <c r="H1023" s="245" t="s">
        <v>5387</v>
      </c>
      <c r="I1023" s="246" t="s">
        <v>5770</v>
      </c>
      <c r="J1023" s="247" t="s">
        <v>178</v>
      </c>
      <c r="K1023" s="248">
        <v>30323</v>
      </c>
      <c r="L1023" s="249" t="s">
        <v>179</v>
      </c>
      <c r="M1023" s="250">
        <v>43774</v>
      </c>
      <c r="N1023" s="250"/>
      <c r="O1023" s="250" t="s">
        <v>5764</v>
      </c>
      <c r="P1023" s="238" t="s">
        <v>5764</v>
      </c>
      <c r="Q1023" s="238" t="s">
        <v>181</v>
      </c>
      <c r="R1023" s="238" t="s">
        <v>182</v>
      </c>
      <c r="S1023" s="238" t="s">
        <v>228</v>
      </c>
      <c r="T1023" s="251"/>
      <c r="U1023" s="251"/>
      <c r="V1023" s="252" t="s">
        <v>200</v>
      </c>
      <c r="W1023" s="252">
        <v>592</v>
      </c>
      <c r="X1023" s="252">
        <v>8</v>
      </c>
      <c r="Y1023" s="253" t="s">
        <v>5771</v>
      </c>
      <c r="Z1023" s="254"/>
      <c r="AA1023" s="254" t="s">
        <v>186</v>
      </c>
      <c r="AB1023" s="252"/>
      <c r="AC1023" s="255"/>
      <c r="AD1023" s="256"/>
      <c r="AE1023" s="256"/>
      <c r="AF1023" s="257"/>
      <c r="AG1023" s="258"/>
      <c r="AH1023" s="259"/>
      <c r="AI1023" s="259"/>
      <c r="AJ1023" s="260" t="s">
        <v>203</v>
      </c>
      <c r="AK1023" s="260" t="s">
        <v>190</v>
      </c>
      <c r="AL1023" s="260" t="s">
        <v>190</v>
      </c>
      <c r="AM1023" s="255" t="s">
        <v>5766</v>
      </c>
      <c r="AN1023" s="22">
        <v>177</v>
      </c>
      <c r="AO1023" s="22">
        <v>0</v>
      </c>
      <c r="AP1023" s="22">
        <v>0</v>
      </c>
      <c r="AQ1023" s="22">
        <v>0</v>
      </c>
      <c r="AR1023" s="22">
        <v>0</v>
      </c>
      <c r="AS1023" s="22">
        <v>7</v>
      </c>
      <c r="AT1023" s="22">
        <v>10</v>
      </c>
      <c r="AU1023" s="316">
        <f t="shared" si="166"/>
        <v>194</v>
      </c>
      <c r="AV1023" s="22">
        <v>185</v>
      </c>
      <c r="AW1023" s="22">
        <v>0</v>
      </c>
      <c r="AX1023" s="22">
        <v>0</v>
      </c>
      <c r="AY1023" s="22">
        <v>0</v>
      </c>
      <c r="AZ1023" s="22">
        <v>0</v>
      </c>
      <c r="BA1023" s="22">
        <v>7</v>
      </c>
      <c r="BB1023" s="22">
        <v>10</v>
      </c>
      <c r="BC1023" s="316">
        <f t="shared" si="167"/>
        <v>202</v>
      </c>
      <c r="BD1023" s="58">
        <f t="shared" si="168"/>
        <v>8</v>
      </c>
      <c r="BE1023" s="58">
        <f t="shared" si="169"/>
        <v>0</v>
      </c>
      <c r="BF1023" s="58">
        <f t="shared" si="170"/>
        <v>0</v>
      </c>
      <c r="BG1023" s="58">
        <f t="shared" si="171"/>
        <v>0</v>
      </c>
      <c r="BH1023" s="58">
        <f t="shared" si="172"/>
        <v>0</v>
      </c>
      <c r="BI1023" s="58">
        <f t="shared" si="173"/>
        <v>0</v>
      </c>
      <c r="BJ1023" s="58">
        <f t="shared" si="174"/>
        <v>0</v>
      </c>
      <c r="BK1023" s="58">
        <f t="shared" si="175"/>
        <v>8</v>
      </c>
    </row>
    <row r="1024" spans="1:63" ht="27" customHeight="1">
      <c r="A1024" s="238">
        <f t="shared" si="176"/>
        <v>1022</v>
      </c>
      <c r="B1024" s="239"/>
      <c r="C1024" s="239">
        <v>3422</v>
      </c>
      <c r="D1024" s="241" t="s">
        <v>5772</v>
      </c>
      <c r="E1024" s="242" t="s">
        <v>296</v>
      </c>
      <c r="F1024" s="243" t="s">
        <v>540</v>
      </c>
      <c r="G1024" s="244" t="s">
        <v>2021</v>
      </c>
      <c r="H1024" s="245" t="s">
        <v>5015</v>
      </c>
      <c r="I1024" s="246" t="s">
        <v>907</v>
      </c>
      <c r="J1024" s="247" t="s">
        <v>178</v>
      </c>
      <c r="K1024" s="248">
        <v>28627</v>
      </c>
      <c r="L1024" s="249" t="s">
        <v>179</v>
      </c>
      <c r="M1024" s="250">
        <v>43771</v>
      </c>
      <c r="N1024" s="250"/>
      <c r="O1024" s="250" t="s">
        <v>3545</v>
      </c>
      <c r="P1024" s="238" t="s">
        <v>34</v>
      </c>
      <c r="Q1024" s="238" t="s">
        <v>181</v>
      </c>
      <c r="R1024" s="238" t="s">
        <v>182</v>
      </c>
      <c r="S1024" s="238" t="s">
        <v>727</v>
      </c>
      <c r="T1024" s="251"/>
      <c r="U1024" s="251"/>
      <c r="V1024" s="252" t="s">
        <v>184</v>
      </c>
      <c r="W1024" s="252">
        <v>1677</v>
      </c>
      <c r="X1024" s="252">
        <v>5</v>
      </c>
      <c r="Y1024" s="253" t="s">
        <v>5773</v>
      </c>
      <c r="Z1024" s="254"/>
      <c r="AA1024" s="254" t="s">
        <v>186</v>
      </c>
      <c r="AB1024" s="252"/>
      <c r="AC1024" s="255"/>
      <c r="AD1024" s="256"/>
      <c r="AE1024" s="256"/>
      <c r="AF1024" s="257"/>
      <c r="AG1024" s="258"/>
      <c r="AH1024" s="259"/>
      <c r="AI1024" s="259"/>
      <c r="AJ1024" s="260" t="s">
        <v>203</v>
      </c>
      <c r="AK1024" s="260" t="s">
        <v>190</v>
      </c>
      <c r="AL1024" s="260" t="s">
        <v>190</v>
      </c>
      <c r="AM1024" s="255" t="s">
        <v>5774</v>
      </c>
      <c r="AN1024" s="22">
        <v>177</v>
      </c>
      <c r="AO1024" s="22">
        <v>0</v>
      </c>
      <c r="AP1024" s="22">
        <v>0</v>
      </c>
      <c r="AQ1024" s="22">
        <v>0</v>
      </c>
      <c r="AR1024" s="22">
        <v>0</v>
      </c>
      <c r="AS1024" s="22">
        <v>7</v>
      </c>
      <c r="AT1024" s="22">
        <v>10</v>
      </c>
      <c r="AU1024" s="316">
        <f t="shared" si="166"/>
        <v>194</v>
      </c>
      <c r="AV1024" s="22">
        <v>185</v>
      </c>
      <c r="AW1024" s="22">
        <v>0</v>
      </c>
      <c r="AX1024" s="22">
        <v>0</v>
      </c>
      <c r="AY1024" s="22">
        <v>0</v>
      </c>
      <c r="AZ1024" s="22">
        <v>0</v>
      </c>
      <c r="BA1024" s="22">
        <v>7</v>
      </c>
      <c r="BB1024" s="22">
        <v>10</v>
      </c>
      <c r="BC1024" s="316">
        <f t="shared" si="167"/>
        <v>202</v>
      </c>
      <c r="BD1024" s="58">
        <f t="shared" si="168"/>
        <v>8</v>
      </c>
      <c r="BE1024" s="58">
        <f t="shared" si="169"/>
        <v>0</v>
      </c>
      <c r="BF1024" s="58">
        <f t="shared" si="170"/>
        <v>0</v>
      </c>
      <c r="BG1024" s="58">
        <f t="shared" si="171"/>
        <v>0</v>
      </c>
      <c r="BH1024" s="58">
        <f t="shared" si="172"/>
        <v>0</v>
      </c>
      <c r="BI1024" s="58">
        <f t="shared" si="173"/>
        <v>0</v>
      </c>
      <c r="BJ1024" s="58">
        <f t="shared" si="174"/>
        <v>0</v>
      </c>
      <c r="BK1024" s="58">
        <f t="shared" si="175"/>
        <v>8</v>
      </c>
    </row>
    <row r="1025" spans="1:63" ht="27" customHeight="1">
      <c r="A1025" s="238">
        <f t="shared" si="176"/>
        <v>1023</v>
      </c>
      <c r="B1025" s="239"/>
      <c r="C1025" s="239">
        <v>3429</v>
      </c>
      <c r="D1025" s="241">
        <v>0</v>
      </c>
      <c r="E1025" s="242" t="s">
        <v>5775</v>
      </c>
      <c r="F1025" s="243" t="s">
        <v>5776</v>
      </c>
      <c r="G1025" s="244" t="s">
        <v>5777</v>
      </c>
      <c r="H1025" s="245" t="s">
        <v>5778</v>
      </c>
      <c r="I1025" s="246" t="s">
        <v>5779</v>
      </c>
      <c r="J1025" s="247" t="s">
        <v>178</v>
      </c>
      <c r="K1025" s="248">
        <v>32883</v>
      </c>
      <c r="L1025" s="249" t="s">
        <v>179</v>
      </c>
      <c r="M1025" s="250">
        <v>43774</v>
      </c>
      <c r="N1025" s="250"/>
      <c r="O1025" s="250" t="s">
        <v>3585</v>
      </c>
      <c r="P1025" s="238" t="s">
        <v>34</v>
      </c>
      <c r="Q1025" s="238" t="s">
        <v>181</v>
      </c>
      <c r="R1025" s="238" t="s">
        <v>182</v>
      </c>
      <c r="S1025" s="238" t="s">
        <v>727</v>
      </c>
      <c r="T1025" s="251"/>
      <c r="U1025" s="251"/>
      <c r="V1025" s="252" t="s">
        <v>184</v>
      </c>
      <c r="W1025" s="252" t="s">
        <v>184</v>
      </c>
      <c r="X1025" s="252">
        <v>7</v>
      </c>
      <c r="Y1025" s="253" t="s">
        <v>5780</v>
      </c>
      <c r="Z1025" s="254"/>
      <c r="AA1025" s="254" t="s">
        <v>186</v>
      </c>
      <c r="AB1025" s="252"/>
      <c r="AC1025" s="255"/>
      <c r="AD1025" s="256"/>
      <c r="AE1025" s="256"/>
      <c r="AF1025" s="257"/>
      <c r="AG1025" s="258"/>
      <c r="AH1025" s="259"/>
      <c r="AI1025" s="259"/>
      <c r="AJ1025" s="260" t="s">
        <v>203</v>
      </c>
      <c r="AK1025" s="260" t="s">
        <v>190</v>
      </c>
      <c r="AL1025" s="260" t="s">
        <v>190</v>
      </c>
      <c r="AM1025" s="255" t="s">
        <v>5723</v>
      </c>
      <c r="AN1025" s="22">
        <v>177</v>
      </c>
      <c r="AO1025" s="22">
        <v>0</v>
      </c>
      <c r="AP1025" s="22">
        <v>0</v>
      </c>
      <c r="AQ1025" s="22">
        <v>0</v>
      </c>
      <c r="AR1025" s="22">
        <v>0</v>
      </c>
      <c r="AS1025" s="22">
        <v>7</v>
      </c>
      <c r="AT1025" s="22">
        <v>10</v>
      </c>
      <c r="AU1025" s="316">
        <f t="shared" si="166"/>
        <v>194</v>
      </c>
      <c r="AV1025" s="22">
        <v>185</v>
      </c>
      <c r="AW1025" s="22">
        <v>0</v>
      </c>
      <c r="AX1025" s="22">
        <v>0</v>
      </c>
      <c r="AY1025" s="22">
        <v>0</v>
      </c>
      <c r="AZ1025" s="22">
        <v>0</v>
      </c>
      <c r="BA1025" s="22">
        <v>7</v>
      </c>
      <c r="BB1025" s="22">
        <v>10</v>
      </c>
      <c r="BC1025" s="316">
        <f t="shared" si="167"/>
        <v>202</v>
      </c>
      <c r="BD1025" s="58">
        <f t="shared" si="168"/>
        <v>8</v>
      </c>
      <c r="BE1025" s="58">
        <f t="shared" si="169"/>
        <v>0</v>
      </c>
      <c r="BF1025" s="58">
        <f t="shared" si="170"/>
        <v>0</v>
      </c>
      <c r="BG1025" s="58">
        <f t="shared" si="171"/>
        <v>0</v>
      </c>
      <c r="BH1025" s="58">
        <f t="shared" si="172"/>
        <v>0</v>
      </c>
      <c r="BI1025" s="58">
        <f t="shared" si="173"/>
        <v>0</v>
      </c>
      <c r="BJ1025" s="58">
        <f t="shared" si="174"/>
        <v>0</v>
      </c>
      <c r="BK1025" s="58">
        <f t="shared" si="175"/>
        <v>8</v>
      </c>
    </row>
    <row r="1026" spans="1:63" ht="27" customHeight="1">
      <c r="A1026" s="238">
        <f t="shared" si="176"/>
        <v>1024</v>
      </c>
      <c r="B1026" s="239"/>
      <c r="C1026" s="239">
        <v>3428</v>
      </c>
      <c r="D1026" s="241" t="s">
        <v>5781</v>
      </c>
      <c r="E1026" s="242" t="s">
        <v>5782</v>
      </c>
      <c r="F1026" s="243" t="s">
        <v>2638</v>
      </c>
      <c r="G1026" s="244" t="s">
        <v>5783</v>
      </c>
      <c r="H1026" s="245" t="s">
        <v>5784</v>
      </c>
      <c r="I1026" s="246" t="s">
        <v>5785</v>
      </c>
      <c r="J1026" s="247" t="s">
        <v>178</v>
      </c>
      <c r="K1026" s="248">
        <v>32096</v>
      </c>
      <c r="L1026" s="301" t="s">
        <v>179</v>
      </c>
      <c r="M1026" s="250">
        <v>43774</v>
      </c>
      <c r="N1026" s="250"/>
      <c r="O1026" s="250" t="s">
        <v>5786</v>
      </c>
      <c r="P1026" s="238"/>
      <c r="Q1026" s="238" t="s">
        <v>181</v>
      </c>
      <c r="R1026" s="238" t="s">
        <v>182</v>
      </c>
      <c r="S1026" s="238" t="s">
        <v>256</v>
      </c>
      <c r="T1026" s="251"/>
      <c r="U1026" s="251"/>
      <c r="V1026" s="252" t="s">
        <v>200</v>
      </c>
      <c r="W1026" s="252">
        <v>1997</v>
      </c>
      <c r="X1026" s="252">
        <v>9</v>
      </c>
      <c r="Y1026" s="253" t="s">
        <v>5787</v>
      </c>
      <c r="Z1026" s="254"/>
      <c r="AA1026" s="254" t="s">
        <v>186</v>
      </c>
      <c r="AB1026" s="252"/>
      <c r="AC1026" s="255" t="s">
        <v>5788</v>
      </c>
      <c r="AD1026" s="256" t="s">
        <v>188</v>
      </c>
      <c r="AE1026" s="256"/>
      <c r="AF1026" s="257"/>
      <c r="AG1026" s="258"/>
      <c r="AH1026" s="259"/>
      <c r="AI1026" s="259"/>
      <c r="AJ1026" s="260" t="s">
        <v>203</v>
      </c>
      <c r="AK1026" s="260" t="s">
        <v>190</v>
      </c>
      <c r="AL1026" s="260" t="s">
        <v>190</v>
      </c>
      <c r="AM1026" s="255" t="s">
        <v>5789</v>
      </c>
      <c r="AN1026" s="22">
        <v>177</v>
      </c>
      <c r="AO1026" s="22">
        <v>0</v>
      </c>
      <c r="AP1026" s="22">
        <v>0</v>
      </c>
      <c r="AQ1026" s="22">
        <v>0</v>
      </c>
      <c r="AR1026" s="22">
        <v>0</v>
      </c>
      <c r="AS1026" s="22">
        <v>7</v>
      </c>
      <c r="AT1026" s="22">
        <v>10</v>
      </c>
      <c r="AU1026" s="316">
        <f t="shared" si="166"/>
        <v>194</v>
      </c>
      <c r="AV1026" s="22">
        <v>185</v>
      </c>
      <c r="AW1026" s="22">
        <v>0</v>
      </c>
      <c r="AX1026" s="22">
        <v>0</v>
      </c>
      <c r="AY1026" s="22">
        <v>0</v>
      </c>
      <c r="AZ1026" s="22">
        <v>0</v>
      </c>
      <c r="BA1026" s="22">
        <v>7</v>
      </c>
      <c r="BB1026" s="22">
        <v>10</v>
      </c>
      <c r="BC1026" s="316">
        <f t="shared" si="167"/>
        <v>202</v>
      </c>
      <c r="BD1026" s="58">
        <f t="shared" si="168"/>
        <v>8</v>
      </c>
      <c r="BE1026" s="58">
        <f t="shared" si="169"/>
        <v>0</v>
      </c>
      <c r="BF1026" s="58">
        <f t="shared" si="170"/>
        <v>0</v>
      </c>
      <c r="BG1026" s="58">
        <f t="shared" si="171"/>
        <v>0</v>
      </c>
      <c r="BH1026" s="58">
        <f t="shared" si="172"/>
        <v>0</v>
      </c>
      <c r="BI1026" s="58">
        <f t="shared" si="173"/>
        <v>0</v>
      </c>
      <c r="BJ1026" s="58">
        <f t="shared" si="174"/>
        <v>0</v>
      </c>
      <c r="BK1026" s="58">
        <f t="shared" si="175"/>
        <v>8</v>
      </c>
    </row>
    <row r="1027" spans="1:63" ht="27" customHeight="1">
      <c r="A1027" s="238">
        <f t="shared" si="176"/>
        <v>1025</v>
      </c>
      <c r="B1027" s="239"/>
      <c r="C1027" s="239">
        <v>3416</v>
      </c>
      <c r="D1027" s="241">
        <v>0</v>
      </c>
      <c r="E1027" s="242" t="s">
        <v>296</v>
      </c>
      <c r="F1027" s="243" t="s">
        <v>5790</v>
      </c>
      <c r="G1027" s="244" t="s">
        <v>1187</v>
      </c>
      <c r="H1027" s="245">
        <v>0</v>
      </c>
      <c r="I1027" s="246">
        <v>0</v>
      </c>
      <c r="J1027" s="247" t="s">
        <v>178</v>
      </c>
      <c r="K1027" s="248">
        <v>29254</v>
      </c>
      <c r="L1027" s="249" t="s">
        <v>179</v>
      </c>
      <c r="M1027" s="250">
        <v>43770</v>
      </c>
      <c r="N1027" s="250"/>
      <c r="O1027" s="250" t="s">
        <v>3545</v>
      </c>
      <c r="P1027" s="238" t="s">
        <v>34</v>
      </c>
      <c r="Q1027" s="238" t="s">
        <v>181</v>
      </c>
      <c r="R1027" s="238" t="s">
        <v>3960</v>
      </c>
      <c r="S1027" s="238" t="s">
        <v>219</v>
      </c>
      <c r="T1027" s="251" t="s">
        <v>5791</v>
      </c>
      <c r="U1027" s="309">
        <v>43790</v>
      </c>
      <c r="V1027" s="252" t="s">
        <v>184</v>
      </c>
      <c r="W1027" s="252" t="s">
        <v>184</v>
      </c>
      <c r="X1027" s="252">
        <v>9</v>
      </c>
      <c r="Y1027" s="253" t="s">
        <v>5792</v>
      </c>
      <c r="Z1027" s="254"/>
      <c r="AA1027" s="254" t="s">
        <v>186</v>
      </c>
      <c r="AB1027" s="252"/>
      <c r="AC1027" s="255" t="s">
        <v>5793</v>
      </c>
      <c r="AD1027" s="256" t="s">
        <v>3607</v>
      </c>
      <c r="AE1027" s="256" t="s">
        <v>3607</v>
      </c>
      <c r="AF1027" s="257"/>
      <c r="AG1027" s="258"/>
      <c r="AH1027" s="259"/>
      <c r="AI1027" s="259"/>
      <c r="AJ1027" s="260" t="s">
        <v>203</v>
      </c>
      <c r="AK1027" s="260" t="s">
        <v>190</v>
      </c>
      <c r="AL1027" s="260" t="s">
        <v>190</v>
      </c>
      <c r="AM1027" s="255" t="s">
        <v>5711</v>
      </c>
      <c r="AN1027" s="22">
        <v>182</v>
      </c>
      <c r="AO1027" s="22">
        <v>0</v>
      </c>
      <c r="AP1027" s="22">
        <v>0</v>
      </c>
      <c r="AQ1027" s="22">
        <v>0</v>
      </c>
      <c r="AR1027" s="22">
        <v>0</v>
      </c>
      <c r="AS1027" s="22">
        <v>7</v>
      </c>
      <c r="AT1027" s="22">
        <v>10</v>
      </c>
      <c r="AU1027" s="316">
        <f t="shared" si="166"/>
        <v>199</v>
      </c>
      <c r="AV1027" s="22">
        <v>190</v>
      </c>
      <c r="AW1027" s="22">
        <v>0</v>
      </c>
      <c r="AX1027" s="22">
        <v>0</v>
      </c>
      <c r="AY1027" s="22">
        <v>0</v>
      </c>
      <c r="AZ1027" s="22">
        <v>0</v>
      </c>
      <c r="BA1027" s="22">
        <v>7</v>
      </c>
      <c r="BB1027" s="22">
        <v>10</v>
      </c>
      <c r="BC1027" s="316">
        <f t="shared" si="167"/>
        <v>207</v>
      </c>
      <c r="BD1027" s="58">
        <f t="shared" si="168"/>
        <v>8</v>
      </c>
      <c r="BE1027" s="58">
        <f t="shared" si="169"/>
        <v>0</v>
      </c>
      <c r="BF1027" s="58">
        <f t="shared" si="170"/>
        <v>0</v>
      </c>
      <c r="BG1027" s="58">
        <f t="shared" si="171"/>
        <v>0</v>
      </c>
      <c r="BH1027" s="58">
        <f t="shared" si="172"/>
        <v>0</v>
      </c>
      <c r="BI1027" s="58">
        <f t="shared" si="173"/>
        <v>0</v>
      </c>
      <c r="BJ1027" s="58">
        <f t="shared" si="174"/>
        <v>0</v>
      </c>
      <c r="BK1027" s="58">
        <f t="shared" si="175"/>
        <v>8</v>
      </c>
    </row>
    <row r="1028" spans="1:63" ht="27" customHeight="1">
      <c r="A1028" s="238">
        <f t="shared" si="176"/>
        <v>1026</v>
      </c>
      <c r="B1028" s="239"/>
      <c r="C1028" s="239">
        <v>3430</v>
      </c>
      <c r="D1028" s="241">
        <v>0</v>
      </c>
      <c r="E1028" s="242" t="s">
        <v>5794</v>
      </c>
      <c r="F1028" s="243" t="s">
        <v>2229</v>
      </c>
      <c r="G1028" s="244" t="s">
        <v>2241</v>
      </c>
      <c r="H1028" s="245" t="s">
        <v>5795</v>
      </c>
      <c r="I1028" s="246" t="s">
        <v>5545</v>
      </c>
      <c r="J1028" s="247" t="s">
        <v>178</v>
      </c>
      <c r="K1028" s="248">
        <v>33161</v>
      </c>
      <c r="L1028" s="249" t="s">
        <v>179</v>
      </c>
      <c r="M1028" s="250">
        <v>43774</v>
      </c>
      <c r="N1028" s="250"/>
      <c r="O1028" s="250" t="s">
        <v>3559</v>
      </c>
      <c r="P1028" s="238" t="s">
        <v>5717</v>
      </c>
      <c r="Q1028" s="238" t="s">
        <v>181</v>
      </c>
      <c r="R1028" s="238" t="s">
        <v>182</v>
      </c>
      <c r="S1028" s="238" t="s">
        <v>727</v>
      </c>
      <c r="T1028" s="251"/>
      <c r="U1028" s="251"/>
      <c r="V1028" s="252" t="s">
        <v>184</v>
      </c>
      <c r="W1028" s="252" t="s">
        <v>184</v>
      </c>
      <c r="X1028" s="252">
        <v>7</v>
      </c>
      <c r="Y1028" s="253" t="s">
        <v>5796</v>
      </c>
      <c r="Z1028" s="254"/>
      <c r="AA1028" s="254" t="s">
        <v>186</v>
      </c>
      <c r="AB1028" s="252"/>
      <c r="AC1028" s="255"/>
      <c r="AD1028" s="256" t="s">
        <v>188</v>
      </c>
      <c r="AE1028" s="256" t="s">
        <v>3607</v>
      </c>
      <c r="AF1028" s="257"/>
      <c r="AG1028" s="258"/>
      <c r="AH1028" s="259"/>
      <c r="AI1028" s="259"/>
      <c r="AJ1028" s="260" t="s">
        <v>203</v>
      </c>
      <c r="AK1028" s="260" t="s">
        <v>190</v>
      </c>
      <c r="AL1028" s="260" t="s">
        <v>190</v>
      </c>
      <c r="AM1028" s="255" t="s">
        <v>5766</v>
      </c>
      <c r="AN1028" s="22">
        <v>177</v>
      </c>
      <c r="AO1028" s="22">
        <v>0</v>
      </c>
      <c r="AP1028" s="22">
        <v>0</v>
      </c>
      <c r="AQ1028" s="22">
        <v>0</v>
      </c>
      <c r="AR1028" s="22">
        <v>0</v>
      </c>
      <c r="AS1028" s="22">
        <v>7</v>
      </c>
      <c r="AT1028" s="22">
        <v>10</v>
      </c>
      <c r="AU1028" s="316">
        <f t="shared" ref="AU1028:AU1078" si="177">SUM(AN1028:AT1028)</f>
        <v>194</v>
      </c>
      <c r="AV1028" s="22">
        <v>185</v>
      </c>
      <c r="AW1028" s="22">
        <v>0</v>
      </c>
      <c r="AX1028" s="22">
        <v>0</v>
      </c>
      <c r="AY1028" s="22">
        <v>0</v>
      </c>
      <c r="AZ1028" s="22">
        <v>0</v>
      </c>
      <c r="BA1028" s="22">
        <v>7</v>
      </c>
      <c r="BB1028" s="22">
        <v>10</v>
      </c>
      <c r="BC1028" s="316">
        <f t="shared" ref="BC1028:BC1078" si="178">SUM(AV1028:BB1028)</f>
        <v>202</v>
      </c>
      <c r="BD1028" s="58">
        <f t="shared" ref="BD1028:BD1078" si="179">AV1028-AN1028</f>
        <v>8</v>
      </c>
      <c r="BE1028" s="58">
        <f t="shared" ref="BE1028:BE1078" si="180">AW1028-AO1028</f>
        <v>0</v>
      </c>
      <c r="BF1028" s="58">
        <f t="shared" ref="BF1028:BF1078" si="181">AX1028-AP1028</f>
        <v>0</v>
      </c>
      <c r="BG1028" s="58">
        <f t="shared" ref="BG1028:BG1078" si="182">AY1028-AQ1028</f>
        <v>0</v>
      </c>
      <c r="BH1028" s="58">
        <f t="shared" ref="BH1028:BH1078" si="183">AZ1028-AR1028</f>
        <v>0</v>
      </c>
      <c r="BI1028" s="58">
        <f t="shared" ref="BI1028:BI1078" si="184">BA1028-AS1028</f>
        <v>0</v>
      </c>
      <c r="BJ1028" s="58">
        <f t="shared" ref="BJ1028:BJ1078" si="185">BB1028-AT1028</f>
        <v>0</v>
      </c>
      <c r="BK1028" s="58">
        <f t="shared" ref="BK1028:BK1078" si="186">BC1028-AU1028</f>
        <v>8</v>
      </c>
    </row>
    <row r="1029" spans="1:63" ht="27" customHeight="1">
      <c r="A1029" s="238">
        <f t="shared" ref="A1029:A1078" si="187">1+A1028</f>
        <v>1027</v>
      </c>
      <c r="B1029" s="239"/>
      <c r="C1029" s="239">
        <v>3431</v>
      </c>
      <c r="D1029" s="241">
        <v>0</v>
      </c>
      <c r="E1029" s="242" t="s">
        <v>5797</v>
      </c>
      <c r="F1029" s="243" t="s">
        <v>1037</v>
      </c>
      <c r="G1029" s="244" t="s">
        <v>5798</v>
      </c>
      <c r="H1029" s="245" t="s">
        <v>1765</v>
      </c>
      <c r="I1029" s="246" t="s">
        <v>5799</v>
      </c>
      <c r="J1029" s="247" t="s">
        <v>178</v>
      </c>
      <c r="K1029" s="248">
        <v>30533</v>
      </c>
      <c r="L1029" s="249" t="s">
        <v>179</v>
      </c>
      <c r="M1029" s="250">
        <v>43774</v>
      </c>
      <c r="N1029" s="250"/>
      <c r="O1029" s="250" t="s">
        <v>3559</v>
      </c>
      <c r="P1029" s="238" t="s">
        <v>5717</v>
      </c>
      <c r="Q1029" s="238" t="s">
        <v>181</v>
      </c>
      <c r="R1029" s="238" t="s">
        <v>182</v>
      </c>
      <c r="S1029" s="238" t="s">
        <v>219</v>
      </c>
      <c r="T1029" s="251"/>
      <c r="U1029" s="251"/>
      <c r="V1029" s="252" t="s">
        <v>200</v>
      </c>
      <c r="W1029" s="252">
        <v>583</v>
      </c>
      <c r="X1029" s="252">
        <v>5</v>
      </c>
      <c r="Y1029" s="253" t="s">
        <v>5800</v>
      </c>
      <c r="Z1029" s="254" t="s">
        <v>186</v>
      </c>
      <c r="AA1029" s="254"/>
      <c r="AB1029" s="252"/>
      <c r="AC1029" s="255"/>
      <c r="AD1029" s="256"/>
      <c r="AE1029" s="256"/>
      <c r="AF1029" s="257"/>
      <c r="AG1029" s="258"/>
      <c r="AH1029" s="259"/>
      <c r="AI1029" s="259"/>
      <c r="AJ1029" s="260" t="s">
        <v>203</v>
      </c>
      <c r="AK1029" s="260" t="s">
        <v>190</v>
      </c>
      <c r="AL1029" s="260" t="s">
        <v>190</v>
      </c>
      <c r="AM1029" s="255" t="s">
        <v>5723</v>
      </c>
      <c r="AN1029" s="22">
        <v>177</v>
      </c>
      <c r="AO1029" s="22">
        <v>0</v>
      </c>
      <c r="AP1029" s="22">
        <v>0</v>
      </c>
      <c r="AQ1029" s="22">
        <v>0</v>
      </c>
      <c r="AR1029" s="22">
        <v>0</v>
      </c>
      <c r="AS1029" s="22">
        <v>7</v>
      </c>
      <c r="AT1029" s="22">
        <v>10</v>
      </c>
      <c r="AU1029" s="316">
        <f t="shared" si="177"/>
        <v>194</v>
      </c>
      <c r="AV1029" s="22">
        <v>185</v>
      </c>
      <c r="AW1029" s="22">
        <v>0</v>
      </c>
      <c r="AX1029" s="22">
        <v>0</v>
      </c>
      <c r="AY1029" s="22">
        <v>0</v>
      </c>
      <c r="AZ1029" s="22">
        <v>0</v>
      </c>
      <c r="BA1029" s="22">
        <v>7</v>
      </c>
      <c r="BB1029" s="22">
        <v>10</v>
      </c>
      <c r="BC1029" s="316">
        <f t="shared" si="178"/>
        <v>202</v>
      </c>
      <c r="BD1029" s="58">
        <f t="shared" si="179"/>
        <v>8</v>
      </c>
      <c r="BE1029" s="58">
        <f t="shared" si="180"/>
        <v>0</v>
      </c>
      <c r="BF1029" s="58">
        <f t="shared" si="181"/>
        <v>0</v>
      </c>
      <c r="BG1029" s="58">
        <f t="shared" si="182"/>
        <v>0</v>
      </c>
      <c r="BH1029" s="58">
        <f t="shared" si="183"/>
        <v>0</v>
      </c>
      <c r="BI1029" s="58">
        <f t="shared" si="184"/>
        <v>0</v>
      </c>
      <c r="BJ1029" s="58">
        <f t="shared" si="185"/>
        <v>0</v>
      </c>
      <c r="BK1029" s="58">
        <f t="shared" si="186"/>
        <v>8</v>
      </c>
    </row>
    <row r="1030" spans="1:63" ht="27" customHeight="1">
      <c r="A1030" s="238">
        <f t="shared" si="187"/>
        <v>1028</v>
      </c>
      <c r="B1030" s="239"/>
      <c r="C1030" s="239">
        <v>3427</v>
      </c>
      <c r="D1030" s="241" t="s">
        <v>5801</v>
      </c>
      <c r="E1030" s="242" t="s">
        <v>5802</v>
      </c>
      <c r="F1030" s="243" t="s">
        <v>2758</v>
      </c>
      <c r="G1030" s="244" t="s">
        <v>5803</v>
      </c>
      <c r="H1030" s="245" t="s">
        <v>5804</v>
      </c>
      <c r="I1030" s="246" t="s">
        <v>5805</v>
      </c>
      <c r="J1030" s="247" t="s">
        <v>178</v>
      </c>
      <c r="K1030" s="248">
        <v>33117</v>
      </c>
      <c r="L1030" s="249" t="s">
        <v>179</v>
      </c>
      <c r="M1030" s="250">
        <v>43771</v>
      </c>
      <c r="N1030" s="250"/>
      <c r="O1030" s="250" t="s">
        <v>3573</v>
      </c>
      <c r="P1030" s="238" t="s">
        <v>5806</v>
      </c>
      <c r="Q1030" s="238" t="s">
        <v>181</v>
      </c>
      <c r="R1030" s="238" t="s">
        <v>182</v>
      </c>
      <c r="S1030" s="238" t="s">
        <v>256</v>
      </c>
      <c r="T1030" s="251"/>
      <c r="U1030" s="251"/>
      <c r="V1030" s="252" t="s">
        <v>184</v>
      </c>
      <c r="W1030" s="252" t="s">
        <v>184</v>
      </c>
      <c r="X1030" s="252">
        <v>6</v>
      </c>
      <c r="Y1030" s="253" t="s">
        <v>5807</v>
      </c>
      <c r="Z1030" s="254"/>
      <c r="AA1030" s="254" t="s">
        <v>186</v>
      </c>
      <c r="AB1030" s="252"/>
      <c r="AC1030" s="255"/>
      <c r="AD1030" s="256" t="s">
        <v>3607</v>
      </c>
      <c r="AE1030" s="256"/>
      <c r="AF1030" s="257"/>
      <c r="AG1030" s="258"/>
      <c r="AH1030" s="259"/>
      <c r="AI1030" s="259"/>
      <c r="AJ1030" s="260" t="s">
        <v>203</v>
      </c>
      <c r="AK1030" s="260" t="s">
        <v>190</v>
      </c>
      <c r="AL1030" s="260" t="s">
        <v>190</v>
      </c>
      <c r="AM1030" s="255" t="s">
        <v>5723</v>
      </c>
      <c r="AN1030" s="22">
        <v>177</v>
      </c>
      <c r="AO1030" s="22">
        <v>0</v>
      </c>
      <c r="AP1030" s="22">
        <v>0</v>
      </c>
      <c r="AQ1030" s="22">
        <v>0</v>
      </c>
      <c r="AR1030" s="22">
        <v>0</v>
      </c>
      <c r="AS1030" s="22">
        <v>7</v>
      </c>
      <c r="AT1030" s="22">
        <v>10</v>
      </c>
      <c r="AU1030" s="316">
        <f t="shared" si="177"/>
        <v>194</v>
      </c>
      <c r="AV1030" s="22">
        <v>185</v>
      </c>
      <c r="AW1030" s="22">
        <v>0</v>
      </c>
      <c r="AX1030" s="22">
        <v>0</v>
      </c>
      <c r="AY1030" s="22">
        <v>0</v>
      </c>
      <c r="AZ1030" s="22">
        <v>0</v>
      </c>
      <c r="BA1030" s="22">
        <v>7</v>
      </c>
      <c r="BB1030" s="22">
        <v>10</v>
      </c>
      <c r="BC1030" s="316">
        <f t="shared" si="178"/>
        <v>202</v>
      </c>
      <c r="BD1030" s="58">
        <f t="shared" si="179"/>
        <v>8</v>
      </c>
      <c r="BE1030" s="58">
        <f t="shared" si="180"/>
        <v>0</v>
      </c>
      <c r="BF1030" s="58">
        <f t="shared" si="181"/>
        <v>0</v>
      </c>
      <c r="BG1030" s="58">
        <f t="shared" si="182"/>
        <v>0</v>
      </c>
      <c r="BH1030" s="58">
        <f t="shared" si="183"/>
        <v>0</v>
      </c>
      <c r="BI1030" s="58">
        <f t="shared" si="184"/>
        <v>0</v>
      </c>
      <c r="BJ1030" s="58">
        <f t="shared" si="185"/>
        <v>0</v>
      </c>
      <c r="BK1030" s="58">
        <f t="shared" si="186"/>
        <v>8</v>
      </c>
    </row>
    <row r="1031" spans="1:63" ht="27" customHeight="1">
      <c r="A1031" s="238">
        <f t="shared" si="187"/>
        <v>1029</v>
      </c>
      <c r="B1031" s="239"/>
      <c r="C1031" s="239">
        <v>3434</v>
      </c>
      <c r="D1031" s="241" t="s">
        <v>5808</v>
      </c>
      <c r="E1031" s="242" t="s">
        <v>5809</v>
      </c>
      <c r="F1031" s="243" t="s">
        <v>704</v>
      </c>
      <c r="G1031" s="244" t="s">
        <v>4195</v>
      </c>
      <c r="H1031" s="245" t="s">
        <v>16</v>
      </c>
      <c r="I1031" s="246" t="s">
        <v>5810</v>
      </c>
      <c r="J1031" s="247" t="s">
        <v>178</v>
      </c>
      <c r="K1031" s="248">
        <v>30756</v>
      </c>
      <c r="L1031" s="249" t="s">
        <v>179</v>
      </c>
      <c r="M1031" s="250">
        <v>43777</v>
      </c>
      <c r="N1031" s="250"/>
      <c r="O1031" s="250" t="s">
        <v>5759</v>
      </c>
      <c r="P1031" s="238" t="s">
        <v>34</v>
      </c>
      <c r="Q1031" s="238" t="s">
        <v>181</v>
      </c>
      <c r="R1031" s="238" t="s">
        <v>182</v>
      </c>
      <c r="S1031" s="238" t="s">
        <v>256</v>
      </c>
      <c r="T1031" s="251"/>
      <c r="U1031" s="251"/>
      <c r="V1031" s="252" t="s">
        <v>184</v>
      </c>
      <c r="W1031" s="252" t="s">
        <v>184</v>
      </c>
      <c r="X1031" s="252">
        <v>2</v>
      </c>
      <c r="Y1031" s="253" t="s">
        <v>5811</v>
      </c>
      <c r="Z1031" s="254"/>
      <c r="AA1031" s="254" t="s">
        <v>186</v>
      </c>
      <c r="AB1031" s="252"/>
      <c r="AC1031" s="255"/>
      <c r="AD1031" s="256"/>
      <c r="AE1031" s="256"/>
      <c r="AF1031" s="257"/>
      <c r="AG1031" s="258"/>
      <c r="AH1031" s="259"/>
      <c r="AI1031" s="259"/>
      <c r="AJ1031" s="260" t="s">
        <v>203</v>
      </c>
      <c r="AK1031" s="260" t="s">
        <v>190</v>
      </c>
      <c r="AL1031" s="260" t="s">
        <v>190</v>
      </c>
      <c r="AM1031" s="255" t="s">
        <v>5726</v>
      </c>
      <c r="AN1031" s="22">
        <v>177</v>
      </c>
      <c r="AO1031" s="22">
        <v>0</v>
      </c>
      <c r="AP1031" s="22">
        <v>0</v>
      </c>
      <c r="AQ1031" s="22">
        <v>0</v>
      </c>
      <c r="AR1031" s="22">
        <v>0</v>
      </c>
      <c r="AS1031" s="22">
        <v>7</v>
      </c>
      <c r="AT1031" s="22">
        <v>10</v>
      </c>
      <c r="AU1031" s="316">
        <f t="shared" si="177"/>
        <v>194</v>
      </c>
      <c r="AV1031" s="22">
        <v>185</v>
      </c>
      <c r="AW1031" s="22">
        <v>0</v>
      </c>
      <c r="AX1031" s="22">
        <v>0</v>
      </c>
      <c r="AY1031" s="22">
        <v>0</v>
      </c>
      <c r="AZ1031" s="22">
        <v>0</v>
      </c>
      <c r="BA1031" s="22">
        <v>7</v>
      </c>
      <c r="BB1031" s="22">
        <v>10</v>
      </c>
      <c r="BC1031" s="316">
        <f t="shared" si="178"/>
        <v>202</v>
      </c>
      <c r="BD1031" s="58">
        <f t="shared" si="179"/>
        <v>8</v>
      </c>
      <c r="BE1031" s="58">
        <f t="shared" si="180"/>
        <v>0</v>
      </c>
      <c r="BF1031" s="58">
        <f t="shared" si="181"/>
        <v>0</v>
      </c>
      <c r="BG1031" s="58">
        <f t="shared" si="182"/>
        <v>0</v>
      </c>
      <c r="BH1031" s="58">
        <f t="shared" si="183"/>
        <v>0</v>
      </c>
      <c r="BI1031" s="58">
        <f t="shared" si="184"/>
        <v>0</v>
      </c>
      <c r="BJ1031" s="58">
        <f t="shared" si="185"/>
        <v>0</v>
      </c>
      <c r="BK1031" s="58">
        <f t="shared" si="186"/>
        <v>8</v>
      </c>
    </row>
    <row r="1032" spans="1:63" ht="27" customHeight="1">
      <c r="A1032" s="238">
        <f t="shared" si="187"/>
        <v>1030</v>
      </c>
      <c r="B1032" s="239"/>
      <c r="C1032" s="239">
        <v>3437</v>
      </c>
      <c r="D1032" s="241" t="s">
        <v>5812</v>
      </c>
      <c r="E1032" s="242" t="s">
        <v>5813</v>
      </c>
      <c r="F1032" s="243" t="s">
        <v>1066</v>
      </c>
      <c r="G1032" s="244" t="s">
        <v>724</v>
      </c>
      <c r="H1032" s="245" t="s">
        <v>1068</v>
      </c>
      <c r="I1032" s="246" t="s">
        <v>726</v>
      </c>
      <c r="J1032" s="247" t="s">
        <v>178</v>
      </c>
      <c r="K1032" s="248">
        <v>31588</v>
      </c>
      <c r="L1032" s="249" t="s">
        <v>179</v>
      </c>
      <c r="M1032" s="250">
        <v>43783</v>
      </c>
      <c r="N1032" s="250"/>
      <c r="O1032" s="250" t="s">
        <v>5716</v>
      </c>
      <c r="P1032" s="238" t="s">
        <v>34</v>
      </c>
      <c r="Q1032" s="238" t="s">
        <v>181</v>
      </c>
      <c r="R1032" s="238" t="s">
        <v>182</v>
      </c>
      <c r="S1032" s="238" t="s">
        <v>331</v>
      </c>
      <c r="T1032" s="251"/>
      <c r="U1032" s="251"/>
      <c r="V1032" s="252" t="s">
        <v>184</v>
      </c>
      <c r="W1032" s="252" t="s">
        <v>184</v>
      </c>
      <c r="X1032" s="252">
        <v>5</v>
      </c>
      <c r="Y1032" s="253" t="s">
        <v>5814</v>
      </c>
      <c r="Z1032" s="254"/>
      <c r="AA1032" s="254" t="s">
        <v>186</v>
      </c>
      <c r="AB1032" s="252"/>
      <c r="AC1032" s="255"/>
      <c r="AD1032" s="256"/>
      <c r="AE1032" s="256"/>
      <c r="AF1032" s="257"/>
      <c r="AG1032" s="258"/>
      <c r="AH1032" s="259"/>
      <c r="AI1032" s="259"/>
      <c r="AJ1032" s="260" t="s">
        <v>203</v>
      </c>
      <c r="AK1032" s="260" t="s">
        <v>190</v>
      </c>
      <c r="AL1032" s="260" t="s">
        <v>190</v>
      </c>
      <c r="AM1032" s="255" t="s">
        <v>5726</v>
      </c>
      <c r="AN1032" s="22">
        <v>177</v>
      </c>
      <c r="AO1032" s="22">
        <v>0</v>
      </c>
      <c r="AP1032" s="22">
        <v>0</v>
      </c>
      <c r="AQ1032" s="22">
        <v>0</v>
      </c>
      <c r="AR1032" s="22">
        <v>0</v>
      </c>
      <c r="AS1032" s="22">
        <v>7</v>
      </c>
      <c r="AT1032" s="22">
        <v>10</v>
      </c>
      <c r="AU1032" s="316">
        <f t="shared" si="177"/>
        <v>194</v>
      </c>
      <c r="AV1032" s="22">
        <v>185</v>
      </c>
      <c r="AW1032" s="22">
        <v>0</v>
      </c>
      <c r="AX1032" s="22">
        <v>0</v>
      </c>
      <c r="AY1032" s="22">
        <v>0</v>
      </c>
      <c r="AZ1032" s="22">
        <v>0</v>
      </c>
      <c r="BA1032" s="22">
        <v>7</v>
      </c>
      <c r="BB1032" s="22">
        <v>10</v>
      </c>
      <c r="BC1032" s="316">
        <f t="shared" si="178"/>
        <v>202</v>
      </c>
      <c r="BD1032" s="58">
        <f t="shared" si="179"/>
        <v>8</v>
      </c>
      <c r="BE1032" s="58">
        <f t="shared" si="180"/>
        <v>0</v>
      </c>
      <c r="BF1032" s="58">
        <f t="shared" si="181"/>
        <v>0</v>
      </c>
      <c r="BG1032" s="58">
        <f t="shared" si="182"/>
        <v>0</v>
      </c>
      <c r="BH1032" s="58">
        <f t="shared" si="183"/>
        <v>0</v>
      </c>
      <c r="BI1032" s="58">
        <f t="shared" si="184"/>
        <v>0</v>
      </c>
      <c r="BJ1032" s="58">
        <f t="shared" si="185"/>
        <v>0</v>
      </c>
      <c r="BK1032" s="58">
        <f t="shared" si="186"/>
        <v>8</v>
      </c>
    </row>
    <row r="1033" spans="1:63" ht="27" customHeight="1">
      <c r="A1033" s="238">
        <f t="shared" si="187"/>
        <v>1031</v>
      </c>
      <c r="B1033" s="239"/>
      <c r="C1033" s="239">
        <v>3436</v>
      </c>
      <c r="D1033" s="241" t="s">
        <v>5815</v>
      </c>
      <c r="E1033" s="242" t="s">
        <v>5816</v>
      </c>
      <c r="F1033" s="243" t="s">
        <v>963</v>
      </c>
      <c r="G1033" s="244" t="s">
        <v>5817</v>
      </c>
      <c r="H1033" s="245" t="s">
        <v>964</v>
      </c>
      <c r="I1033" s="246" t="s">
        <v>5818</v>
      </c>
      <c r="J1033" s="247" t="s">
        <v>178</v>
      </c>
      <c r="K1033" s="248">
        <v>34398</v>
      </c>
      <c r="L1033" s="249" t="s">
        <v>179</v>
      </c>
      <c r="M1033" s="250">
        <v>43783</v>
      </c>
      <c r="N1033" s="250"/>
      <c r="O1033" s="250" t="s">
        <v>3644</v>
      </c>
      <c r="P1033" s="238" t="s">
        <v>34</v>
      </c>
      <c r="Q1033" s="238" t="s">
        <v>181</v>
      </c>
      <c r="R1033" s="238" t="s">
        <v>182</v>
      </c>
      <c r="S1033" s="238" t="s">
        <v>228</v>
      </c>
      <c r="T1033" s="251"/>
      <c r="U1033" s="251"/>
      <c r="V1033" s="252" t="s">
        <v>184</v>
      </c>
      <c r="W1033" s="252" t="s">
        <v>184</v>
      </c>
      <c r="X1033" s="252">
        <v>7</v>
      </c>
      <c r="Y1033" s="253" t="s">
        <v>5819</v>
      </c>
      <c r="Z1033" s="254"/>
      <c r="AA1033" s="254" t="s">
        <v>186</v>
      </c>
      <c r="AB1033" s="252"/>
      <c r="AC1033" s="255"/>
      <c r="AD1033" s="256" t="s">
        <v>3607</v>
      </c>
      <c r="AE1033" s="256" t="s">
        <v>3607</v>
      </c>
      <c r="AF1033" s="256" t="s">
        <v>3607</v>
      </c>
      <c r="AG1033" s="258"/>
      <c r="AH1033" s="259"/>
      <c r="AI1033" s="259"/>
      <c r="AJ1033" s="260" t="s">
        <v>203</v>
      </c>
      <c r="AK1033" s="260" t="s">
        <v>190</v>
      </c>
      <c r="AL1033" s="260" t="s">
        <v>190</v>
      </c>
      <c r="AM1033" s="255" t="s">
        <v>5723</v>
      </c>
      <c r="AN1033" s="22">
        <v>177</v>
      </c>
      <c r="AO1033" s="22">
        <v>0</v>
      </c>
      <c r="AP1033" s="22">
        <v>0</v>
      </c>
      <c r="AQ1033" s="22">
        <v>0</v>
      </c>
      <c r="AR1033" s="22">
        <v>0</v>
      </c>
      <c r="AS1033" s="22">
        <v>7</v>
      </c>
      <c r="AT1033" s="22">
        <v>10</v>
      </c>
      <c r="AU1033" s="316">
        <f t="shared" si="177"/>
        <v>194</v>
      </c>
      <c r="AV1033" s="22">
        <v>185</v>
      </c>
      <c r="AW1033" s="22">
        <v>0</v>
      </c>
      <c r="AX1033" s="22">
        <v>0</v>
      </c>
      <c r="AY1033" s="22">
        <v>0</v>
      </c>
      <c r="AZ1033" s="22">
        <v>0</v>
      </c>
      <c r="BA1033" s="22">
        <v>7</v>
      </c>
      <c r="BB1033" s="22">
        <v>10</v>
      </c>
      <c r="BC1033" s="316">
        <f t="shared" si="178"/>
        <v>202</v>
      </c>
      <c r="BD1033" s="58">
        <f t="shared" si="179"/>
        <v>8</v>
      </c>
      <c r="BE1033" s="58">
        <f t="shared" si="180"/>
        <v>0</v>
      </c>
      <c r="BF1033" s="58">
        <f t="shared" si="181"/>
        <v>0</v>
      </c>
      <c r="BG1033" s="58">
        <f t="shared" si="182"/>
        <v>0</v>
      </c>
      <c r="BH1033" s="58">
        <f t="shared" si="183"/>
        <v>0</v>
      </c>
      <c r="BI1033" s="58">
        <f t="shared" si="184"/>
        <v>0</v>
      </c>
      <c r="BJ1033" s="58">
        <f t="shared" si="185"/>
        <v>0</v>
      </c>
      <c r="BK1033" s="58">
        <f t="shared" si="186"/>
        <v>8</v>
      </c>
    </row>
    <row r="1034" spans="1:63" ht="27" customHeight="1">
      <c r="A1034" s="238">
        <f t="shared" si="187"/>
        <v>1032</v>
      </c>
      <c r="B1034" s="239"/>
      <c r="C1034" s="239">
        <v>3435</v>
      </c>
      <c r="D1034" s="241" t="s">
        <v>5820</v>
      </c>
      <c r="E1034" s="242" t="s">
        <v>5821</v>
      </c>
      <c r="F1034" s="243" t="s">
        <v>3594</v>
      </c>
      <c r="G1034" s="244" t="s">
        <v>2285</v>
      </c>
      <c r="H1034" s="245" t="s">
        <v>3595</v>
      </c>
      <c r="I1034" s="246" t="s">
        <v>2286</v>
      </c>
      <c r="J1034" s="247" t="s">
        <v>178</v>
      </c>
      <c r="K1034" s="248">
        <v>30869</v>
      </c>
      <c r="L1034" s="249" t="s">
        <v>179</v>
      </c>
      <c r="M1034" s="250">
        <v>43783</v>
      </c>
      <c r="N1034" s="250"/>
      <c r="O1034" s="250" t="s">
        <v>3573</v>
      </c>
      <c r="P1034" s="238" t="s">
        <v>34</v>
      </c>
      <c r="Q1034" s="238" t="s">
        <v>181</v>
      </c>
      <c r="R1034" s="238" t="s">
        <v>182</v>
      </c>
      <c r="S1034" s="238" t="s">
        <v>310</v>
      </c>
      <c r="T1034" s="251"/>
      <c r="U1034" s="251"/>
      <c r="V1034" s="252" t="s">
        <v>184</v>
      </c>
      <c r="W1034" s="252" t="s">
        <v>184</v>
      </c>
      <c r="X1034" s="252">
        <v>2</v>
      </c>
      <c r="Y1034" s="253" t="s">
        <v>5822</v>
      </c>
      <c r="Z1034" s="254"/>
      <c r="AA1034" s="254" t="s">
        <v>186</v>
      </c>
      <c r="AB1034" s="252"/>
      <c r="AC1034" s="255"/>
      <c r="AD1034" s="256"/>
      <c r="AE1034" s="256"/>
      <c r="AF1034" s="257"/>
      <c r="AG1034" s="258"/>
      <c r="AH1034" s="259"/>
      <c r="AI1034" s="259"/>
      <c r="AJ1034" s="260" t="s">
        <v>203</v>
      </c>
      <c r="AK1034" s="260" t="s">
        <v>190</v>
      </c>
      <c r="AL1034" s="260" t="s">
        <v>190</v>
      </c>
      <c r="AM1034" s="255" t="s">
        <v>256</v>
      </c>
      <c r="AN1034" s="22">
        <v>177</v>
      </c>
      <c r="AO1034" s="22">
        <v>0</v>
      </c>
      <c r="AP1034" s="22">
        <v>0</v>
      </c>
      <c r="AQ1034" s="22">
        <v>0</v>
      </c>
      <c r="AR1034" s="22">
        <v>0</v>
      </c>
      <c r="AS1034" s="22">
        <v>7</v>
      </c>
      <c r="AT1034" s="22">
        <v>10</v>
      </c>
      <c r="AU1034" s="316">
        <f t="shared" si="177"/>
        <v>194</v>
      </c>
      <c r="AV1034" s="22">
        <v>185</v>
      </c>
      <c r="AW1034" s="22">
        <v>0</v>
      </c>
      <c r="AX1034" s="22">
        <v>0</v>
      </c>
      <c r="AY1034" s="22">
        <v>0</v>
      </c>
      <c r="AZ1034" s="22">
        <v>0</v>
      </c>
      <c r="BA1034" s="22">
        <v>7</v>
      </c>
      <c r="BB1034" s="22">
        <v>10</v>
      </c>
      <c r="BC1034" s="316">
        <f t="shared" si="178"/>
        <v>202</v>
      </c>
      <c r="BD1034" s="58">
        <f t="shared" si="179"/>
        <v>8</v>
      </c>
      <c r="BE1034" s="58">
        <f t="shared" si="180"/>
        <v>0</v>
      </c>
      <c r="BF1034" s="58">
        <f t="shared" si="181"/>
        <v>0</v>
      </c>
      <c r="BG1034" s="58">
        <f t="shared" si="182"/>
        <v>0</v>
      </c>
      <c r="BH1034" s="58">
        <f t="shared" si="183"/>
        <v>0</v>
      </c>
      <c r="BI1034" s="58">
        <f t="shared" si="184"/>
        <v>0</v>
      </c>
      <c r="BJ1034" s="58">
        <f t="shared" si="185"/>
        <v>0</v>
      </c>
      <c r="BK1034" s="58">
        <f t="shared" si="186"/>
        <v>8</v>
      </c>
    </row>
    <row r="1035" spans="1:63" ht="27" customHeight="1">
      <c r="A1035" s="238">
        <f t="shared" si="187"/>
        <v>1033</v>
      </c>
      <c r="B1035" s="239"/>
      <c r="C1035" s="239">
        <v>3417</v>
      </c>
      <c r="D1035" s="241" t="s">
        <v>5823</v>
      </c>
      <c r="E1035" s="242" t="s">
        <v>5824</v>
      </c>
      <c r="F1035" s="243" t="s">
        <v>3794</v>
      </c>
      <c r="G1035" s="244" t="s">
        <v>509</v>
      </c>
      <c r="H1035" s="245" t="s">
        <v>5825</v>
      </c>
      <c r="I1035" s="246" t="s">
        <v>511</v>
      </c>
      <c r="J1035" s="247" t="s">
        <v>178</v>
      </c>
      <c r="K1035" s="248">
        <v>28995</v>
      </c>
      <c r="L1035" s="249" t="s">
        <v>179</v>
      </c>
      <c r="M1035" s="250">
        <v>43770</v>
      </c>
      <c r="N1035" s="250"/>
      <c r="O1035" s="250" t="s">
        <v>5759</v>
      </c>
      <c r="P1035" s="238" t="s">
        <v>5717</v>
      </c>
      <c r="Q1035" s="238" t="s">
        <v>181</v>
      </c>
      <c r="R1035" s="238" t="s">
        <v>182</v>
      </c>
      <c r="S1035" s="238" t="s">
        <v>256</v>
      </c>
      <c r="T1035" s="251"/>
      <c r="U1035" s="251"/>
      <c r="V1035" s="252" t="s">
        <v>184</v>
      </c>
      <c r="W1035" s="252" t="s">
        <v>184</v>
      </c>
      <c r="X1035" s="252">
        <v>8</v>
      </c>
      <c r="Y1035" s="253" t="s">
        <v>5826</v>
      </c>
      <c r="Z1035" s="254" t="s">
        <v>186</v>
      </c>
      <c r="AA1035" s="254"/>
      <c r="AB1035" s="252"/>
      <c r="AC1035" s="255"/>
      <c r="AD1035" s="256"/>
      <c r="AE1035" s="256"/>
      <c r="AF1035" s="257"/>
      <c r="AG1035" s="258"/>
      <c r="AH1035" s="259"/>
      <c r="AI1035" s="259"/>
      <c r="AJ1035" s="260" t="s">
        <v>203</v>
      </c>
      <c r="AK1035" s="260" t="s">
        <v>190</v>
      </c>
      <c r="AL1035" s="260" t="s">
        <v>190</v>
      </c>
      <c r="AM1035" s="255" t="s">
        <v>5827</v>
      </c>
      <c r="AN1035" s="22">
        <v>177</v>
      </c>
      <c r="AO1035" s="22">
        <v>0</v>
      </c>
      <c r="AP1035" s="22">
        <v>0</v>
      </c>
      <c r="AQ1035" s="22">
        <v>0</v>
      </c>
      <c r="AR1035" s="22">
        <v>0</v>
      </c>
      <c r="AS1035" s="22">
        <v>7</v>
      </c>
      <c r="AT1035" s="22">
        <v>10</v>
      </c>
      <c r="AU1035" s="316">
        <f t="shared" si="177"/>
        <v>194</v>
      </c>
      <c r="AV1035" s="22">
        <v>185</v>
      </c>
      <c r="AW1035" s="22">
        <v>0</v>
      </c>
      <c r="AX1035" s="22">
        <v>0</v>
      </c>
      <c r="AY1035" s="22">
        <v>0</v>
      </c>
      <c r="AZ1035" s="22">
        <v>0</v>
      </c>
      <c r="BA1035" s="22">
        <v>7</v>
      </c>
      <c r="BB1035" s="22">
        <v>10</v>
      </c>
      <c r="BC1035" s="316">
        <f t="shared" si="178"/>
        <v>202</v>
      </c>
      <c r="BD1035" s="58">
        <f t="shared" si="179"/>
        <v>8</v>
      </c>
      <c r="BE1035" s="58">
        <f t="shared" si="180"/>
        <v>0</v>
      </c>
      <c r="BF1035" s="58">
        <f t="shared" si="181"/>
        <v>0</v>
      </c>
      <c r="BG1035" s="58">
        <f t="shared" si="182"/>
        <v>0</v>
      </c>
      <c r="BH1035" s="58">
        <f t="shared" si="183"/>
        <v>0</v>
      </c>
      <c r="BI1035" s="58">
        <f t="shared" si="184"/>
        <v>0</v>
      </c>
      <c r="BJ1035" s="58">
        <f t="shared" si="185"/>
        <v>0</v>
      </c>
      <c r="BK1035" s="58">
        <f t="shared" si="186"/>
        <v>8</v>
      </c>
    </row>
    <row r="1036" spans="1:63" ht="27" customHeight="1">
      <c r="A1036" s="238">
        <f t="shared" si="187"/>
        <v>1034</v>
      </c>
      <c r="B1036" s="239"/>
      <c r="C1036" s="239">
        <v>3424</v>
      </c>
      <c r="D1036" s="241" t="s">
        <v>5828</v>
      </c>
      <c r="E1036" s="242" t="s">
        <v>5829</v>
      </c>
      <c r="F1036" s="243" t="s">
        <v>557</v>
      </c>
      <c r="G1036" s="244" t="s">
        <v>1692</v>
      </c>
      <c r="H1036" s="245" t="s">
        <v>559</v>
      </c>
      <c r="I1036" s="246" t="s">
        <v>99</v>
      </c>
      <c r="J1036" s="247" t="s">
        <v>178</v>
      </c>
      <c r="K1036" s="248">
        <v>33947</v>
      </c>
      <c r="L1036" s="249" t="s">
        <v>179</v>
      </c>
      <c r="M1036" s="250">
        <v>43770</v>
      </c>
      <c r="N1036" s="250"/>
      <c r="O1036" s="250" t="s">
        <v>3585</v>
      </c>
      <c r="P1036" s="238" t="s">
        <v>34</v>
      </c>
      <c r="Q1036" s="238" t="s">
        <v>181</v>
      </c>
      <c r="R1036" s="238" t="s">
        <v>182</v>
      </c>
      <c r="S1036" s="238" t="s">
        <v>256</v>
      </c>
      <c r="T1036" s="251"/>
      <c r="U1036" s="251"/>
      <c r="V1036" s="252" t="s">
        <v>200</v>
      </c>
      <c r="W1036" s="252">
        <v>10966</v>
      </c>
      <c r="X1036" s="252">
        <v>9</v>
      </c>
      <c r="Y1036" s="253" t="s">
        <v>5830</v>
      </c>
      <c r="Z1036" s="254" t="s">
        <v>186</v>
      </c>
      <c r="AA1036" s="254"/>
      <c r="AB1036" s="252"/>
      <c r="AC1036" s="255"/>
      <c r="AD1036" s="256"/>
      <c r="AE1036" s="256"/>
      <c r="AF1036" s="257"/>
      <c r="AG1036" s="258"/>
      <c r="AH1036" s="259"/>
      <c r="AI1036" s="259"/>
      <c r="AJ1036" s="260" t="s">
        <v>203</v>
      </c>
      <c r="AK1036" s="260" t="s">
        <v>190</v>
      </c>
      <c r="AL1036" s="260" t="s">
        <v>190</v>
      </c>
      <c r="AM1036" s="255" t="s">
        <v>5747</v>
      </c>
      <c r="AN1036" s="22">
        <v>177</v>
      </c>
      <c r="AO1036" s="22">
        <v>0</v>
      </c>
      <c r="AP1036" s="22">
        <v>0</v>
      </c>
      <c r="AQ1036" s="22">
        <v>0</v>
      </c>
      <c r="AR1036" s="22">
        <v>0</v>
      </c>
      <c r="AS1036" s="22">
        <v>7</v>
      </c>
      <c r="AT1036" s="22">
        <v>10</v>
      </c>
      <c r="AU1036" s="316">
        <f t="shared" si="177"/>
        <v>194</v>
      </c>
      <c r="AV1036" s="22">
        <v>185</v>
      </c>
      <c r="AW1036" s="22">
        <v>0</v>
      </c>
      <c r="AX1036" s="22">
        <v>0</v>
      </c>
      <c r="AY1036" s="22">
        <v>0</v>
      </c>
      <c r="AZ1036" s="22">
        <v>0</v>
      </c>
      <c r="BA1036" s="22">
        <v>7</v>
      </c>
      <c r="BB1036" s="22">
        <v>10</v>
      </c>
      <c r="BC1036" s="316">
        <f t="shared" si="178"/>
        <v>202</v>
      </c>
      <c r="BD1036" s="58">
        <f t="shared" si="179"/>
        <v>8</v>
      </c>
      <c r="BE1036" s="58">
        <f t="shared" si="180"/>
        <v>0</v>
      </c>
      <c r="BF1036" s="58">
        <f t="shared" si="181"/>
        <v>0</v>
      </c>
      <c r="BG1036" s="58">
        <f t="shared" si="182"/>
        <v>0</v>
      </c>
      <c r="BH1036" s="58">
        <f t="shared" si="183"/>
        <v>0</v>
      </c>
      <c r="BI1036" s="58">
        <f t="shared" si="184"/>
        <v>0</v>
      </c>
      <c r="BJ1036" s="58">
        <f t="shared" si="185"/>
        <v>0</v>
      </c>
      <c r="BK1036" s="58">
        <f t="shared" si="186"/>
        <v>8</v>
      </c>
    </row>
    <row r="1037" spans="1:63" ht="27" customHeight="1">
      <c r="A1037" s="238">
        <f t="shared" si="187"/>
        <v>1035</v>
      </c>
      <c r="B1037" s="239"/>
      <c r="C1037" s="239">
        <v>3419</v>
      </c>
      <c r="D1037" s="241" t="s">
        <v>5831</v>
      </c>
      <c r="E1037" s="242" t="s">
        <v>5832</v>
      </c>
      <c r="F1037" s="243" t="s">
        <v>1005</v>
      </c>
      <c r="G1037" s="244" t="s">
        <v>2926</v>
      </c>
      <c r="H1037" s="245" t="s">
        <v>1007</v>
      </c>
      <c r="I1037" s="246" t="s">
        <v>5500</v>
      </c>
      <c r="J1037" s="247" t="s">
        <v>178</v>
      </c>
      <c r="K1037" s="248">
        <v>33435</v>
      </c>
      <c r="L1037" s="249" t="s">
        <v>179</v>
      </c>
      <c r="M1037" s="250">
        <v>43770</v>
      </c>
      <c r="N1037" s="250"/>
      <c r="O1037" s="250" t="s">
        <v>5759</v>
      </c>
      <c r="P1037" s="238" t="s">
        <v>5717</v>
      </c>
      <c r="Q1037" s="238" t="s">
        <v>181</v>
      </c>
      <c r="R1037" s="238" t="s">
        <v>182</v>
      </c>
      <c r="S1037" s="238" t="s">
        <v>211</v>
      </c>
      <c r="T1037" s="251"/>
      <c r="U1037" s="251"/>
      <c r="V1037" s="252" t="s">
        <v>184</v>
      </c>
      <c r="W1037" s="252" t="s">
        <v>184</v>
      </c>
      <c r="X1037" s="252">
        <v>9</v>
      </c>
      <c r="Y1037" s="253" t="s">
        <v>5833</v>
      </c>
      <c r="Z1037" s="254" t="s">
        <v>186</v>
      </c>
      <c r="AA1037" s="254"/>
      <c r="AB1037" s="252"/>
      <c r="AC1037" s="255"/>
      <c r="AD1037" s="256"/>
      <c r="AE1037" s="256"/>
      <c r="AF1037" s="257"/>
      <c r="AG1037" s="258"/>
      <c r="AH1037" s="259"/>
      <c r="AI1037" s="259"/>
      <c r="AJ1037" s="260" t="s">
        <v>203</v>
      </c>
      <c r="AK1037" s="260" t="s">
        <v>190</v>
      </c>
      <c r="AL1037" s="260" t="s">
        <v>190</v>
      </c>
      <c r="AM1037" s="255" t="s">
        <v>5723</v>
      </c>
      <c r="AN1037" s="22">
        <v>177</v>
      </c>
      <c r="AO1037" s="22">
        <v>0</v>
      </c>
      <c r="AP1037" s="22">
        <v>0</v>
      </c>
      <c r="AQ1037" s="22">
        <v>0</v>
      </c>
      <c r="AR1037" s="22">
        <v>0</v>
      </c>
      <c r="AS1037" s="22">
        <v>7</v>
      </c>
      <c r="AT1037" s="22">
        <v>10</v>
      </c>
      <c r="AU1037" s="316">
        <f t="shared" si="177"/>
        <v>194</v>
      </c>
      <c r="AV1037" s="22">
        <v>185</v>
      </c>
      <c r="AW1037" s="22">
        <v>0</v>
      </c>
      <c r="AX1037" s="22">
        <v>0</v>
      </c>
      <c r="AY1037" s="22">
        <v>0</v>
      </c>
      <c r="AZ1037" s="22">
        <v>0</v>
      </c>
      <c r="BA1037" s="22">
        <v>7</v>
      </c>
      <c r="BB1037" s="22">
        <v>10</v>
      </c>
      <c r="BC1037" s="316">
        <f t="shared" si="178"/>
        <v>202</v>
      </c>
      <c r="BD1037" s="58">
        <f t="shared" si="179"/>
        <v>8</v>
      </c>
      <c r="BE1037" s="58">
        <f t="shared" si="180"/>
        <v>0</v>
      </c>
      <c r="BF1037" s="58">
        <f t="shared" si="181"/>
        <v>0</v>
      </c>
      <c r="BG1037" s="58">
        <f t="shared" si="182"/>
        <v>0</v>
      </c>
      <c r="BH1037" s="58">
        <f t="shared" si="183"/>
        <v>0</v>
      </c>
      <c r="BI1037" s="58">
        <f t="shared" si="184"/>
        <v>0</v>
      </c>
      <c r="BJ1037" s="58">
        <f t="shared" si="185"/>
        <v>0</v>
      </c>
      <c r="BK1037" s="58">
        <f t="shared" si="186"/>
        <v>8</v>
      </c>
    </row>
    <row r="1038" spans="1:63" ht="27" customHeight="1">
      <c r="A1038" s="238">
        <f t="shared" si="187"/>
        <v>1036</v>
      </c>
      <c r="B1038" s="239"/>
      <c r="C1038" s="239">
        <v>3418</v>
      </c>
      <c r="D1038" s="241" t="s">
        <v>5834</v>
      </c>
      <c r="E1038" s="242" t="s">
        <v>5835</v>
      </c>
      <c r="F1038" s="243" t="s">
        <v>2653</v>
      </c>
      <c r="G1038" s="244" t="s">
        <v>2926</v>
      </c>
      <c r="H1038" s="245" t="s">
        <v>4800</v>
      </c>
      <c r="I1038" s="246" t="s">
        <v>5500</v>
      </c>
      <c r="J1038" s="247" t="s">
        <v>178</v>
      </c>
      <c r="K1038" s="248">
        <v>27643</v>
      </c>
      <c r="L1038" s="249" t="s">
        <v>179</v>
      </c>
      <c r="M1038" s="250">
        <v>43770</v>
      </c>
      <c r="N1038" s="250"/>
      <c r="O1038" s="250" t="s">
        <v>5759</v>
      </c>
      <c r="P1038" s="238" t="s">
        <v>5717</v>
      </c>
      <c r="Q1038" s="238" t="s">
        <v>181</v>
      </c>
      <c r="R1038" s="238" t="s">
        <v>182</v>
      </c>
      <c r="S1038" s="238" t="s">
        <v>727</v>
      </c>
      <c r="T1038" s="251"/>
      <c r="U1038" s="251"/>
      <c r="V1038" s="252" t="s">
        <v>184</v>
      </c>
      <c r="W1038" s="252" t="s">
        <v>184</v>
      </c>
      <c r="X1038" s="252">
        <v>6</v>
      </c>
      <c r="Y1038" s="253" t="s">
        <v>5836</v>
      </c>
      <c r="Z1038" s="254"/>
      <c r="AA1038" s="254" t="s">
        <v>186</v>
      </c>
      <c r="AB1038" s="252"/>
      <c r="AC1038" s="255"/>
      <c r="AD1038" s="256"/>
      <c r="AE1038" s="256"/>
      <c r="AF1038" s="257"/>
      <c r="AG1038" s="258"/>
      <c r="AH1038" s="259"/>
      <c r="AI1038" s="259"/>
      <c r="AJ1038" s="260" t="s">
        <v>203</v>
      </c>
      <c r="AK1038" s="260" t="s">
        <v>190</v>
      </c>
      <c r="AL1038" s="260" t="s">
        <v>190</v>
      </c>
      <c r="AM1038" s="255" t="s">
        <v>5747</v>
      </c>
      <c r="AN1038" s="22">
        <v>177</v>
      </c>
      <c r="AO1038" s="22">
        <v>0</v>
      </c>
      <c r="AP1038" s="22">
        <v>0</v>
      </c>
      <c r="AQ1038" s="22">
        <v>0</v>
      </c>
      <c r="AR1038" s="22">
        <v>0</v>
      </c>
      <c r="AS1038" s="22">
        <v>7</v>
      </c>
      <c r="AT1038" s="22">
        <v>10</v>
      </c>
      <c r="AU1038" s="316">
        <f t="shared" si="177"/>
        <v>194</v>
      </c>
      <c r="AV1038" s="22">
        <v>185</v>
      </c>
      <c r="AW1038" s="22">
        <v>0</v>
      </c>
      <c r="AX1038" s="22">
        <v>0</v>
      </c>
      <c r="AY1038" s="22">
        <v>0</v>
      </c>
      <c r="AZ1038" s="22">
        <v>0</v>
      </c>
      <c r="BA1038" s="22">
        <v>7</v>
      </c>
      <c r="BB1038" s="22">
        <v>10</v>
      </c>
      <c r="BC1038" s="316">
        <f t="shared" si="178"/>
        <v>202</v>
      </c>
      <c r="BD1038" s="58">
        <f t="shared" si="179"/>
        <v>8</v>
      </c>
      <c r="BE1038" s="58">
        <f t="shared" si="180"/>
        <v>0</v>
      </c>
      <c r="BF1038" s="58">
        <f t="shared" si="181"/>
        <v>0</v>
      </c>
      <c r="BG1038" s="58">
        <f t="shared" si="182"/>
        <v>0</v>
      </c>
      <c r="BH1038" s="58">
        <f t="shared" si="183"/>
        <v>0</v>
      </c>
      <c r="BI1038" s="58">
        <f t="shared" si="184"/>
        <v>0</v>
      </c>
      <c r="BJ1038" s="58">
        <f t="shared" si="185"/>
        <v>0</v>
      </c>
      <c r="BK1038" s="58">
        <f t="shared" si="186"/>
        <v>8</v>
      </c>
    </row>
    <row r="1039" spans="1:63" ht="27" customHeight="1">
      <c r="A1039" s="238">
        <f t="shared" si="187"/>
        <v>1037</v>
      </c>
      <c r="B1039" s="239"/>
      <c r="C1039" s="239">
        <v>3443</v>
      </c>
      <c r="D1039" s="241">
        <v>0</v>
      </c>
      <c r="E1039" s="242" t="s">
        <v>296</v>
      </c>
      <c r="F1039" s="243" t="s">
        <v>5837</v>
      </c>
      <c r="G1039" s="244" t="s">
        <v>5838</v>
      </c>
      <c r="H1039" s="245">
        <v>0</v>
      </c>
      <c r="I1039" s="246">
        <v>0</v>
      </c>
      <c r="J1039" s="247" t="s">
        <v>209</v>
      </c>
      <c r="K1039" s="248">
        <v>29352</v>
      </c>
      <c r="L1039" s="249" t="s">
        <v>179</v>
      </c>
      <c r="M1039" s="250">
        <v>43787</v>
      </c>
      <c r="N1039" s="250"/>
      <c r="O1039" s="250" t="s">
        <v>3644</v>
      </c>
      <c r="P1039" s="238" t="s">
        <v>34</v>
      </c>
      <c r="Q1039" s="238" t="s">
        <v>181</v>
      </c>
      <c r="R1039" s="238" t="s">
        <v>182</v>
      </c>
      <c r="S1039" s="238" t="s">
        <v>310</v>
      </c>
      <c r="T1039" s="251"/>
      <c r="U1039" s="251"/>
      <c r="V1039" s="252" t="s">
        <v>184</v>
      </c>
      <c r="W1039" s="252" t="s">
        <v>184</v>
      </c>
      <c r="X1039" s="252">
        <v>7</v>
      </c>
      <c r="Y1039" s="253" t="s">
        <v>5839</v>
      </c>
      <c r="Z1039" s="254"/>
      <c r="AA1039" s="254" t="s">
        <v>186</v>
      </c>
      <c r="AB1039" s="252"/>
      <c r="AC1039" s="255"/>
      <c r="AD1039" s="256"/>
      <c r="AE1039" s="256"/>
      <c r="AF1039" s="257"/>
      <c r="AG1039" s="258"/>
      <c r="AH1039" s="259"/>
      <c r="AI1039" s="259"/>
      <c r="AJ1039" s="260" t="s">
        <v>203</v>
      </c>
      <c r="AK1039" s="260" t="s">
        <v>190</v>
      </c>
      <c r="AL1039" s="260" t="s">
        <v>190</v>
      </c>
      <c r="AM1039" s="255" t="s">
        <v>5723</v>
      </c>
      <c r="AN1039" s="22">
        <v>177</v>
      </c>
      <c r="AO1039" s="22">
        <v>0</v>
      </c>
      <c r="AP1039" s="22">
        <v>0</v>
      </c>
      <c r="AQ1039" s="22">
        <v>0</v>
      </c>
      <c r="AR1039" s="22">
        <v>0</v>
      </c>
      <c r="AS1039" s="22">
        <v>7</v>
      </c>
      <c r="AT1039" s="22">
        <v>10</v>
      </c>
      <c r="AU1039" s="316">
        <f t="shared" si="177"/>
        <v>194</v>
      </c>
      <c r="AV1039" s="22">
        <v>185</v>
      </c>
      <c r="AW1039" s="22">
        <v>0</v>
      </c>
      <c r="AX1039" s="22">
        <v>0</v>
      </c>
      <c r="AY1039" s="22">
        <v>0</v>
      </c>
      <c r="AZ1039" s="22">
        <v>0</v>
      </c>
      <c r="BA1039" s="22">
        <v>7</v>
      </c>
      <c r="BB1039" s="22">
        <v>10</v>
      </c>
      <c r="BC1039" s="316">
        <f t="shared" si="178"/>
        <v>202</v>
      </c>
      <c r="BD1039" s="58">
        <f t="shared" si="179"/>
        <v>8</v>
      </c>
      <c r="BE1039" s="58">
        <f t="shared" si="180"/>
        <v>0</v>
      </c>
      <c r="BF1039" s="58">
        <f t="shared" si="181"/>
        <v>0</v>
      </c>
      <c r="BG1039" s="58">
        <f t="shared" si="182"/>
        <v>0</v>
      </c>
      <c r="BH1039" s="58">
        <f t="shared" si="183"/>
        <v>0</v>
      </c>
      <c r="BI1039" s="58">
        <f t="shared" si="184"/>
        <v>0</v>
      </c>
      <c r="BJ1039" s="58">
        <f t="shared" si="185"/>
        <v>0</v>
      </c>
      <c r="BK1039" s="58">
        <f t="shared" si="186"/>
        <v>8</v>
      </c>
    </row>
    <row r="1040" spans="1:63" ht="27" customHeight="1">
      <c r="A1040" s="238">
        <f t="shared" si="187"/>
        <v>1038</v>
      </c>
      <c r="B1040" s="239"/>
      <c r="C1040" s="239">
        <v>3445</v>
      </c>
      <c r="D1040" s="241" t="s">
        <v>5840</v>
      </c>
      <c r="E1040" s="242" t="s">
        <v>5841</v>
      </c>
      <c r="F1040" s="243" t="s">
        <v>436</v>
      </c>
      <c r="G1040" s="244" t="s">
        <v>5842</v>
      </c>
      <c r="H1040" s="245" t="s">
        <v>1188</v>
      </c>
      <c r="I1040" s="246" t="s">
        <v>4357</v>
      </c>
      <c r="J1040" s="247" t="s">
        <v>178</v>
      </c>
      <c r="K1040" s="248">
        <v>29448</v>
      </c>
      <c r="L1040" s="249" t="s">
        <v>179</v>
      </c>
      <c r="M1040" s="250">
        <v>43788</v>
      </c>
      <c r="N1040" s="250"/>
      <c r="O1040" s="250" t="s">
        <v>3559</v>
      </c>
      <c r="P1040" s="238" t="s">
        <v>34</v>
      </c>
      <c r="Q1040" s="238" t="s">
        <v>181</v>
      </c>
      <c r="R1040" s="238" t="s">
        <v>182</v>
      </c>
      <c r="S1040" s="238" t="s">
        <v>211</v>
      </c>
      <c r="T1040" s="251"/>
      <c r="U1040" s="251"/>
      <c r="V1040" s="252" t="s">
        <v>184</v>
      </c>
      <c r="W1040" s="252" t="s">
        <v>184</v>
      </c>
      <c r="X1040" s="252">
        <v>3</v>
      </c>
      <c r="Y1040" s="253" t="s">
        <v>5843</v>
      </c>
      <c r="Z1040" s="254" t="s">
        <v>186</v>
      </c>
      <c r="AA1040" s="254"/>
      <c r="AB1040" s="252"/>
      <c r="AC1040" s="255"/>
      <c r="AD1040" s="256"/>
      <c r="AE1040" s="256"/>
      <c r="AF1040" s="257"/>
      <c r="AG1040" s="258"/>
      <c r="AH1040" s="259"/>
      <c r="AI1040" s="259"/>
      <c r="AJ1040" s="260" t="s">
        <v>203</v>
      </c>
      <c r="AK1040" s="260" t="s">
        <v>190</v>
      </c>
      <c r="AL1040" s="260" t="s">
        <v>190</v>
      </c>
      <c r="AM1040" s="255" t="s">
        <v>5747</v>
      </c>
      <c r="AN1040" s="22">
        <v>177</v>
      </c>
      <c r="AO1040" s="22">
        <v>0</v>
      </c>
      <c r="AP1040" s="22">
        <v>0</v>
      </c>
      <c r="AQ1040" s="22">
        <v>0</v>
      </c>
      <c r="AR1040" s="22">
        <v>0</v>
      </c>
      <c r="AS1040" s="22">
        <v>7</v>
      </c>
      <c r="AT1040" s="22">
        <v>10</v>
      </c>
      <c r="AU1040" s="316">
        <f t="shared" si="177"/>
        <v>194</v>
      </c>
      <c r="AV1040" s="22">
        <v>185</v>
      </c>
      <c r="AW1040" s="22">
        <v>0</v>
      </c>
      <c r="AX1040" s="22">
        <v>0</v>
      </c>
      <c r="AY1040" s="22">
        <v>0</v>
      </c>
      <c r="AZ1040" s="22">
        <v>0</v>
      </c>
      <c r="BA1040" s="22">
        <v>7</v>
      </c>
      <c r="BB1040" s="22">
        <v>10</v>
      </c>
      <c r="BC1040" s="316">
        <f t="shared" si="178"/>
        <v>202</v>
      </c>
      <c r="BD1040" s="58">
        <f t="shared" si="179"/>
        <v>8</v>
      </c>
      <c r="BE1040" s="58">
        <f t="shared" si="180"/>
        <v>0</v>
      </c>
      <c r="BF1040" s="58">
        <f t="shared" si="181"/>
        <v>0</v>
      </c>
      <c r="BG1040" s="58">
        <f t="shared" si="182"/>
        <v>0</v>
      </c>
      <c r="BH1040" s="58">
        <f t="shared" si="183"/>
        <v>0</v>
      </c>
      <c r="BI1040" s="58">
        <f t="shared" si="184"/>
        <v>0</v>
      </c>
      <c r="BJ1040" s="58">
        <f t="shared" si="185"/>
        <v>0</v>
      </c>
      <c r="BK1040" s="58">
        <f t="shared" si="186"/>
        <v>8</v>
      </c>
    </row>
    <row r="1041" spans="1:63" ht="27" customHeight="1">
      <c r="A1041" s="238">
        <f t="shared" si="187"/>
        <v>1039</v>
      </c>
      <c r="B1041" s="239"/>
      <c r="C1041" s="239">
        <v>3444</v>
      </c>
      <c r="D1041" s="241" t="s">
        <v>5844</v>
      </c>
      <c r="E1041" s="242" t="s">
        <v>5845</v>
      </c>
      <c r="F1041" s="243" t="s">
        <v>5846</v>
      </c>
      <c r="G1041" s="244" t="s">
        <v>5847</v>
      </c>
      <c r="H1041" s="245" t="s">
        <v>5848</v>
      </c>
      <c r="I1041" s="246" t="s">
        <v>5849</v>
      </c>
      <c r="J1041" s="247" t="s">
        <v>178</v>
      </c>
      <c r="K1041" s="248">
        <v>30046</v>
      </c>
      <c r="L1041" s="249" t="s">
        <v>179</v>
      </c>
      <c r="M1041" s="250">
        <v>43788</v>
      </c>
      <c r="N1041" s="250"/>
      <c r="O1041" s="250" t="s">
        <v>5721</v>
      </c>
      <c r="P1041" s="238" t="s">
        <v>34</v>
      </c>
      <c r="Q1041" s="238" t="s">
        <v>181</v>
      </c>
      <c r="R1041" s="238" t="s">
        <v>182</v>
      </c>
      <c r="S1041" s="238" t="s">
        <v>727</v>
      </c>
      <c r="T1041" s="251"/>
      <c r="U1041" s="251"/>
      <c r="V1041" s="252" t="s">
        <v>184</v>
      </c>
      <c r="W1041" s="252" t="s">
        <v>184</v>
      </c>
      <c r="X1041" s="252">
        <v>8</v>
      </c>
      <c r="Y1041" s="253" t="s">
        <v>5850</v>
      </c>
      <c r="Z1041" s="254"/>
      <c r="AA1041" s="254" t="s">
        <v>186</v>
      </c>
      <c r="AB1041" s="252"/>
      <c r="AC1041" s="255" t="s">
        <v>387</v>
      </c>
      <c r="AD1041" s="256" t="s">
        <v>188</v>
      </c>
      <c r="AE1041" s="256" t="s">
        <v>188</v>
      </c>
      <c r="AF1041" s="256" t="s">
        <v>188</v>
      </c>
      <c r="AG1041" s="258"/>
      <c r="AH1041" s="259"/>
      <c r="AI1041" s="259"/>
      <c r="AJ1041" s="260" t="s">
        <v>203</v>
      </c>
      <c r="AK1041" s="260" t="s">
        <v>190</v>
      </c>
      <c r="AL1041" s="260" t="s">
        <v>190</v>
      </c>
      <c r="AM1041" s="255" t="s">
        <v>5851</v>
      </c>
      <c r="AN1041" s="22">
        <v>177</v>
      </c>
      <c r="AO1041" s="22">
        <v>0</v>
      </c>
      <c r="AP1041" s="22">
        <v>0</v>
      </c>
      <c r="AQ1041" s="22">
        <v>0</v>
      </c>
      <c r="AR1041" s="22">
        <v>0</v>
      </c>
      <c r="AS1041" s="22">
        <v>7</v>
      </c>
      <c r="AT1041" s="22">
        <v>10</v>
      </c>
      <c r="AU1041" s="316">
        <f t="shared" si="177"/>
        <v>194</v>
      </c>
      <c r="AV1041" s="22">
        <v>185</v>
      </c>
      <c r="AW1041" s="22">
        <v>0</v>
      </c>
      <c r="AX1041" s="22">
        <v>0</v>
      </c>
      <c r="AY1041" s="22">
        <v>0</v>
      </c>
      <c r="AZ1041" s="22">
        <v>0</v>
      </c>
      <c r="BA1041" s="22">
        <v>7</v>
      </c>
      <c r="BB1041" s="22">
        <v>10</v>
      </c>
      <c r="BC1041" s="316">
        <f t="shared" si="178"/>
        <v>202</v>
      </c>
      <c r="BD1041" s="58">
        <f t="shared" si="179"/>
        <v>8</v>
      </c>
      <c r="BE1041" s="58">
        <f t="shared" si="180"/>
        <v>0</v>
      </c>
      <c r="BF1041" s="58">
        <f t="shared" si="181"/>
        <v>0</v>
      </c>
      <c r="BG1041" s="58">
        <f t="shared" si="182"/>
        <v>0</v>
      </c>
      <c r="BH1041" s="58">
        <f t="shared" si="183"/>
        <v>0</v>
      </c>
      <c r="BI1041" s="58">
        <f t="shared" si="184"/>
        <v>0</v>
      </c>
      <c r="BJ1041" s="58">
        <f t="shared" si="185"/>
        <v>0</v>
      </c>
      <c r="BK1041" s="58">
        <f t="shared" si="186"/>
        <v>8</v>
      </c>
    </row>
    <row r="1042" spans="1:63" ht="27" customHeight="1">
      <c r="A1042" s="238">
        <f t="shared" si="187"/>
        <v>1040</v>
      </c>
      <c r="B1042" s="239"/>
      <c r="C1042" s="239">
        <v>3442</v>
      </c>
      <c r="D1042" s="241">
        <v>0</v>
      </c>
      <c r="E1042" s="242" t="s">
        <v>5852</v>
      </c>
      <c r="F1042" s="243" t="s">
        <v>2229</v>
      </c>
      <c r="G1042" s="244" t="s">
        <v>1037</v>
      </c>
      <c r="H1042" s="245" t="s">
        <v>5795</v>
      </c>
      <c r="I1042" s="246" t="s">
        <v>1765</v>
      </c>
      <c r="J1042" s="247" t="s">
        <v>178</v>
      </c>
      <c r="K1042" s="248">
        <v>32714</v>
      </c>
      <c r="L1042" s="249" t="s">
        <v>179</v>
      </c>
      <c r="M1042" s="250">
        <v>43785</v>
      </c>
      <c r="N1042" s="250"/>
      <c r="O1042" s="250" t="s">
        <v>5759</v>
      </c>
      <c r="P1042" s="238" t="s">
        <v>34</v>
      </c>
      <c r="Q1042" s="238" t="s">
        <v>181</v>
      </c>
      <c r="R1042" s="238" t="s">
        <v>182</v>
      </c>
      <c r="S1042" s="238" t="s">
        <v>727</v>
      </c>
      <c r="T1042" s="251"/>
      <c r="U1042" s="251"/>
      <c r="V1042" s="252" t="s">
        <v>184</v>
      </c>
      <c r="W1042" s="252">
        <v>3416</v>
      </c>
      <c r="X1042" s="252">
        <v>7</v>
      </c>
      <c r="Y1042" s="253" t="s">
        <v>5853</v>
      </c>
      <c r="Z1042" s="254"/>
      <c r="AA1042" s="254" t="s">
        <v>186</v>
      </c>
      <c r="AB1042" s="252"/>
      <c r="AC1042" s="255"/>
      <c r="AD1042" s="256"/>
      <c r="AE1042" s="256"/>
      <c r="AF1042" s="257"/>
      <c r="AG1042" s="258"/>
      <c r="AH1042" s="259"/>
      <c r="AI1042" s="259"/>
      <c r="AJ1042" s="260" t="s">
        <v>203</v>
      </c>
      <c r="AK1042" s="260" t="s">
        <v>190</v>
      </c>
      <c r="AL1042" s="260" t="s">
        <v>190</v>
      </c>
      <c r="AM1042" s="255" t="s">
        <v>5851</v>
      </c>
      <c r="AN1042" s="22">
        <v>177</v>
      </c>
      <c r="AO1042" s="22">
        <v>0</v>
      </c>
      <c r="AP1042" s="22">
        <v>0</v>
      </c>
      <c r="AQ1042" s="22">
        <v>0</v>
      </c>
      <c r="AR1042" s="22">
        <v>0</v>
      </c>
      <c r="AS1042" s="22">
        <v>7</v>
      </c>
      <c r="AT1042" s="22">
        <v>10</v>
      </c>
      <c r="AU1042" s="316">
        <f t="shared" si="177"/>
        <v>194</v>
      </c>
      <c r="AV1042" s="22">
        <v>185</v>
      </c>
      <c r="AW1042" s="22">
        <v>0</v>
      </c>
      <c r="AX1042" s="22">
        <v>0</v>
      </c>
      <c r="AY1042" s="22">
        <v>0</v>
      </c>
      <c r="AZ1042" s="22">
        <v>0</v>
      </c>
      <c r="BA1042" s="22">
        <v>7</v>
      </c>
      <c r="BB1042" s="22">
        <v>10</v>
      </c>
      <c r="BC1042" s="316">
        <f t="shared" si="178"/>
        <v>202</v>
      </c>
      <c r="BD1042" s="58">
        <f t="shared" si="179"/>
        <v>8</v>
      </c>
      <c r="BE1042" s="58">
        <f t="shared" si="180"/>
        <v>0</v>
      </c>
      <c r="BF1042" s="58">
        <f t="shared" si="181"/>
        <v>0</v>
      </c>
      <c r="BG1042" s="58">
        <f t="shared" si="182"/>
        <v>0</v>
      </c>
      <c r="BH1042" s="58">
        <f t="shared" si="183"/>
        <v>0</v>
      </c>
      <c r="BI1042" s="58">
        <f t="shared" si="184"/>
        <v>0</v>
      </c>
      <c r="BJ1042" s="58">
        <f t="shared" si="185"/>
        <v>0</v>
      </c>
      <c r="BK1042" s="58">
        <f t="shared" si="186"/>
        <v>8</v>
      </c>
    </row>
    <row r="1043" spans="1:63" ht="27" customHeight="1">
      <c r="A1043" s="238">
        <f t="shared" si="187"/>
        <v>1041</v>
      </c>
      <c r="B1043" s="239"/>
      <c r="C1043" s="239">
        <v>3441</v>
      </c>
      <c r="D1043" s="241">
        <v>0</v>
      </c>
      <c r="E1043" s="242" t="s">
        <v>296</v>
      </c>
      <c r="F1043" s="243" t="s">
        <v>2591</v>
      </c>
      <c r="G1043" s="244" t="s">
        <v>5141</v>
      </c>
      <c r="H1043" s="245">
        <v>0</v>
      </c>
      <c r="I1043" s="246">
        <v>0</v>
      </c>
      <c r="J1043" s="247" t="s">
        <v>178</v>
      </c>
      <c r="K1043" s="248">
        <v>37079</v>
      </c>
      <c r="L1043" s="249" t="s">
        <v>179</v>
      </c>
      <c r="M1043" s="250">
        <v>43783</v>
      </c>
      <c r="N1043" s="250"/>
      <c r="O1043" s="250" t="s">
        <v>5854</v>
      </c>
      <c r="P1043" s="238"/>
      <c r="Q1043" s="238" t="s">
        <v>181</v>
      </c>
      <c r="R1043" s="238" t="s">
        <v>182</v>
      </c>
      <c r="S1043" s="238" t="s">
        <v>211</v>
      </c>
      <c r="T1043" s="251"/>
      <c r="U1043" s="251"/>
      <c r="V1043" s="252" t="s">
        <v>200</v>
      </c>
      <c r="W1043" s="252">
        <v>387</v>
      </c>
      <c r="X1043" s="252">
        <v>9</v>
      </c>
      <c r="Y1043" s="253" t="s">
        <v>5855</v>
      </c>
      <c r="Z1043" s="254" t="s">
        <v>186</v>
      </c>
      <c r="AA1043" s="254"/>
      <c r="AB1043" s="252"/>
      <c r="AC1043" s="255"/>
      <c r="AD1043" s="256"/>
      <c r="AE1043" s="256"/>
      <c r="AF1043" s="257"/>
      <c r="AG1043" s="258"/>
      <c r="AH1043" s="259"/>
      <c r="AI1043" s="259"/>
      <c r="AJ1043" s="260" t="s">
        <v>203</v>
      </c>
      <c r="AK1043" s="260" t="s">
        <v>190</v>
      </c>
      <c r="AL1043" s="260" t="s">
        <v>190</v>
      </c>
      <c r="AM1043" s="255" t="s">
        <v>5856</v>
      </c>
      <c r="AN1043" s="22">
        <v>177</v>
      </c>
      <c r="AO1043" s="22">
        <v>0</v>
      </c>
      <c r="AP1043" s="22">
        <v>0</v>
      </c>
      <c r="AQ1043" s="22">
        <v>0</v>
      </c>
      <c r="AR1043" s="22">
        <v>0</v>
      </c>
      <c r="AS1043" s="22">
        <v>7</v>
      </c>
      <c r="AT1043" s="22">
        <v>10</v>
      </c>
      <c r="AU1043" s="316">
        <f t="shared" si="177"/>
        <v>194</v>
      </c>
      <c r="AV1043" s="22">
        <v>185</v>
      </c>
      <c r="AW1043" s="22">
        <v>0</v>
      </c>
      <c r="AX1043" s="22">
        <v>0</v>
      </c>
      <c r="AY1043" s="22">
        <v>0</v>
      </c>
      <c r="AZ1043" s="22">
        <v>0</v>
      </c>
      <c r="BA1043" s="22">
        <v>7</v>
      </c>
      <c r="BB1043" s="22">
        <v>10</v>
      </c>
      <c r="BC1043" s="316">
        <f t="shared" si="178"/>
        <v>202</v>
      </c>
      <c r="BD1043" s="58">
        <f t="shared" si="179"/>
        <v>8</v>
      </c>
      <c r="BE1043" s="58">
        <f t="shared" si="180"/>
        <v>0</v>
      </c>
      <c r="BF1043" s="58">
        <f t="shared" si="181"/>
        <v>0</v>
      </c>
      <c r="BG1043" s="58">
        <f t="shared" si="182"/>
        <v>0</v>
      </c>
      <c r="BH1043" s="58">
        <f t="shared" si="183"/>
        <v>0</v>
      </c>
      <c r="BI1043" s="58">
        <f t="shared" si="184"/>
        <v>0</v>
      </c>
      <c r="BJ1043" s="58">
        <f t="shared" si="185"/>
        <v>0</v>
      </c>
      <c r="BK1043" s="58">
        <f t="shared" si="186"/>
        <v>8</v>
      </c>
    </row>
    <row r="1044" spans="1:63" ht="27" customHeight="1">
      <c r="A1044" s="238">
        <f t="shared" si="187"/>
        <v>1042</v>
      </c>
      <c r="B1044" s="239"/>
      <c r="C1044" s="239">
        <v>3440</v>
      </c>
      <c r="D1044" s="241">
        <v>0</v>
      </c>
      <c r="E1044" s="242" t="s">
        <v>5857</v>
      </c>
      <c r="F1044" s="243" t="s">
        <v>398</v>
      </c>
      <c r="G1044" s="244" t="s">
        <v>2021</v>
      </c>
      <c r="H1044" s="245" t="s">
        <v>5858</v>
      </c>
      <c r="I1044" s="246" t="s">
        <v>907</v>
      </c>
      <c r="J1044" s="247" t="s">
        <v>178</v>
      </c>
      <c r="K1044" s="248">
        <v>28963</v>
      </c>
      <c r="L1044" s="249" t="s">
        <v>179</v>
      </c>
      <c r="M1044" s="250">
        <v>43784</v>
      </c>
      <c r="N1044" s="250"/>
      <c r="O1044" s="250" t="s">
        <v>3585</v>
      </c>
      <c r="P1044" s="238" t="s">
        <v>34</v>
      </c>
      <c r="Q1044" s="238" t="s">
        <v>181</v>
      </c>
      <c r="R1044" s="238" t="s">
        <v>182</v>
      </c>
      <c r="S1044" s="238" t="s">
        <v>183</v>
      </c>
      <c r="T1044" s="251"/>
      <c r="U1044" s="251"/>
      <c r="V1044" s="252" t="s">
        <v>184</v>
      </c>
      <c r="W1044" s="252" t="s">
        <v>184</v>
      </c>
      <c r="X1044" s="252">
        <v>8</v>
      </c>
      <c r="Y1044" s="253" t="s">
        <v>5859</v>
      </c>
      <c r="Z1044" s="254"/>
      <c r="AA1044" s="254"/>
      <c r="AB1044" s="252"/>
      <c r="AC1044" s="255"/>
      <c r="AD1044" s="256"/>
      <c r="AE1044" s="256"/>
      <c r="AF1044" s="257"/>
      <c r="AG1044" s="258"/>
      <c r="AH1044" s="259"/>
      <c r="AI1044" s="259"/>
      <c r="AJ1044" s="260" t="s">
        <v>203</v>
      </c>
      <c r="AK1044" s="260" t="s">
        <v>190</v>
      </c>
      <c r="AL1044" s="260" t="s">
        <v>190</v>
      </c>
      <c r="AM1044" s="255" t="s">
        <v>5860</v>
      </c>
      <c r="AN1044" s="22">
        <v>182</v>
      </c>
      <c r="AO1044" s="22">
        <v>0</v>
      </c>
      <c r="AP1044" s="22">
        <v>0</v>
      </c>
      <c r="AQ1044" s="22">
        <v>0</v>
      </c>
      <c r="AR1044" s="22">
        <v>0</v>
      </c>
      <c r="AS1044" s="22">
        <v>7</v>
      </c>
      <c r="AT1044" s="22">
        <v>10</v>
      </c>
      <c r="AU1044" s="316">
        <f t="shared" si="177"/>
        <v>199</v>
      </c>
      <c r="AV1044" s="22">
        <v>190</v>
      </c>
      <c r="AW1044" s="22">
        <v>0</v>
      </c>
      <c r="AX1044" s="22">
        <v>0</v>
      </c>
      <c r="AY1044" s="22">
        <v>0</v>
      </c>
      <c r="AZ1044" s="22">
        <v>0</v>
      </c>
      <c r="BA1044" s="22">
        <v>7</v>
      </c>
      <c r="BB1044" s="22">
        <v>10</v>
      </c>
      <c r="BC1044" s="316">
        <f t="shared" si="178"/>
        <v>207</v>
      </c>
      <c r="BD1044" s="58">
        <f t="shared" si="179"/>
        <v>8</v>
      </c>
      <c r="BE1044" s="58">
        <f t="shared" si="180"/>
        <v>0</v>
      </c>
      <c r="BF1044" s="58">
        <f t="shared" si="181"/>
        <v>0</v>
      </c>
      <c r="BG1044" s="58">
        <f t="shared" si="182"/>
        <v>0</v>
      </c>
      <c r="BH1044" s="58">
        <f t="shared" si="183"/>
        <v>0</v>
      </c>
      <c r="BI1044" s="58">
        <f t="shared" si="184"/>
        <v>0</v>
      </c>
      <c r="BJ1044" s="58">
        <f t="shared" si="185"/>
        <v>0</v>
      </c>
      <c r="BK1044" s="58">
        <f t="shared" si="186"/>
        <v>8</v>
      </c>
    </row>
    <row r="1045" spans="1:63" ht="27" customHeight="1">
      <c r="A1045" s="238">
        <f t="shared" si="187"/>
        <v>1043</v>
      </c>
      <c r="B1045" s="239"/>
      <c r="C1045" s="239">
        <v>3339</v>
      </c>
      <c r="D1045" s="241" t="s">
        <v>5861</v>
      </c>
      <c r="E1045" s="242" t="s">
        <v>5862</v>
      </c>
      <c r="F1045" s="243" t="s">
        <v>5863</v>
      </c>
      <c r="G1045" s="244" t="s">
        <v>5864</v>
      </c>
      <c r="H1045" s="245" t="s">
        <v>5865</v>
      </c>
      <c r="I1045" s="246" t="s">
        <v>5866</v>
      </c>
      <c r="J1045" s="247" t="s">
        <v>178</v>
      </c>
      <c r="K1045" s="248">
        <v>28647</v>
      </c>
      <c r="L1045" s="249" t="s">
        <v>179</v>
      </c>
      <c r="M1045" s="250">
        <v>43749</v>
      </c>
      <c r="N1045" s="250"/>
      <c r="O1045" s="250" t="s">
        <v>3551</v>
      </c>
      <c r="P1045" s="238" t="s">
        <v>34</v>
      </c>
      <c r="Q1045" s="238" t="s">
        <v>249</v>
      </c>
      <c r="R1045" s="252" t="s">
        <v>3960</v>
      </c>
      <c r="S1045" s="238" t="s">
        <v>433</v>
      </c>
      <c r="T1045" s="251"/>
      <c r="U1045" s="308">
        <v>43788</v>
      </c>
      <c r="V1045" s="252" t="s">
        <v>200</v>
      </c>
      <c r="W1045" s="252">
        <v>2447</v>
      </c>
      <c r="X1045" s="252">
        <v>5</v>
      </c>
      <c r="Y1045" s="253" t="s">
        <v>5867</v>
      </c>
      <c r="Z1045" s="254"/>
      <c r="AA1045" s="254" t="s">
        <v>186</v>
      </c>
      <c r="AB1045" s="252"/>
      <c r="AC1045" s="255"/>
      <c r="AD1045" s="256" t="s">
        <v>188</v>
      </c>
      <c r="AE1045" s="256" t="s">
        <v>188</v>
      </c>
      <c r="AF1045" s="257" t="s">
        <v>3607</v>
      </c>
      <c r="AG1045" s="258"/>
      <c r="AH1045" s="259"/>
      <c r="AI1045" s="259"/>
      <c r="AJ1045" s="260" t="s">
        <v>203</v>
      </c>
      <c r="AK1045" s="260" t="s">
        <v>190</v>
      </c>
      <c r="AL1045" s="260" t="s">
        <v>190</v>
      </c>
      <c r="AM1045" s="255" t="s">
        <v>5723</v>
      </c>
      <c r="AN1045" s="22">
        <v>182</v>
      </c>
      <c r="AO1045" s="22">
        <v>0</v>
      </c>
      <c r="AP1045" s="22">
        <v>0</v>
      </c>
      <c r="AQ1045" s="22">
        <v>0</v>
      </c>
      <c r="AR1045" s="22">
        <v>0</v>
      </c>
      <c r="AS1045" s="22">
        <v>7</v>
      </c>
      <c r="AT1045" s="22">
        <v>10</v>
      </c>
      <c r="AU1045" s="316">
        <f t="shared" si="177"/>
        <v>199</v>
      </c>
      <c r="AV1045" s="22">
        <v>190</v>
      </c>
      <c r="AW1045" s="22">
        <v>0</v>
      </c>
      <c r="AX1045" s="22">
        <v>0</v>
      </c>
      <c r="AY1045" s="22">
        <v>0</v>
      </c>
      <c r="AZ1045" s="22">
        <v>0</v>
      </c>
      <c r="BA1045" s="22">
        <v>7</v>
      </c>
      <c r="BB1045" s="22">
        <v>10</v>
      </c>
      <c r="BC1045" s="316">
        <f t="shared" si="178"/>
        <v>207</v>
      </c>
      <c r="BD1045" s="58">
        <f t="shared" si="179"/>
        <v>8</v>
      </c>
      <c r="BE1045" s="58">
        <f t="shared" si="180"/>
        <v>0</v>
      </c>
      <c r="BF1045" s="58">
        <f t="shared" si="181"/>
        <v>0</v>
      </c>
      <c r="BG1045" s="58">
        <f t="shared" si="182"/>
        <v>0</v>
      </c>
      <c r="BH1045" s="58">
        <f t="shared" si="183"/>
        <v>0</v>
      </c>
      <c r="BI1045" s="58">
        <f t="shared" si="184"/>
        <v>0</v>
      </c>
      <c r="BJ1045" s="58">
        <f t="shared" si="185"/>
        <v>0</v>
      </c>
      <c r="BK1045" s="58">
        <f t="shared" si="186"/>
        <v>8</v>
      </c>
    </row>
    <row r="1046" spans="1:63" ht="27" customHeight="1">
      <c r="A1046" s="238">
        <f t="shared" si="187"/>
        <v>1044</v>
      </c>
      <c r="B1046" s="239"/>
      <c r="C1046" s="239">
        <v>3457</v>
      </c>
      <c r="D1046" s="241">
        <v>0</v>
      </c>
      <c r="E1046" s="242" t="s">
        <v>5868</v>
      </c>
      <c r="F1046" s="243" t="s">
        <v>5869</v>
      </c>
      <c r="G1046" s="244" t="s">
        <v>5870</v>
      </c>
      <c r="H1046" s="245" t="s">
        <v>5871</v>
      </c>
      <c r="I1046" s="246" t="s">
        <v>370</v>
      </c>
      <c r="J1046" s="247" t="s">
        <v>178</v>
      </c>
      <c r="K1046" s="248">
        <v>31445</v>
      </c>
      <c r="L1046" s="249" t="s">
        <v>179</v>
      </c>
      <c r="M1046" s="250">
        <v>43795</v>
      </c>
      <c r="N1046" s="250"/>
      <c r="O1046" s="250" t="s">
        <v>3644</v>
      </c>
      <c r="P1046" s="238" t="s">
        <v>3559</v>
      </c>
      <c r="Q1046" s="238" t="s">
        <v>181</v>
      </c>
      <c r="R1046" s="238" t="s">
        <v>182</v>
      </c>
      <c r="S1046" s="238" t="s">
        <v>228</v>
      </c>
      <c r="T1046" s="251"/>
      <c r="U1046" s="251"/>
      <c r="V1046" s="252" t="s">
        <v>184</v>
      </c>
      <c r="W1046" s="252" t="s">
        <v>184</v>
      </c>
      <c r="X1046" s="252">
        <v>7</v>
      </c>
      <c r="Y1046" s="253" t="s">
        <v>5872</v>
      </c>
      <c r="Z1046" s="254"/>
      <c r="AA1046" s="254" t="s">
        <v>186</v>
      </c>
      <c r="AB1046" s="252"/>
      <c r="AC1046" s="255"/>
      <c r="AD1046" s="256"/>
      <c r="AE1046" s="256"/>
      <c r="AF1046" s="257"/>
      <c r="AG1046" s="258"/>
      <c r="AH1046" s="259"/>
      <c r="AI1046" s="259"/>
      <c r="AJ1046" s="260" t="s">
        <v>203</v>
      </c>
      <c r="AK1046" s="260" t="s">
        <v>190</v>
      </c>
      <c r="AL1046" s="260" t="s">
        <v>190</v>
      </c>
      <c r="AM1046" s="255" t="s">
        <v>5873</v>
      </c>
      <c r="AN1046" s="22">
        <v>182</v>
      </c>
      <c r="AO1046" s="22">
        <v>0</v>
      </c>
      <c r="AP1046" s="22">
        <v>0</v>
      </c>
      <c r="AQ1046" s="22">
        <v>0</v>
      </c>
      <c r="AR1046" s="22">
        <v>0</v>
      </c>
      <c r="AS1046" s="22">
        <v>7</v>
      </c>
      <c r="AT1046" s="22">
        <v>10</v>
      </c>
      <c r="AU1046" s="316">
        <f t="shared" si="177"/>
        <v>199</v>
      </c>
      <c r="AV1046" s="22">
        <v>190</v>
      </c>
      <c r="AW1046" s="22">
        <v>0</v>
      </c>
      <c r="AX1046" s="22">
        <v>0</v>
      </c>
      <c r="AY1046" s="22">
        <v>0</v>
      </c>
      <c r="AZ1046" s="22">
        <v>0</v>
      </c>
      <c r="BA1046" s="22">
        <v>7</v>
      </c>
      <c r="BB1046" s="22">
        <v>10</v>
      </c>
      <c r="BC1046" s="316">
        <f t="shared" si="178"/>
        <v>207</v>
      </c>
      <c r="BD1046" s="58">
        <f t="shared" si="179"/>
        <v>8</v>
      </c>
      <c r="BE1046" s="58">
        <f t="shared" si="180"/>
        <v>0</v>
      </c>
      <c r="BF1046" s="58">
        <f t="shared" si="181"/>
        <v>0</v>
      </c>
      <c r="BG1046" s="58">
        <f t="shared" si="182"/>
        <v>0</v>
      </c>
      <c r="BH1046" s="58">
        <f t="shared" si="183"/>
        <v>0</v>
      </c>
      <c r="BI1046" s="58">
        <f t="shared" si="184"/>
        <v>0</v>
      </c>
      <c r="BJ1046" s="58">
        <f t="shared" si="185"/>
        <v>0</v>
      </c>
      <c r="BK1046" s="58">
        <f t="shared" si="186"/>
        <v>8</v>
      </c>
    </row>
    <row r="1047" spans="1:63" ht="27" customHeight="1">
      <c r="A1047" s="238">
        <f t="shared" si="187"/>
        <v>1045</v>
      </c>
      <c r="B1047" s="239"/>
      <c r="C1047" s="239">
        <v>3451</v>
      </c>
      <c r="D1047" s="241" t="s">
        <v>5874</v>
      </c>
      <c r="E1047" s="242" t="s">
        <v>5875</v>
      </c>
      <c r="F1047" s="243" t="s">
        <v>5876</v>
      </c>
      <c r="G1047" s="244" t="s">
        <v>5877</v>
      </c>
      <c r="H1047" s="245" t="s">
        <v>5878</v>
      </c>
      <c r="I1047" s="246" t="s">
        <v>5879</v>
      </c>
      <c r="J1047" s="247" t="s">
        <v>178</v>
      </c>
      <c r="K1047" s="248">
        <v>31780</v>
      </c>
      <c r="L1047" s="249" t="s">
        <v>179</v>
      </c>
      <c r="M1047" s="250">
        <v>43791</v>
      </c>
      <c r="N1047" s="250"/>
      <c r="O1047" s="250" t="s">
        <v>3644</v>
      </c>
      <c r="P1047" s="238" t="s">
        <v>3585</v>
      </c>
      <c r="Q1047" s="238" t="s">
        <v>181</v>
      </c>
      <c r="R1047" s="238" t="s">
        <v>182</v>
      </c>
      <c r="S1047" s="238" t="s">
        <v>256</v>
      </c>
      <c r="T1047" s="251"/>
      <c r="U1047" s="251"/>
      <c r="V1047" s="252" t="s">
        <v>200</v>
      </c>
      <c r="W1047" s="252" t="s">
        <v>184</v>
      </c>
      <c r="X1047" s="252">
        <v>7</v>
      </c>
      <c r="Y1047" s="253" t="s">
        <v>5880</v>
      </c>
      <c r="Z1047" s="254"/>
      <c r="AA1047" s="254" t="s">
        <v>186</v>
      </c>
      <c r="AB1047" s="252"/>
      <c r="AC1047" s="255"/>
      <c r="AD1047" s="256" t="s">
        <v>188</v>
      </c>
      <c r="AE1047" s="256" t="s">
        <v>188</v>
      </c>
      <c r="AF1047" s="257"/>
      <c r="AG1047" s="258"/>
      <c r="AH1047" s="259"/>
      <c r="AI1047" s="259"/>
      <c r="AJ1047" s="260" t="s">
        <v>203</v>
      </c>
      <c r="AK1047" s="260" t="s">
        <v>190</v>
      </c>
      <c r="AL1047" s="260" t="s">
        <v>190</v>
      </c>
      <c r="AM1047" s="255" t="s">
        <v>5851</v>
      </c>
      <c r="AN1047" s="22">
        <v>182</v>
      </c>
      <c r="AO1047" s="22">
        <v>0</v>
      </c>
      <c r="AP1047" s="22">
        <v>0</v>
      </c>
      <c r="AQ1047" s="22">
        <v>0</v>
      </c>
      <c r="AR1047" s="22">
        <v>0</v>
      </c>
      <c r="AS1047" s="22">
        <v>7</v>
      </c>
      <c r="AT1047" s="22">
        <v>10</v>
      </c>
      <c r="AU1047" s="316">
        <f t="shared" si="177"/>
        <v>199</v>
      </c>
      <c r="AV1047" s="22">
        <v>190</v>
      </c>
      <c r="AW1047" s="22">
        <v>0</v>
      </c>
      <c r="AX1047" s="22">
        <v>0</v>
      </c>
      <c r="AY1047" s="22">
        <v>0</v>
      </c>
      <c r="AZ1047" s="22">
        <v>0</v>
      </c>
      <c r="BA1047" s="22">
        <v>7</v>
      </c>
      <c r="BB1047" s="22">
        <v>10</v>
      </c>
      <c r="BC1047" s="316">
        <f t="shared" si="178"/>
        <v>207</v>
      </c>
      <c r="BD1047" s="58">
        <f t="shared" si="179"/>
        <v>8</v>
      </c>
      <c r="BE1047" s="58">
        <f t="shared" si="180"/>
        <v>0</v>
      </c>
      <c r="BF1047" s="58">
        <f t="shared" si="181"/>
        <v>0</v>
      </c>
      <c r="BG1047" s="58">
        <f t="shared" si="182"/>
        <v>0</v>
      </c>
      <c r="BH1047" s="58">
        <f t="shared" si="183"/>
        <v>0</v>
      </c>
      <c r="BI1047" s="58">
        <f t="shared" si="184"/>
        <v>0</v>
      </c>
      <c r="BJ1047" s="58">
        <f t="shared" si="185"/>
        <v>0</v>
      </c>
      <c r="BK1047" s="58">
        <f t="shared" si="186"/>
        <v>8</v>
      </c>
    </row>
    <row r="1048" spans="1:63" ht="27" customHeight="1">
      <c r="A1048" s="238">
        <f t="shared" si="187"/>
        <v>1046</v>
      </c>
      <c r="B1048" s="239"/>
      <c r="C1048" s="239">
        <v>3452</v>
      </c>
      <c r="D1048" s="241" t="s">
        <v>5881</v>
      </c>
      <c r="E1048" s="242" t="s">
        <v>5882</v>
      </c>
      <c r="F1048" s="243" t="s">
        <v>5883</v>
      </c>
      <c r="G1048" s="244" t="s">
        <v>2251</v>
      </c>
      <c r="H1048" s="245" t="s">
        <v>5884</v>
      </c>
      <c r="I1048" s="246" t="s">
        <v>5885</v>
      </c>
      <c r="J1048" s="247" t="s">
        <v>209</v>
      </c>
      <c r="K1048" s="248">
        <v>36162</v>
      </c>
      <c r="L1048" s="249" t="s">
        <v>179</v>
      </c>
      <c r="M1048" s="250">
        <v>43792</v>
      </c>
      <c r="N1048" s="250"/>
      <c r="O1048" s="250" t="s">
        <v>3644</v>
      </c>
      <c r="P1048" s="238" t="s">
        <v>5886</v>
      </c>
      <c r="Q1048" s="238" t="s">
        <v>181</v>
      </c>
      <c r="R1048" s="238" t="s">
        <v>182</v>
      </c>
      <c r="S1048" s="238" t="s">
        <v>219</v>
      </c>
      <c r="T1048" s="251"/>
      <c r="U1048" s="251"/>
      <c r="V1048" s="252" t="s">
        <v>184</v>
      </c>
      <c r="W1048" s="252" t="s">
        <v>184</v>
      </c>
      <c r="X1048" s="252">
        <v>11</v>
      </c>
      <c r="Y1048" s="253" t="s">
        <v>5887</v>
      </c>
      <c r="Z1048" s="254" t="s">
        <v>186</v>
      </c>
      <c r="AA1048" s="254"/>
      <c r="AB1048" s="252"/>
      <c r="AC1048" s="255"/>
      <c r="AD1048" s="256"/>
      <c r="AE1048" s="256"/>
      <c r="AF1048" s="257"/>
      <c r="AG1048" s="258"/>
      <c r="AH1048" s="259"/>
      <c r="AI1048" s="259"/>
      <c r="AJ1048" s="260" t="s">
        <v>203</v>
      </c>
      <c r="AK1048" s="260" t="s">
        <v>190</v>
      </c>
      <c r="AL1048" s="260" t="s">
        <v>190</v>
      </c>
      <c r="AM1048" s="255" t="s">
        <v>5723</v>
      </c>
      <c r="AN1048" s="22">
        <v>177</v>
      </c>
      <c r="AO1048" s="22">
        <v>0</v>
      </c>
      <c r="AP1048" s="22">
        <v>0</v>
      </c>
      <c r="AQ1048" s="22">
        <v>0</v>
      </c>
      <c r="AR1048" s="22">
        <v>0</v>
      </c>
      <c r="AS1048" s="22">
        <v>7</v>
      </c>
      <c r="AT1048" s="22">
        <v>10</v>
      </c>
      <c r="AU1048" s="316">
        <f t="shared" si="177"/>
        <v>194</v>
      </c>
      <c r="AV1048" s="22">
        <v>185</v>
      </c>
      <c r="AW1048" s="22">
        <v>0</v>
      </c>
      <c r="AX1048" s="22">
        <v>0</v>
      </c>
      <c r="AY1048" s="22">
        <v>0</v>
      </c>
      <c r="AZ1048" s="22">
        <v>0</v>
      </c>
      <c r="BA1048" s="22">
        <v>7</v>
      </c>
      <c r="BB1048" s="22">
        <v>10</v>
      </c>
      <c r="BC1048" s="316">
        <f t="shared" si="178"/>
        <v>202</v>
      </c>
      <c r="BD1048" s="58">
        <f t="shared" si="179"/>
        <v>8</v>
      </c>
      <c r="BE1048" s="58">
        <f t="shared" si="180"/>
        <v>0</v>
      </c>
      <c r="BF1048" s="58">
        <f t="shared" si="181"/>
        <v>0</v>
      </c>
      <c r="BG1048" s="58">
        <f t="shared" si="182"/>
        <v>0</v>
      </c>
      <c r="BH1048" s="58">
        <f t="shared" si="183"/>
        <v>0</v>
      </c>
      <c r="BI1048" s="58">
        <f t="shared" si="184"/>
        <v>0</v>
      </c>
      <c r="BJ1048" s="58">
        <f t="shared" si="185"/>
        <v>0</v>
      </c>
      <c r="BK1048" s="58">
        <f t="shared" si="186"/>
        <v>8</v>
      </c>
    </row>
    <row r="1049" spans="1:63" ht="27" customHeight="1">
      <c r="A1049" s="238">
        <f t="shared" si="187"/>
        <v>1047</v>
      </c>
      <c r="B1049" s="239"/>
      <c r="C1049" s="239">
        <v>3454</v>
      </c>
      <c r="D1049" s="241" t="s">
        <v>5888</v>
      </c>
      <c r="E1049" s="242" t="s">
        <v>5889</v>
      </c>
      <c r="F1049" s="243" t="s">
        <v>5890</v>
      </c>
      <c r="G1049" s="244" t="s">
        <v>5891</v>
      </c>
      <c r="H1049" s="245" t="s">
        <v>5892</v>
      </c>
      <c r="I1049" s="246" t="s">
        <v>5893</v>
      </c>
      <c r="J1049" s="247" t="s">
        <v>209</v>
      </c>
      <c r="K1049" s="248">
        <v>35175</v>
      </c>
      <c r="L1049" s="249" t="s">
        <v>179</v>
      </c>
      <c r="M1049" s="250">
        <v>43795</v>
      </c>
      <c r="N1049" s="250"/>
      <c r="O1049" s="250" t="s">
        <v>3644</v>
      </c>
      <c r="P1049" s="238" t="s">
        <v>5854</v>
      </c>
      <c r="Q1049" s="238" t="s">
        <v>181</v>
      </c>
      <c r="R1049" s="238" t="s">
        <v>182</v>
      </c>
      <c r="S1049" s="238" t="s">
        <v>183</v>
      </c>
      <c r="T1049" s="251"/>
      <c r="U1049" s="251"/>
      <c r="V1049" s="252" t="s">
        <v>184</v>
      </c>
      <c r="W1049" s="252" t="s">
        <v>184</v>
      </c>
      <c r="X1049" s="252">
        <v>5</v>
      </c>
      <c r="Y1049" s="253" t="s">
        <v>5894</v>
      </c>
      <c r="Z1049" s="254" t="s">
        <v>186</v>
      </c>
      <c r="AA1049" s="254"/>
      <c r="AB1049" s="252"/>
      <c r="AC1049" s="255"/>
      <c r="AD1049" s="256"/>
      <c r="AE1049" s="256"/>
      <c r="AF1049" s="257"/>
      <c r="AG1049" s="258"/>
      <c r="AH1049" s="259"/>
      <c r="AI1049" s="259"/>
      <c r="AJ1049" s="260" t="s">
        <v>203</v>
      </c>
      <c r="AK1049" s="260" t="s">
        <v>190</v>
      </c>
      <c r="AL1049" s="260" t="s">
        <v>190</v>
      </c>
      <c r="AM1049" s="255" t="s">
        <v>5723</v>
      </c>
      <c r="AN1049" s="22">
        <v>177</v>
      </c>
      <c r="AO1049" s="22">
        <v>0</v>
      </c>
      <c r="AP1049" s="22">
        <v>0</v>
      </c>
      <c r="AQ1049" s="22">
        <v>0</v>
      </c>
      <c r="AR1049" s="22">
        <v>0</v>
      </c>
      <c r="AS1049" s="22">
        <v>7</v>
      </c>
      <c r="AT1049" s="22">
        <v>10</v>
      </c>
      <c r="AU1049" s="316">
        <f t="shared" si="177"/>
        <v>194</v>
      </c>
      <c r="AV1049" s="22">
        <v>185</v>
      </c>
      <c r="AW1049" s="22">
        <v>0</v>
      </c>
      <c r="AX1049" s="22">
        <v>0</v>
      </c>
      <c r="AY1049" s="22">
        <v>0</v>
      </c>
      <c r="AZ1049" s="22">
        <v>0</v>
      </c>
      <c r="BA1049" s="22">
        <v>7</v>
      </c>
      <c r="BB1049" s="22">
        <v>10</v>
      </c>
      <c r="BC1049" s="316">
        <f t="shared" si="178"/>
        <v>202</v>
      </c>
      <c r="BD1049" s="58">
        <f t="shared" si="179"/>
        <v>8</v>
      </c>
      <c r="BE1049" s="58">
        <f t="shared" si="180"/>
        <v>0</v>
      </c>
      <c r="BF1049" s="58">
        <f t="shared" si="181"/>
        <v>0</v>
      </c>
      <c r="BG1049" s="58">
        <f t="shared" si="182"/>
        <v>0</v>
      </c>
      <c r="BH1049" s="58">
        <f t="shared" si="183"/>
        <v>0</v>
      </c>
      <c r="BI1049" s="58">
        <f t="shared" si="184"/>
        <v>0</v>
      </c>
      <c r="BJ1049" s="58">
        <f t="shared" si="185"/>
        <v>0</v>
      </c>
      <c r="BK1049" s="58">
        <f t="shared" si="186"/>
        <v>8</v>
      </c>
    </row>
    <row r="1050" spans="1:63" ht="27" customHeight="1">
      <c r="A1050" s="238">
        <f t="shared" si="187"/>
        <v>1048</v>
      </c>
      <c r="B1050" s="239"/>
      <c r="C1050" s="239">
        <v>3455</v>
      </c>
      <c r="D1050" s="241" t="s">
        <v>5895</v>
      </c>
      <c r="E1050" s="242" t="s">
        <v>5896</v>
      </c>
      <c r="F1050" s="243" t="s">
        <v>3350</v>
      </c>
      <c r="G1050" s="244" t="s">
        <v>1352</v>
      </c>
      <c r="H1050" s="245" t="s">
        <v>5897</v>
      </c>
      <c r="I1050" s="246" t="s">
        <v>5898</v>
      </c>
      <c r="J1050" s="247" t="s">
        <v>209</v>
      </c>
      <c r="K1050" s="248">
        <v>35053</v>
      </c>
      <c r="L1050" s="249" t="s">
        <v>179</v>
      </c>
      <c r="M1050" s="250">
        <v>43795</v>
      </c>
      <c r="N1050" s="250"/>
      <c r="O1050" s="250" t="s">
        <v>3644</v>
      </c>
      <c r="P1050" s="238" t="s">
        <v>5854</v>
      </c>
      <c r="Q1050" s="238" t="s">
        <v>181</v>
      </c>
      <c r="R1050" s="238" t="s">
        <v>182</v>
      </c>
      <c r="S1050" s="238" t="s">
        <v>183</v>
      </c>
      <c r="T1050" s="251"/>
      <c r="U1050" s="251"/>
      <c r="V1050" s="252" t="s">
        <v>184</v>
      </c>
      <c r="W1050" s="252" t="s">
        <v>184</v>
      </c>
      <c r="X1050" s="252">
        <v>9</v>
      </c>
      <c r="Y1050" s="253" t="s">
        <v>5899</v>
      </c>
      <c r="Z1050" s="254" t="s">
        <v>186</v>
      </c>
      <c r="AA1050" s="254"/>
      <c r="AB1050" s="252"/>
      <c r="AC1050" s="255"/>
      <c r="AD1050" s="256"/>
      <c r="AE1050" s="256"/>
      <c r="AF1050" s="257"/>
      <c r="AG1050" s="258"/>
      <c r="AH1050" s="259"/>
      <c r="AI1050" s="259"/>
      <c r="AJ1050" s="260" t="s">
        <v>203</v>
      </c>
      <c r="AK1050" s="260" t="s">
        <v>190</v>
      </c>
      <c r="AL1050" s="260" t="s">
        <v>190</v>
      </c>
      <c r="AM1050" s="255" t="s">
        <v>5723</v>
      </c>
      <c r="AN1050" s="22">
        <v>177</v>
      </c>
      <c r="AO1050" s="22">
        <v>0</v>
      </c>
      <c r="AP1050" s="22">
        <v>0</v>
      </c>
      <c r="AQ1050" s="22">
        <v>0</v>
      </c>
      <c r="AR1050" s="22">
        <v>0</v>
      </c>
      <c r="AS1050" s="22">
        <v>7</v>
      </c>
      <c r="AT1050" s="22">
        <v>10</v>
      </c>
      <c r="AU1050" s="316">
        <f t="shared" si="177"/>
        <v>194</v>
      </c>
      <c r="AV1050" s="22">
        <v>185</v>
      </c>
      <c r="AW1050" s="22">
        <v>0</v>
      </c>
      <c r="AX1050" s="22">
        <v>0</v>
      </c>
      <c r="AY1050" s="22">
        <v>0</v>
      </c>
      <c r="AZ1050" s="22">
        <v>0</v>
      </c>
      <c r="BA1050" s="22">
        <v>7</v>
      </c>
      <c r="BB1050" s="22">
        <v>10</v>
      </c>
      <c r="BC1050" s="316">
        <f t="shared" si="178"/>
        <v>202</v>
      </c>
      <c r="BD1050" s="58">
        <f t="shared" si="179"/>
        <v>8</v>
      </c>
      <c r="BE1050" s="58">
        <f t="shared" si="180"/>
        <v>0</v>
      </c>
      <c r="BF1050" s="58">
        <f t="shared" si="181"/>
        <v>0</v>
      </c>
      <c r="BG1050" s="58">
        <f t="shared" si="182"/>
        <v>0</v>
      </c>
      <c r="BH1050" s="58">
        <f t="shared" si="183"/>
        <v>0</v>
      </c>
      <c r="BI1050" s="58">
        <f t="shared" si="184"/>
        <v>0</v>
      </c>
      <c r="BJ1050" s="58">
        <f t="shared" si="185"/>
        <v>0</v>
      </c>
      <c r="BK1050" s="58">
        <f t="shared" si="186"/>
        <v>8</v>
      </c>
    </row>
    <row r="1051" spans="1:63" ht="27" customHeight="1">
      <c r="A1051" s="238">
        <f t="shared" si="187"/>
        <v>1049</v>
      </c>
      <c r="B1051" s="239"/>
      <c r="C1051" s="239">
        <v>3453</v>
      </c>
      <c r="D1051" s="241" t="s">
        <v>5900</v>
      </c>
      <c r="E1051" s="242" t="s">
        <v>5901</v>
      </c>
      <c r="F1051" s="243" t="s">
        <v>747</v>
      </c>
      <c r="G1051" s="244" t="s">
        <v>657</v>
      </c>
      <c r="H1051" s="245" t="s">
        <v>2032</v>
      </c>
      <c r="I1051" s="246" t="s">
        <v>5849</v>
      </c>
      <c r="J1051" s="247" t="s">
        <v>178</v>
      </c>
      <c r="K1051" s="248">
        <v>30155</v>
      </c>
      <c r="L1051" s="249" t="s">
        <v>179</v>
      </c>
      <c r="M1051" s="250">
        <v>43792</v>
      </c>
      <c r="N1051" s="250"/>
      <c r="O1051" s="250" t="s">
        <v>3644</v>
      </c>
      <c r="P1051" s="238" t="s">
        <v>3573</v>
      </c>
      <c r="Q1051" s="238" t="s">
        <v>181</v>
      </c>
      <c r="R1051" s="238" t="s">
        <v>182</v>
      </c>
      <c r="S1051" s="238" t="s">
        <v>727</v>
      </c>
      <c r="T1051" s="251"/>
      <c r="U1051" s="251"/>
      <c r="V1051" s="252" t="s">
        <v>184</v>
      </c>
      <c r="W1051" s="252" t="s">
        <v>184</v>
      </c>
      <c r="X1051" s="252">
        <v>6</v>
      </c>
      <c r="Y1051" s="253" t="s">
        <v>5902</v>
      </c>
      <c r="Z1051" s="254"/>
      <c r="AA1051" s="254" t="s">
        <v>186</v>
      </c>
      <c r="AB1051" s="252"/>
      <c r="AC1051" s="255"/>
      <c r="AD1051" s="256" t="s">
        <v>188</v>
      </c>
      <c r="AE1051" s="256"/>
      <c r="AF1051" s="257"/>
      <c r="AG1051" s="258"/>
      <c r="AH1051" s="259"/>
      <c r="AI1051" s="259"/>
      <c r="AJ1051" s="260" t="s">
        <v>203</v>
      </c>
      <c r="AK1051" s="260" t="s">
        <v>190</v>
      </c>
      <c r="AL1051" s="260" t="s">
        <v>190</v>
      </c>
      <c r="AM1051" s="255" t="s">
        <v>5726</v>
      </c>
      <c r="AN1051" s="22">
        <v>177</v>
      </c>
      <c r="AO1051" s="22">
        <v>0</v>
      </c>
      <c r="AP1051" s="22">
        <v>0</v>
      </c>
      <c r="AQ1051" s="22">
        <v>0</v>
      </c>
      <c r="AR1051" s="22">
        <v>0</v>
      </c>
      <c r="AS1051" s="22">
        <v>7</v>
      </c>
      <c r="AT1051" s="22">
        <v>10</v>
      </c>
      <c r="AU1051" s="316">
        <f t="shared" si="177"/>
        <v>194</v>
      </c>
      <c r="AV1051" s="22">
        <v>185</v>
      </c>
      <c r="AW1051" s="22">
        <v>0</v>
      </c>
      <c r="AX1051" s="22">
        <v>0</v>
      </c>
      <c r="AY1051" s="22">
        <v>0</v>
      </c>
      <c r="AZ1051" s="22">
        <v>0</v>
      </c>
      <c r="BA1051" s="22">
        <v>7</v>
      </c>
      <c r="BB1051" s="22">
        <v>10</v>
      </c>
      <c r="BC1051" s="316">
        <f t="shared" si="178"/>
        <v>202</v>
      </c>
      <c r="BD1051" s="58">
        <f t="shared" si="179"/>
        <v>8</v>
      </c>
      <c r="BE1051" s="58">
        <f t="shared" si="180"/>
        <v>0</v>
      </c>
      <c r="BF1051" s="58">
        <f t="shared" si="181"/>
        <v>0</v>
      </c>
      <c r="BG1051" s="58">
        <f t="shared" si="182"/>
        <v>0</v>
      </c>
      <c r="BH1051" s="58">
        <f t="shared" si="183"/>
        <v>0</v>
      </c>
      <c r="BI1051" s="58">
        <f t="shared" si="184"/>
        <v>0</v>
      </c>
      <c r="BJ1051" s="58">
        <f t="shared" si="185"/>
        <v>0</v>
      </c>
      <c r="BK1051" s="58">
        <f t="shared" si="186"/>
        <v>8</v>
      </c>
    </row>
    <row r="1052" spans="1:63" ht="27" customHeight="1">
      <c r="A1052" s="238">
        <f t="shared" si="187"/>
        <v>1050</v>
      </c>
      <c r="B1052" s="239"/>
      <c r="C1052" s="239">
        <v>3461</v>
      </c>
      <c r="D1052" s="241">
        <v>0</v>
      </c>
      <c r="E1052" s="242" t="s">
        <v>5903</v>
      </c>
      <c r="F1052" s="243" t="s">
        <v>2087</v>
      </c>
      <c r="G1052" s="244" t="s">
        <v>5904</v>
      </c>
      <c r="H1052" s="245" t="s">
        <v>4915</v>
      </c>
      <c r="I1052" s="246" t="s">
        <v>5905</v>
      </c>
      <c r="J1052" s="247" t="s">
        <v>178</v>
      </c>
      <c r="K1052" s="248">
        <v>29777</v>
      </c>
      <c r="L1052" s="249" t="s">
        <v>179</v>
      </c>
      <c r="M1052" s="250">
        <v>43797</v>
      </c>
      <c r="N1052" s="250"/>
      <c r="O1052" s="250" t="s">
        <v>3644</v>
      </c>
      <c r="P1052" s="238" t="s">
        <v>3559</v>
      </c>
      <c r="Q1052" s="238" t="s">
        <v>181</v>
      </c>
      <c r="R1052" s="238" t="s">
        <v>182</v>
      </c>
      <c r="S1052" s="238" t="s">
        <v>219</v>
      </c>
      <c r="T1052" s="251"/>
      <c r="U1052" s="251"/>
      <c r="V1052" s="252" t="s">
        <v>184</v>
      </c>
      <c r="W1052" s="252" t="s">
        <v>184</v>
      </c>
      <c r="X1052" s="252">
        <v>2</v>
      </c>
      <c r="Y1052" s="253" t="s">
        <v>5906</v>
      </c>
      <c r="Z1052" s="254"/>
      <c r="AA1052" s="254" t="s">
        <v>186</v>
      </c>
      <c r="AB1052" s="252"/>
      <c r="AC1052" s="255"/>
      <c r="AD1052" s="256" t="s">
        <v>3607</v>
      </c>
      <c r="AE1052" s="256" t="s">
        <v>3607</v>
      </c>
      <c r="AF1052" s="257"/>
      <c r="AG1052" s="258"/>
      <c r="AH1052" s="259"/>
      <c r="AI1052" s="259"/>
      <c r="AJ1052" s="260" t="s">
        <v>203</v>
      </c>
      <c r="AK1052" s="260" t="s">
        <v>190</v>
      </c>
      <c r="AL1052" s="260" t="s">
        <v>190</v>
      </c>
      <c r="AM1052" s="255" t="s">
        <v>5851</v>
      </c>
      <c r="AN1052" s="22">
        <v>182</v>
      </c>
      <c r="AO1052" s="22">
        <v>0</v>
      </c>
      <c r="AP1052" s="22">
        <v>0</v>
      </c>
      <c r="AQ1052" s="22">
        <v>0</v>
      </c>
      <c r="AR1052" s="22">
        <v>0</v>
      </c>
      <c r="AS1052" s="22">
        <v>7</v>
      </c>
      <c r="AT1052" s="22">
        <v>10</v>
      </c>
      <c r="AU1052" s="316">
        <f t="shared" si="177"/>
        <v>199</v>
      </c>
      <c r="AV1052" s="22">
        <v>190</v>
      </c>
      <c r="AW1052" s="22">
        <v>0</v>
      </c>
      <c r="AX1052" s="22">
        <v>0</v>
      </c>
      <c r="AY1052" s="22">
        <v>0</v>
      </c>
      <c r="AZ1052" s="22">
        <v>0</v>
      </c>
      <c r="BA1052" s="22">
        <v>7</v>
      </c>
      <c r="BB1052" s="22">
        <v>10</v>
      </c>
      <c r="BC1052" s="316">
        <f t="shared" si="178"/>
        <v>207</v>
      </c>
      <c r="BD1052" s="58">
        <f t="shared" si="179"/>
        <v>8</v>
      </c>
      <c r="BE1052" s="58">
        <f t="shared" si="180"/>
        <v>0</v>
      </c>
      <c r="BF1052" s="58">
        <f t="shared" si="181"/>
        <v>0</v>
      </c>
      <c r="BG1052" s="58">
        <f t="shared" si="182"/>
        <v>0</v>
      </c>
      <c r="BH1052" s="58">
        <f t="shared" si="183"/>
        <v>0</v>
      </c>
      <c r="BI1052" s="58">
        <f t="shared" si="184"/>
        <v>0</v>
      </c>
      <c r="BJ1052" s="58">
        <f t="shared" si="185"/>
        <v>0</v>
      </c>
      <c r="BK1052" s="58">
        <f t="shared" si="186"/>
        <v>8</v>
      </c>
    </row>
    <row r="1053" spans="1:63" ht="27" customHeight="1">
      <c r="A1053" s="238">
        <f t="shared" si="187"/>
        <v>1051</v>
      </c>
      <c r="B1053" s="239"/>
      <c r="C1053" s="239">
        <v>3458</v>
      </c>
      <c r="D1053" s="241" t="s">
        <v>5907</v>
      </c>
      <c r="E1053" s="242" t="s">
        <v>5908</v>
      </c>
      <c r="F1053" s="243" t="s">
        <v>5909</v>
      </c>
      <c r="G1053" s="244" t="s">
        <v>1898</v>
      </c>
      <c r="H1053" s="245" t="s">
        <v>5910</v>
      </c>
      <c r="I1053" s="246" t="s">
        <v>1900</v>
      </c>
      <c r="J1053" s="247" t="s">
        <v>178</v>
      </c>
      <c r="K1053" s="248">
        <v>34734</v>
      </c>
      <c r="L1053" s="249" t="s">
        <v>179</v>
      </c>
      <c r="M1053" s="250">
        <v>43792</v>
      </c>
      <c r="N1053" s="250"/>
      <c r="O1053" s="250" t="s">
        <v>3644</v>
      </c>
      <c r="P1053" s="238" t="s">
        <v>1343</v>
      </c>
      <c r="Q1053" s="238" t="s">
        <v>181</v>
      </c>
      <c r="R1053" s="238" t="s">
        <v>182</v>
      </c>
      <c r="S1053" s="238" t="s">
        <v>183</v>
      </c>
      <c r="T1053" s="251"/>
      <c r="U1053" s="251"/>
      <c r="V1053" s="252" t="s">
        <v>200</v>
      </c>
      <c r="W1053" s="252">
        <v>435</v>
      </c>
      <c r="X1053" s="252">
        <v>6</v>
      </c>
      <c r="Y1053" s="253" t="s">
        <v>5911</v>
      </c>
      <c r="Z1053" s="254"/>
      <c r="AA1053" s="254" t="s">
        <v>186</v>
      </c>
      <c r="AB1053" s="252"/>
      <c r="AC1053" s="255" t="s">
        <v>387</v>
      </c>
      <c r="AD1053" s="256" t="s">
        <v>188</v>
      </c>
      <c r="AE1053" s="256"/>
      <c r="AF1053" s="257"/>
      <c r="AG1053" s="258"/>
      <c r="AH1053" s="259"/>
      <c r="AI1053" s="259"/>
      <c r="AJ1053" s="260" t="s">
        <v>203</v>
      </c>
      <c r="AK1053" s="260" t="s">
        <v>190</v>
      </c>
      <c r="AL1053" s="260" t="s">
        <v>190</v>
      </c>
      <c r="AM1053" s="255" t="s">
        <v>5851</v>
      </c>
      <c r="AN1053" s="22">
        <v>177</v>
      </c>
      <c r="AO1053" s="22">
        <v>0</v>
      </c>
      <c r="AP1053" s="22">
        <v>0</v>
      </c>
      <c r="AQ1053" s="22">
        <v>0</v>
      </c>
      <c r="AR1053" s="22">
        <v>0</v>
      </c>
      <c r="AS1053" s="22">
        <v>7</v>
      </c>
      <c r="AT1053" s="22">
        <v>10</v>
      </c>
      <c r="AU1053" s="316">
        <f t="shared" si="177"/>
        <v>194</v>
      </c>
      <c r="AV1053" s="22">
        <v>185</v>
      </c>
      <c r="AW1053" s="22">
        <v>0</v>
      </c>
      <c r="AX1053" s="22">
        <v>0</v>
      </c>
      <c r="AY1053" s="22">
        <v>0</v>
      </c>
      <c r="AZ1053" s="22">
        <v>0</v>
      </c>
      <c r="BA1053" s="22">
        <v>7</v>
      </c>
      <c r="BB1053" s="22">
        <v>10</v>
      </c>
      <c r="BC1053" s="316">
        <f t="shared" si="178"/>
        <v>202</v>
      </c>
      <c r="BD1053" s="58">
        <f t="shared" si="179"/>
        <v>8</v>
      </c>
      <c r="BE1053" s="58">
        <f t="shared" si="180"/>
        <v>0</v>
      </c>
      <c r="BF1053" s="58">
        <f t="shared" si="181"/>
        <v>0</v>
      </c>
      <c r="BG1053" s="58">
        <f t="shared" si="182"/>
        <v>0</v>
      </c>
      <c r="BH1053" s="58">
        <f t="shared" si="183"/>
        <v>0</v>
      </c>
      <c r="BI1053" s="58">
        <f t="shared" si="184"/>
        <v>0</v>
      </c>
      <c r="BJ1053" s="58">
        <f t="shared" si="185"/>
        <v>0</v>
      </c>
      <c r="BK1053" s="58">
        <f t="shared" si="186"/>
        <v>8</v>
      </c>
    </row>
    <row r="1054" spans="1:63" ht="27" customHeight="1">
      <c r="A1054" s="238">
        <f t="shared" si="187"/>
        <v>1052</v>
      </c>
      <c r="B1054" s="239"/>
      <c r="C1054" s="239">
        <v>3459</v>
      </c>
      <c r="D1054" s="241">
        <v>0</v>
      </c>
      <c r="E1054" s="242" t="s">
        <v>296</v>
      </c>
      <c r="F1054" s="243" t="s">
        <v>2905</v>
      </c>
      <c r="G1054" s="244" t="s">
        <v>690</v>
      </c>
      <c r="H1054" s="245">
        <v>0</v>
      </c>
      <c r="I1054" s="246">
        <v>0</v>
      </c>
      <c r="J1054" s="247" t="s">
        <v>178</v>
      </c>
      <c r="K1054" s="248">
        <v>36758</v>
      </c>
      <c r="L1054" s="249" t="s">
        <v>179</v>
      </c>
      <c r="M1054" s="250">
        <v>43795</v>
      </c>
      <c r="N1054" s="250"/>
      <c r="O1054" s="250" t="s">
        <v>3644</v>
      </c>
      <c r="P1054" s="238" t="s">
        <v>5752</v>
      </c>
      <c r="Q1054" s="238" t="s">
        <v>181</v>
      </c>
      <c r="R1054" s="238" t="s">
        <v>182</v>
      </c>
      <c r="S1054" s="238" t="s">
        <v>256</v>
      </c>
      <c r="T1054" s="251"/>
      <c r="U1054" s="251"/>
      <c r="V1054" s="252" t="s">
        <v>200</v>
      </c>
      <c r="W1054" s="252">
        <v>5022</v>
      </c>
      <c r="X1054" s="252">
        <v>7</v>
      </c>
      <c r="Y1054" s="253" t="s">
        <v>5912</v>
      </c>
      <c r="Z1054" s="254" t="s">
        <v>186</v>
      </c>
      <c r="AA1054" s="254"/>
      <c r="AB1054" s="252"/>
      <c r="AC1054" s="255"/>
      <c r="AD1054" s="256"/>
      <c r="AE1054" s="256"/>
      <c r="AF1054" s="257"/>
      <c r="AG1054" s="258"/>
      <c r="AH1054" s="259"/>
      <c r="AI1054" s="259"/>
      <c r="AJ1054" s="260" t="s">
        <v>203</v>
      </c>
      <c r="AK1054" s="260" t="s">
        <v>190</v>
      </c>
      <c r="AL1054" s="260" t="s">
        <v>190</v>
      </c>
      <c r="AM1054" s="255" t="s">
        <v>5740</v>
      </c>
      <c r="AN1054" s="22">
        <v>177</v>
      </c>
      <c r="AO1054" s="22">
        <v>0</v>
      </c>
      <c r="AP1054" s="22">
        <v>0</v>
      </c>
      <c r="AQ1054" s="22">
        <v>0</v>
      </c>
      <c r="AR1054" s="22">
        <v>0</v>
      </c>
      <c r="AS1054" s="22">
        <v>7</v>
      </c>
      <c r="AT1054" s="22">
        <v>10</v>
      </c>
      <c r="AU1054" s="316">
        <f t="shared" si="177"/>
        <v>194</v>
      </c>
      <c r="AV1054" s="22">
        <v>185</v>
      </c>
      <c r="AW1054" s="22">
        <v>0</v>
      </c>
      <c r="AX1054" s="22">
        <v>0</v>
      </c>
      <c r="AY1054" s="22">
        <v>0</v>
      </c>
      <c r="AZ1054" s="22">
        <v>0</v>
      </c>
      <c r="BA1054" s="22">
        <v>7</v>
      </c>
      <c r="BB1054" s="22">
        <v>10</v>
      </c>
      <c r="BC1054" s="316">
        <f t="shared" si="178"/>
        <v>202</v>
      </c>
      <c r="BD1054" s="58">
        <f t="shared" si="179"/>
        <v>8</v>
      </c>
      <c r="BE1054" s="58">
        <f t="shared" si="180"/>
        <v>0</v>
      </c>
      <c r="BF1054" s="58">
        <f t="shared" si="181"/>
        <v>0</v>
      </c>
      <c r="BG1054" s="58">
        <f t="shared" si="182"/>
        <v>0</v>
      </c>
      <c r="BH1054" s="58">
        <f t="shared" si="183"/>
        <v>0</v>
      </c>
      <c r="BI1054" s="58">
        <f t="shared" si="184"/>
        <v>0</v>
      </c>
      <c r="BJ1054" s="58">
        <f t="shared" si="185"/>
        <v>0</v>
      </c>
      <c r="BK1054" s="58">
        <f t="shared" si="186"/>
        <v>8</v>
      </c>
    </row>
    <row r="1055" spans="1:63" ht="27" customHeight="1">
      <c r="A1055" s="238">
        <f t="shared" si="187"/>
        <v>1053</v>
      </c>
      <c r="B1055" s="239"/>
      <c r="C1055" s="239">
        <v>3425</v>
      </c>
      <c r="D1055" s="241" t="s">
        <v>5913</v>
      </c>
      <c r="E1055" s="242" t="s">
        <v>5914</v>
      </c>
      <c r="F1055" s="243" t="s">
        <v>3531</v>
      </c>
      <c r="G1055" s="244" t="s">
        <v>5915</v>
      </c>
      <c r="H1055" s="245" t="s">
        <v>3532</v>
      </c>
      <c r="I1055" s="246" t="s">
        <v>5916</v>
      </c>
      <c r="J1055" s="247" t="s">
        <v>178</v>
      </c>
      <c r="K1055" s="248">
        <v>31929</v>
      </c>
      <c r="L1055" s="249" t="s">
        <v>179</v>
      </c>
      <c r="M1055" s="250">
        <v>43770</v>
      </c>
      <c r="N1055" s="250"/>
      <c r="O1055" s="250" t="s">
        <v>3644</v>
      </c>
      <c r="P1055" s="238" t="s">
        <v>3537</v>
      </c>
      <c r="Q1055" s="238" t="s">
        <v>181</v>
      </c>
      <c r="R1055" s="238" t="s">
        <v>182</v>
      </c>
      <c r="S1055" s="238" t="s">
        <v>183</v>
      </c>
      <c r="T1055" s="251"/>
      <c r="U1055" s="251"/>
      <c r="V1055" s="252" t="s">
        <v>200</v>
      </c>
      <c r="W1055" s="252">
        <v>921</v>
      </c>
      <c r="X1055" s="252">
        <v>6</v>
      </c>
      <c r="Y1055" s="253" t="s">
        <v>5917</v>
      </c>
      <c r="Z1055" s="254"/>
      <c r="AA1055" s="254" t="s">
        <v>186</v>
      </c>
      <c r="AB1055" s="252"/>
      <c r="AC1055" s="255"/>
      <c r="AD1055" s="256" t="s">
        <v>188</v>
      </c>
      <c r="AE1055" s="256" t="s">
        <v>188</v>
      </c>
      <c r="AF1055" s="257"/>
      <c r="AG1055" s="258"/>
      <c r="AH1055" s="259"/>
      <c r="AI1055" s="259"/>
      <c r="AJ1055" s="260" t="s">
        <v>203</v>
      </c>
      <c r="AK1055" s="260" t="s">
        <v>190</v>
      </c>
      <c r="AL1055" s="260" t="s">
        <v>190</v>
      </c>
      <c r="AM1055" s="255" t="s">
        <v>1539</v>
      </c>
      <c r="AN1055" s="22">
        <v>182</v>
      </c>
      <c r="AO1055" s="22">
        <v>0</v>
      </c>
      <c r="AP1055" s="22">
        <v>0</v>
      </c>
      <c r="AQ1055" s="22">
        <v>0</v>
      </c>
      <c r="AR1055" s="22">
        <v>0</v>
      </c>
      <c r="AS1055" s="22">
        <v>7</v>
      </c>
      <c r="AT1055" s="22">
        <v>10</v>
      </c>
      <c r="AU1055" s="316">
        <f t="shared" si="177"/>
        <v>199</v>
      </c>
      <c r="AV1055" s="22">
        <v>190</v>
      </c>
      <c r="AW1055" s="22">
        <v>0</v>
      </c>
      <c r="AX1055" s="22">
        <v>0</v>
      </c>
      <c r="AY1055" s="22">
        <v>0</v>
      </c>
      <c r="AZ1055" s="22">
        <v>0</v>
      </c>
      <c r="BA1055" s="22">
        <v>7</v>
      </c>
      <c r="BB1055" s="22">
        <v>10</v>
      </c>
      <c r="BC1055" s="316">
        <f t="shared" si="178"/>
        <v>207</v>
      </c>
      <c r="BD1055" s="58">
        <f t="shared" si="179"/>
        <v>8</v>
      </c>
      <c r="BE1055" s="58">
        <f t="shared" si="180"/>
        <v>0</v>
      </c>
      <c r="BF1055" s="58">
        <f t="shared" si="181"/>
        <v>0</v>
      </c>
      <c r="BG1055" s="58">
        <f t="shared" si="182"/>
        <v>0</v>
      </c>
      <c r="BH1055" s="58">
        <f t="shared" si="183"/>
        <v>0</v>
      </c>
      <c r="BI1055" s="58">
        <f t="shared" si="184"/>
        <v>0</v>
      </c>
      <c r="BJ1055" s="58">
        <f t="shared" si="185"/>
        <v>0</v>
      </c>
      <c r="BK1055" s="58">
        <f t="shared" si="186"/>
        <v>8</v>
      </c>
    </row>
    <row r="1056" spans="1:63" ht="27" customHeight="1">
      <c r="A1056" s="238">
        <f t="shared" si="187"/>
        <v>1054</v>
      </c>
      <c r="B1056" s="239"/>
      <c r="C1056" s="239">
        <v>3421</v>
      </c>
      <c r="D1056" s="241" t="s">
        <v>5918</v>
      </c>
      <c r="E1056" s="242" t="s">
        <v>5919</v>
      </c>
      <c r="F1056" s="243" t="s">
        <v>2065</v>
      </c>
      <c r="G1056" s="244" t="s">
        <v>2105</v>
      </c>
      <c r="H1056" s="245" t="s">
        <v>31</v>
      </c>
      <c r="I1056" s="246" t="s">
        <v>5920</v>
      </c>
      <c r="J1056" s="247" t="s">
        <v>178</v>
      </c>
      <c r="K1056" s="248">
        <v>32528</v>
      </c>
      <c r="L1056" s="249" t="s">
        <v>179</v>
      </c>
      <c r="M1056" s="250">
        <v>43771</v>
      </c>
      <c r="N1056" s="250"/>
      <c r="O1056" s="250" t="s">
        <v>3644</v>
      </c>
      <c r="P1056" s="238" t="s">
        <v>3537</v>
      </c>
      <c r="Q1056" s="238" t="s">
        <v>181</v>
      </c>
      <c r="R1056" s="238" t="s">
        <v>182</v>
      </c>
      <c r="S1056" s="238" t="s">
        <v>183</v>
      </c>
      <c r="T1056" s="251"/>
      <c r="U1056" s="251"/>
      <c r="V1056" s="252" t="s">
        <v>184</v>
      </c>
      <c r="W1056" s="252" t="s">
        <v>184</v>
      </c>
      <c r="X1056" s="252">
        <v>7</v>
      </c>
      <c r="Y1056" s="253" t="s">
        <v>5921</v>
      </c>
      <c r="Z1056" s="254"/>
      <c r="AA1056" s="254" t="s">
        <v>186</v>
      </c>
      <c r="AB1056" s="252"/>
      <c r="AC1056" s="255"/>
      <c r="AD1056" s="256"/>
      <c r="AE1056" s="256"/>
      <c r="AF1056" s="257"/>
      <c r="AG1056" s="258"/>
      <c r="AH1056" s="259"/>
      <c r="AI1056" s="259"/>
      <c r="AJ1056" s="260" t="s">
        <v>203</v>
      </c>
      <c r="AK1056" s="260" t="s">
        <v>190</v>
      </c>
      <c r="AL1056" s="260" t="s">
        <v>190</v>
      </c>
      <c r="AM1056" s="255" t="s">
        <v>1539</v>
      </c>
      <c r="AN1056" s="22">
        <v>182</v>
      </c>
      <c r="AO1056" s="22">
        <v>0</v>
      </c>
      <c r="AP1056" s="22">
        <v>0</v>
      </c>
      <c r="AQ1056" s="22">
        <v>0</v>
      </c>
      <c r="AR1056" s="22">
        <v>0</v>
      </c>
      <c r="AS1056" s="22">
        <v>7</v>
      </c>
      <c r="AT1056" s="22">
        <v>10</v>
      </c>
      <c r="AU1056" s="316">
        <f t="shared" si="177"/>
        <v>199</v>
      </c>
      <c r="AV1056" s="22">
        <v>190</v>
      </c>
      <c r="AW1056" s="22">
        <v>0</v>
      </c>
      <c r="AX1056" s="22">
        <v>0</v>
      </c>
      <c r="AY1056" s="22">
        <v>0</v>
      </c>
      <c r="AZ1056" s="22">
        <v>0</v>
      </c>
      <c r="BA1056" s="22">
        <v>7</v>
      </c>
      <c r="BB1056" s="22">
        <v>10</v>
      </c>
      <c r="BC1056" s="316">
        <f t="shared" si="178"/>
        <v>207</v>
      </c>
      <c r="BD1056" s="58">
        <f t="shared" si="179"/>
        <v>8</v>
      </c>
      <c r="BE1056" s="58">
        <f t="shared" si="180"/>
        <v>0</v>
      </c>
      <c r="BF1056" s="58">
        <f t="shared" si="181"/>
        <v>0</v>
      </c>
      <c r="BG1056" s="58">
        <f t="shared" si="182"/>
        <v>0</v>
      </c>
      <c r="BH1056" s="58">
        <f t="shared" si="183"/>
        <v>0</v>
      </c>
      <c r="BI1056" s="58">
        <f t="shared" si="184"/>
        <v>0</v>
      </c>
      <c r="BJ1056" s="58">
        <f t="shared" si="185"/>
        <v>0</v>
      </c>
      <c r="BK1056" s="58">
        <f t="shared" si="186"/>
        <v>8</v>
      </c>
    </row>
    <row r="1057" spans="1:63" ht="27" customHeight="1">
      <c r="A1057" s="238">
        <f t="shared" si="187"/>
        <v>1055</v>
      </c>
      <c r="B1057" s="239"/>
      <c r="C1057" s="239">
        <v>3456</v>
      </c>
      <c r="D1057" s="241" t="s">
        <v>5922</v>
      </c>
      <c r="E1057" s="242" t="s">
        <v>5923</v>
      </c>
      <c r="F1057" s="243" t="s">
        <v>2763</v>
      </c>
      <c r="G1057" s="244" t="s">
        <v>792</v>
      </c>
      <c r="H1057" s="245" t="s">
        <v>5924</v>
      </c>
      <c r="I1057" s="246" t="s">
        <v>5925</v>
      </c>
      <c r="J1057" s="247" t="s">
        <v>178</v>
      </c>
      <c r="K1057" s="248">
        <v>31869</v>
      </c>
      <c r="L1057" s="249" t="s">
        <v>179</v>
      </c>
      <c r="M1057" s="250">
        <v>43795</v>
      </c>
      <c r="N1057" s="250"/>
      <c r="O1057" s="250" t="s">
        <v>3644</v>
      </c>
      <c r="P1057" s="238" t="s">
        <v>5926</v>
      </c>
      <c r="Q1057" s="238" t="s">
        <v>181</v>
      </c>
      <c r="R1057" s="238" t="s">
        <v>182</v>
      </c>
      <c r="S1057" s="238" t="s">
        <v>228</v>
      </c>
      <c r="T1057" s="251"/>
      <c r="U1057" s="251"/>
      <c r="V1057" s="252" t="s">
        <v>184</v>
      </c>
      <c r="W1057" s="252" t="s">
        <v>184</v>
      </c>
      <c r="X1057" s="252">
        <v>5</v>
      </c>
      <c r="Y1057" s="253"/>
      <c r="Z1057" s="254"/>
      <c r="AA1057" s="254" t="s">
        <v>186</v>
      </c>
      <c r="AB1057" s="252"/>
      <c r="AC1057" s="255"/>
      <c r="AD1057" s="256"/>
      <c r="AE1057" s="256"/>
      <c r="AF1057" s="257"/>
      <c r="AG1057" s="258"/>
      <c r="AH1057" s="259"/>
      <c r="AI1057" s="259"/>
      <c r="AJ1057" s="260" t="s">
        <v>203</v>
      </c>
      <c r="AK1057" s="260" t="s">
        <v>190</v>
      </c>
      <c r="AL1057" s="260" t="s">
        <v>190</v>
      </c>
      <c r="AM1057" s="255" t="s">
        <v>1546</v>
      </c>
      <c r="AN1057" s="22">
        <v>177</v>
      </c>
      <c r="AO1057" s="22">
        <v>0</v>
      </c>
      <c r="AP1057" s="22">
        <v>0</v>
      </c>
      <c r="AQ1057" s="22">
        <v>0</v>
      </c>
      <c r="AR1057" s="22">
        <v>0</v>
      </c>
      <c r="AS1057" s="22">
        <v>7</v>
      </c>
      <c r="AT1057" s="22">
        <v>10</v>
      </c>
      <c r="AU1057" s="316">
        <f t="shared" si="177"/>
        <v>194</v>
      </c>
      <c r="AV1057" s="22">
        <v>185</v>
      </c>
      <c r="AW1057" s="22">
        <v>0</v>
      </c>
      <c r="AX1057" s="22">
        <v>0</v>
      </c>
      <c r="AY1057" s="22">
        <v>0</v>
      </c>
      <c r="AZ1057" s="22">
        <v>0</v>
      </c>
      <c r="BA1057" s="22">
        <v>7</v>
      </c>
      <c r="BB1057" s="22">
        <v>10</v>
      </c>
      <c r="BC1057" s="316">
        <f t="shared" si="178"/>
        <v>202</v>
      </c>
      <c r="BD1057" s="58">
        <f t="shared" si="179"/>
        <v>8</v>
      </c>
      <c r="BE1057" s="58">
        <f t="shared" si="180"/>
        <v>0</v>
      </c>
      <c r="BF1057" s="58">
        <f t="shared" si="181"/>
        <v>0</v>
      </c>
      <c r="BG1057" s="58">
        <f t="shared" si="182"/>
        <v>0</v>
      </c>
      <c r="BH1057" s="58">
        <f t="shared" si="183"/>
        <v>0</v>
      </c>
      <c r="BI1057" s="58">
        <f t="shared" si="184"/>
        <v>0</v>
      </c>
      <c r="BJ1057" s="58">
        <f t="shared" si="185"/>
        <v>0</v>
      </c>
      <c r="BK1057" s="58">
        <f t="shared" si="186"/>
        <v>8</v>
      </c>
    </row>
    <row r="1058" spans="1:63" ht="27" customHeight="1">
      <c r="A1058" s="238">
        <f t="shared" si="187"/>
        <v>1056</v>
      </c>
      <c r="B1058" s="310"/>
      <c r="C1058" s="239">
        <v>3172</v>
      </c>
      <c r="D1058" s="241" t="s">
        <v>5927</v>
      </c>
      <c r="E1058" s="242" t="s">
        <v>5928</v>
      </c>
      <c r="F1058" s="243" t="s">
        <v>5231</v>
      </c>
      <c r="G1058" s="244" t="s">
        <v>5929</v>
      </c>
      <c r="H1058" s="245" t="s">
        <v>5233</v>
      </c>
      <c r="I1058" s="246" t="s">
        <v>5930</v>
      </c>
      <c r="J1058" s="247" t="s">
        <v>178</v>
      </c>
      <c r="K1058" s="248">
        <v>36321</v>
      </c>
      <c r="L1058" s="249" t="s">
        <v>179</v>
      </c>
      <c r="M1058" s="250">
        <v>43740</v>
      </c>
      <c r="N1058" s="250"/>
      <c r="O1058" s="250" t="s">
        <v>3644</v>
      </c>
      <c r="P1058" s="238" t="s">
        <v>5717</v>
      </c>
      <c r="Q1058" s="238" t="s">
        <v>249</v>
      </c>
      <c r="R1058" s="238" t="s">
        <v>3960</v>
      </c>
      <c r="S1058" s="238" t="s">
        <v>5931</v>
      </c>
      <c r="T1058" s="251"/>
      <c r="U1058" s="308">
        <v>43788</v>
      </c>
      <c r="V1058" s="252" t="s">
        <v>184</v>
      </c>
      <c r="W1058" s="252" t="s">
        <v>184</v>
      </c>
      <c r="X1058" s="252">
        <v>6</v>
      </c>
      <c r="Y1058" s="253" t="s">
        <v>5932</v>
      </c>
      <c r="Z1058" s="254"/>
      <c r="AA1058" s="277" t="s">
        <v>186</v>
      </c>
      <c r="AB1058" s="252"/>
      <c r="AC1058" s="255"/>
      <c r="AD1058" s="256"/>
      <c r="AE1058" s="256"/>
      <c r="AF1058" s="257"/>
      <c r="AG1058" s="258"/>
      <c r="AH1058" s="259"/>
      <c r="AI1058" s="259"/>
      <c r="AJ1058" s="274" t="s">
        <v>203</v>
      </c>
      <c r="AK1058" s="274" t="s">
        <v>190</v>
      </c>
      <c r="AL1058" s="274" t="s">
        <v>190</v>
      </c>
      <c r="AM1058" s="260" t="s">
        <v>3859</v>
      </c>
      <c r="AN1058" s="22">
        <v>182</v>
      </c>
      <c r="AO1058" s="22">
        <v>0</v>
      </c>
      <c r="AP1058" s="22">
        <v>0</v>
      </c>
      <c r="AQ1058" s="22">
        <v>0</v>
      </c>
      <c r="AR1058" s="22">
        <v>0</v>
      </c>
      <c r="AS1058" s="22">
        <v>7</v>
      </c>
      <c r="AT1058" s="22">
        <v>10</v>
      </c>
      <c r="AU1058" s="316">
        <f t="shared" si="177"/>
        <v>199</v>
      </c>
      <c r="AV1058" s="22">
        <v>190</v>
      </c>
      <c r="AW1058" s="22">
        <v>0</v>
      </c>
      <c r="AX1058" s="22">
        <v>0</v>
      </c>
      <c r="AY1058" s="22">
        <v>0</v>
      </c>
      <c r="AZ1058" s="22">
        <v>0</v>
      </c>
      <c r="BA1058" s="22">
        <v>7</v>
      </c>
      <c r="BB1058" s="22">
        <v>10</v>
      </c>
      <c r="BC1058" s="316">
        <f t="shared" si="178"/>
        <v>207</v>
      </c>
      <c r="BD1058" s="58">
        <f t="shared" si="179"/>
        <v>8</v>
      </c>
      <c r="BE1058" s="58">
        <f t="shared" si="180"/>
        <v>0</v>
      </c>
      <c r="BF1058" s="58">
        <f t="shared" si="181"/>
        <v>0</v>
      </c>
      <c r="BG1058" s="58">
        <f t="shared" si="182"/>
        <v>0</v>
      </c>
      <c r="BH1058" s="58">
        <f t="shared" si="183"/>
        <v>0</v>
      </c>
      <c r="BI1058" s="58">
        <f t="shared" si="184"/>
        <v>0</v>
      </c>
      <c r="BJ1058" s="58">
        <f t="shared" si="185"/>
        <v>0</v>
      </c>
      <c r="BK1058" s="58">
        <f t="shared" si="186"/>
        <v>8</v>
      </c>
    </row>
    <row r="1059" spans="1:63" ht="27" customHeight="1">
      <c r="A1059" s="238">
        <f t="shared" si="187"/>
        <v>1057</v>
      </c>
      <c r="B1059" s="310"/>
      <c r="C1059" s="239">
        <v>3248</v>
      </c>
      <c r="D1059" s="241" t="s">
        <v>5933</v>
      </c>
      <c r="E1059" s="242" t="s">
        <v>5934</v>
      </c>
      <c r="F1059" s="243" t="s">
        <v>5935</v>
      </c>
      <c r="G1059" s="244" t="s">
        <v>5936</v>
      </c>
      <c r="H1059" s="245" t="s">
        <v>4657</v>
      </c>
      <c r="I1059" s="246" t="s">
        <v>5937</v>
      </c>
      <c r="J1059" s="247" t="s">
        <v>209</v>
      </c>
      <c r="K1059" s="248">
        <v>34792</v>
      </c>
      <c r="L1059" s="249" t="s">
        <v>179</v>
      </c>
      <c r="M1059" s="250">
        <v>43746</v>
      </c>
      <c r="N1059" s="250"/>
      <c r="O1059" s="250" t="s">
        <v>3644</v>
      </c>
      <c r="P1059" s="238" t="s">
        <v>5717</v>
      </c>
      <c r="Q1059" s="238" t="s">
        <v>249</v>
      </c>
      <c r="R1059" s="238" t="s">
        <v>182</v>
      </c>
      <c r="S1059" s="238" t="s">
        <v>228</v>
      </c>
      <c r="T1059" s="251"/>
      <c r="U1059" s="307"/>
      <c r="V1059" s="252" t="s">
        <v>184</v>
      </c>
      <c r="W1059" s="252">
        <v>2356</v>
      </c>
      <c r="X1059" s="252">
        <v>0</v>
      </c>
      <c r="Y1059" s="253" t="s">
        <v>5938</v>
      </c>
      <c r="Z1059" s="277" t="s">
        <v>186</v>
      </c>
      <c r="AA1059" s="254"/>
      <c r="AB1059" s="252"/>
      <c r="AC1059" s="255"/>
      <c r="AD1059" s="256"/>
      <c r="AE1059" s="256"/>
      <c r="AF1059" s="257"/>
      <c r="AG1059" s="258"/>
      <c r="AH1059" s="259"/>
      <c r="AI1059" s="259"/>
      <c r="AJ1059" s="274" t="s">
        <v>203</v>
      </c>
      <c r="AK1059" s="274" t="s">
        <v>190</v>
      </c>
      <c r="AL1059" s="274" t="s">
        <v>190</v>
      </c>
      <c r="AM1059" s="260" t="s">
        <v>3859</v>
      </c>
      <c r="AN1059" s="22">
        <v>182</v>
      </c>
      <c r="AO1059" s="22">
        <v>0</v>
      </c>
      <c r="AP1059" s="22">
        <v>0</v>
      </c>
      <c r="AQ1059" s="22">
        <v>0</v>
      </c>
      <c r="AR1059" s="22">
        <v>0</v>
      </c>
      <c r="AS1059" s="22">
        <v>7</v>
      </c>
      <c r="AT1059" s="22">
        <v>10</v>
      </c>
      <c r="AU1059" s="316">
        <f t="shared" si="177"/>
        <v>199</v>
      </c>
      <c r="AV1059" s="22">
        <v>190</v>
      </c>
      <c r="AW1059" s="22">
        <v>0</v>
      </c>
      <c r="AX1059" s="22">
        <v>0</v>
      </c>
      <c r="AY1059" s="22">
        <v>0</v>
      </c>
      <c r="AZ1059" s="22">
        <v>0</v>
      </c>
      <c r="BA1059" s="22">
        <v>7</v>
      </c>
      <c r="BB1059" s="22">
        <v>10</v>
      </c>
      <c r="BC1059" s="316">
        <f t="shared" si="178"/>
        <v>207</v>
      </c>
      <c r="BD1059" s="58">
        <f t="shared" si="179"/>
        <v>8</v>
      </c>
      <c r="BE1059" s="58">
        <f t="shared" si="180"/>
        <v>0</v>
      </c>
      <c r="BF1059" s="58">
        <f t="shared" si="181"/>
        <v>0</v>
      </c>
      <c r="BG1059" s="58">
        <f t="shared" si="182"/>
        <v>0</v>
      </c>
      <c r="BH1059" s="58">
        <f t="shared" si="183"/>
        <v>0</v>
      </c>
      <c r="BI1059" s="58">
        <f t="shared" si="184"/>
        <v>0</v>
      </c>
      <c r="BJ1059" s="58">
        <f t="shared" si="185"/>
        <v>0</v>
      </c>
      <c r="BK1059" s="58">
        <f t="shared" si="186"/>
        <v>8</v>
      </c>
    </row>
    <row r="1060" spans="1:63" ht="27" customHeight="1">
      <c r="A1060" s="238">
        <f t="shared" si="187"/>
        <v>1058</v>
      </c>
      <c r="B1060" s="239"/>
      <c r="C1060" s="239">
        <v>3620</v>
      </c>
      <c r="D1060" s="241" t="s">
        <v>5939</v>
      </c>
      <c r="E1060" s="242" t="s">
        <v>296</v>
      </c>
      <c r="F1060" s="243" t="s">
        <v>2427</v>
      </c>
      <c r="G1060" s="244" t="s">
        <v>2482</v>
      </c>
      <c r="H1060" s="245" t="s">
        <v>4518</v>
      </c>
      <c r="I1060" s="246" t="s">
        <v>5940</v>
      </c>
      <c r="J1060" s="247" t="s">
        <v>209</v>
      </c>
      <c r="K1060" s="248">
        <v>34223</v>
      </c>
      <c r="L1060" s="249" t="s">
        <v>179</v>
      </c>
      <c r="M1060" s="250">
        <v>43750</v>
      </c>
      <c r="N1060" s="250"/>
      <c r="O1060" s="250" t="s">
        <v>3644</v>
      </c>
      <c r="P1060" s="238" t="s">
        <v>5717</v>
      </c>
      <c r="Q1060" s="238" t="s">
        <v>249</v>
      </c>
      <c r="R1060" s="238" t="s">
        <v>182</v>
      </c>
      <c r="S1060" s="238" t="s">
        <v>2505</v>
      </c>
      <c r="T1060" s="251"/>
      <c r="U1060" s="307"/>
      <c r="V1060" s="252" t="s">
        <v>184</v>
      </c>
      <c r="W1060" s="252" t="s">
        <v>184</v>
      </c>
      <c r="X1060" s="252">
        <v>0</v>
      </c>
      <c r="Y1060" s="253" t="s">
        <v>5941</v>
      </c>
      <c r="Z1060" s="254"/>
      <c r="AA1060" s="254"/>
      <c r="AB1060" s="252"/>
      <c r="AC1060" s="255"/>
      <c r="AD1060" s="256"/>
      <c r="AE1060" s="256"/>
      <c r="AF1060" s="257"/>
      <c r="AG1060" s="258"/>
      <c r="AH1060" s="259"/>
      <c r="AI1060" s="259"/>
      <c r="AJ1060" s="260" t="s">
        <v>203</v>
      </c>
      <c r="AK1060" s="274" t="s">
        <v>190</v>
      </c>
      <c r="AL1060" s="274" t="s">
        <v>190</v>
      </c>
      <c r="AM1060" s="260" t="s">
        <v>3859</v>
      </c>
      <c r="AN1060" s="22">
        <v>182</v>
      </c>
      <c r="AO1060" s="22">
        <v>0</v>
      </c>
      <c r="AP1060" s="22">
        <v>20</v>
      </c>
      <c r="AQ1060" s="22">
        <v>10</v>
      </c>
      <c r="AR1060" s="22">
        <v>0</v>
      </c>
      <c r="AS1060" s="22">
        <v>7</v>
      </c>
      <c r="AT1060" s="22">
        <v>10</v>
      </c>
      <c r="AU1060" s="316">
        <f t="shared" si="177"/>
        <v>229</v>
      </c>
      <c r="AV1060" s="22">
        <v>190</v>
      </c>
      <c r="AW1060" s="22">
        <v>0</v>
      </c>
      <c r="AX1060" s="22">
        <v>20</v>
      </c>
      <c r="AY1060" s="22">
        <v>10</v>
      </c>
      <c r="AZ1060" s="22">
        <v>0</v>
      </c>
      <c r="BA1060" s="22">
        <v>7</v>
      </c>
      <c r="BB1060" s="22">
        <v>10</v>
      </c>
      <c r="BC1060" s="316">
        <f t="shared" si="178"/>
        <v>237</v>
      </c>
      <c r="BD1060" s="58">
        <f t="shared" si="179"/>
        <v>8</v>
      </c>
      <c r="BE1060" s="58">
        <f t="shared" si="180"/>
        <v>0</v>
      </c>
      <c r="BF1060" s="58">
        <f t="shared" si="181"/>
        <v>0</v>
      </c>
      <c r="BG1060" s="58">
        <f t="shared" si="182"/>
        <v>0</v>
      </c>
      <c r="BH1060" s="58">
        <f t="shared" si="183"/>
        <v>0</v>
      </c>
      <c r="BI1060" s="58">
        <f t="shared" si="184"/>
        <v>0</v>
      </c>
      <c r="BJ1060" s="58">
        <f t="shared" si="185"/>
        <v>0</v>
      </c>
      <c r="BK1060" s="58">
        <f t="shared" si="186"/>
        <v>8</v>
      </c>
    </row>
    <row r="1061" spans="1:63" ht="27" customHeight="1">
      <c r="A1061" s="238">
        <f t="shared" si="187"/>
        <v>1059</v>
      </c>
      <c r="B1061" s="239"/>
      <c r="C1061" s="239">
        <v>3627</v>
      </c>
      <c r="D1061" s="241" t="s">
        <v>5942</v>
      </c>
      <c r="E1061" s="242" t="s">
        <v>5943</v>
      </c>
      <c r="F1061" s="243" t="s">
        <v>335</v>
      </c>
      <c r="G1061" s="244" t="s">
        <v>321</v>
      </c>
      <c r="H1061" s="245" t="s">
        <v>1220</v>
      </c>
      <c r="I1061" s="246" t="s">
        <v>1164</v>
      </c>
      <c r="J1061" s="247" t="s">
        <v>178</v>
      </c>
      <c r="K1061" s="248">
        <v>36012</v>
      </c>
      <c r="L1061" s="249" t="s">
        <v>179</v>
      </c>
      <c r="M1061" s="250">
        <v>43750</v>
      </c>
      <c r="N1061" s="250"/>
      <c r="O1061" s="250" t="s">
        <v>3644</v>
      </c>
      <c r="P1061" s="238" t="s">
        <v>5717</v>
      </c>
      <c r="Q1061" s="238" t="s">
        <v>249</v>
      </c>
      <c r="R1061" s="238" t="s">
        <v>182</v>
      </c>
      <c r="S1061" s="238" t="s">
        <v>228</v>
      </c>
      <c r="T1061" s="251"/>
      <c r="U1061" s="307"/>
      <c r="V1061" s="252" t="s">
        <v>184</v>
      </c>
      <c r="W1061" s="252" t="s">
        <v>184</v>
      </c>
      <c r="X1061" s="252">
        <v>10</v>
      </c>
      <c r="Y1061" s="253" t="s">
        <v>5944</v>
      </c>
      <c r="Z1061" s="277" t="s">
        <v>186</v>
      </c>
      <c r="AA1061" s="254"/>
      <c r="AB1061" s="252"/>
      <c r="AC1061" s="255"/>
      <c r="AD1061" s="256"/>
      <c r="AE1061" s="256"/>
      <c r="AF1061" s="257"/>
      <c r="AG1061" s="258"/>
      <c r="AH1061" s="259"/>
      <c r="AI1061" s="259"/>
      <c r="AJ1061" s="260" t="s">
        <v>203</v>
      </c>
      <c r="AK1061" s="274" t="s">
        <v>190</v>
      </c>
      <c r="AL1061" s="274" t="s">
        <v>190</v>
      </c>
      <c r="AM1061" s="260" t="s">
        <v>3859</v>
      </c>
      <c r="AN1061" s="22">
        <v>182</v>
      </c>
      <c r="AO1061" s="22">
        <v>0</v>
      </c>
      <c r="AP1061" s="22">
        <v>20</v>
      </c>
      <c r="AQ1061" s="22">
        <v>0</v>
      </c>
      <c r="AR1061" s="22">
        <v>0</v>
      </c>
      <c r="AS1061" s="22">
        <v>7</v>
      </c>
      <c r="AT1061" s="22">
        <v>10</v>
      </c>
      <c r="AU1061" s="316">
        <f t="shared" si="177"/>
        <v>219</v>
      </c>
      <c r="AV1061" s="22">
        <v>190</v>
      </c>
      <c r="AW1061" s="22">
        <v>0</v>
      </c>
      <c r="AX1061" s="22">
        <v>20</v>
      </c>
      <c r="AY1061" s="22">
        <v>0</v>
      </c>
      <c r="AZ1061" s="22">
        <v>0</v>
      </c>
      <c r="BA1061" s="22">
        <v>7</v>
      </c>
      <c r="BB1061" s="22">
        <v>10</v>
      </c>
      <c r="BC1061" s="316">
        <f t="shared" si="178"/>
        <v>227</v>
      </c>
      <c r="BD1061" s="58">
        <f t="shared" si="179"/>
        <v>8</v>
      </c>
      <c r="BE1061" s="58">
        <f t="shared" si="180"/>
        <v>0</v>
      </c>
      <c r="BF1061" s="58">
        <f t="shared" si="181"/>
        <v>0</v>
      </c>
      <c r="BG1061" s="58">
        <f t="shared" si="182"/>
        <v>0</v>
      </c>
      <c r="BH1061" s="58">
        <f t="shared" si="183"/>
        <v>0</v>
      </c>
      <c r="BI1061" s="58">
        <f t="shared" si="184"/>
        <v>0</v>
      </c>
      <c r="BJ1061" s="58">
        <f t="shared" si="185"/>
        <v>0</v>
      </c>
      <c r="BK1061" s="58">
        <f t="shared" si="186"/>
        <v>8</v>
      </c>
    </row>
    <row r="1062" spans="1:63" ht="27" customHeight="1">
      <c r="A1062" s="238">
        <f t="shared" si="187"/>
        <v>1060</v>
      </c>
      <c r="B1062" s="239"/>
      <c r="C1062" s="239">
        <v>3647</v>
      </c>
      <c r="D1062" s="241" t="s">
        <v>5945</v>
      </c>
      <c r="E1062" s="242" t="s">
        <v>5946</v>
      </c>
      <c r="F1062" s="243" t="s">
        <v>896</v>
      </c>
      <c r="G1062" s="244" t="s">
        <v>5008</v>
      </c>
      <c r="H1062" s="245" t="s">
        <v>898</v>
      </c>
      <c r="I1062" s="246" t="s">
        <v>5009</v>
      </c>
      <c r="J1062" s="247" t="s">
        <v>209</v>
      </c>
      <c r="K1062" s="248">
        <v>32782</v>
      </c>
      <c r="L1062" s="249" t="s">
        <v>179</v>
      </c>
      <c r="M1062" s="250">
        <v>43754</v>
      </c>
      <c r="N1062" s="250"/>
      <c r="O1062" s="250" t="s">
        <v>3644</v>
      </c>
      <c r="P1062" s="238" t="s">
        <v>5717</v>
      </c>
      <c r="Q1062" s="238" t="s">
        <v>249</v>
      </c>
      <c r="R1062" s="238" t="s">
        <v>182</v>
      </c>
      <c r="S1062" s="238" t="s">
        <v>331</v>
      </c>
      <c r="T1062" s="251"/>
      <c r="U1062" s="307"/>
      <c r="V1062" s="252" t="s">
        <v>184</v>
      </c>
      <c r="W1062" s="252" t="s">
        <v>184</v>
      </c>
      <c r="X1062" s="252">
        <v>5</v>
      </c>
      <c r="Y1062" s="253" t="s">
        <v>5947</v>
      </c>
      <c r="Z1062" s="254"/>
      <c r="AA1062" s="254"/>
      <c r="AB1062" s="252"/>
      <c r="AC1062" s="255"/>
      <c r="AD1062" s="256"/>
      <c r="AE1062" s="256"/>
      <c r="AF1062" s="257"/>
      <c r="AG1062" s="258"/>
      <c r="AH1062" s="259"/>
      <c r="AI1062" s="259"/>
      <c r="AJ1062" s="274" t="s">
        <v>203</v>
      </c>
      <c r="AK1062" s="274" t="s">
        <v>190</v>
      </c>
      <c r="AL1062" s="274" t="s">
        <v>190</v>
      </c>
      <c r="AM1062" s="260" t="s">
        <v>3916</v>
      </c>
      <c r="AN1062" s="22">
        <v>177</v>
      </c>
      <c r="AO1062" s="22">
        <v>0</v>
      </c>
      <c r="AP1062" s="22">
        <v>20</v>
      </c>
      <c r="AQ1062" s="22">
        <v>0</v>
      </c>
      <c r="AR1062" s="22">
        <v>0</v>
      </c>
      <c r="AS1062" s="22">
        <v>7</v>
      </c>
      <c r="AT1062" s="22">
        <v>10</v>
      </c>
      <c r="AU1062" s="316">
        <f t="shared" si="177"/>
        <v>214</v>
      </c>
      <c r="AV1062" s="22">
        <v>185</v>
      </c>
      <c r="AW1062" s="22">
        <v>0</v>
      </c>
      <c r="AX1062" s="22">
        <v>20</v>
      </c>
      <c r="AY1062" s="22">
        <v>0</v>
      </c>
      <c r="AZ1062" s="22">
        <v>0</v>
      </c>
      <c r="BA1062" s="22">
        <v>7</v>
      </c>
      <c r="BB1062" s="22">
        <v>10</v>
      </c>
      <c r="BC1062" s="316">
        <f t="shared" si="178"/>
        <v>222</v>
      </c>
      <c r="BD1062" s="58">
        <f t="shared" si="179"/>
        <v>8</v>
      </c>
      <c r="BE1062" s="58">
        <f t="shared" si="180"/>
        <v>0</v>
      </c>
      <c r="BF1062" s="58">
        <f t="shared" si="181"/>
        <v>0</v>
      </c>
      <c r="BG1062" s="58">
        <f t="shared" si="182"/>
        <v>0</v>
      </c>
      <c r="BH1062" s="58">
        <f t="shared" si="183"/>
        <v>0</v>
      </c>
      <c r="BI1062" s="58">
        <f t="shared" si="184"/>
        <v>0</v>
      </c>
      <c r="BJ1062" s="58">
        <f t="shared" si="185"/>
        <v>0</v>
      </c>
      <c r="BK1062" s="58">
        <f t="shared" si="186"/>
        <v>8</v>
      </c>
    </row>
    <row r="1063" spans="1:63" ht="27" customHeight="1">
      <c r="A1063" s="238">
        <f t="shared" si="187"/>
        <v>1061</v>
      </c>
      <c r="B1063" s="239"/>
      <c r="C1063" s="239">
        <v>3292</v>
      </c>
      <c r="D1063" s="241" t="s">
        <v>5948</v>
      </c>
      <c r="E1063" s="242" t="s">
        <v>5949</v>
      </c>
      <c r="F1063" s="243" t="s">
        <v>1814</v>
      </c>
      <c r="G1063" s="244" t="s">
        <v>1163</v>
      </c>
      <c r="H1063" s="245" t="s">
        <v>1816</v>
      </c>
      <c r="I1063" s="246" t="s">
        <v>1165</v>
      </c>
      <c r="J1063" s="247" t="s">
        <v>178</v>
      </c>
      <c r="K1063" s="248">
        <v>32066</v>
      </c>
      <c r="L1063" s="249" t="s">
        <v>179</v>
      </c>
      <c r="M1063" s="250">
        <v>43746</v>
      </c>
      <c r="N1063" s="250"/>
      <c r="O1063" s="250" t="s">
        <v>3644</v>
      </c>
      <c r="P1063" s="238" t="s">
        <v>5717</v>
      </c>
      <c r="Q1063" s="238" t="s">
        <v>249</v>
      </c>
      <c r="R1063" s="238" t="s">
        <v>182</v>
      </c>
      <c r="S1063" s="238" t="s">
        <v>5950</v>
      </c>
      <c r="T1063" s="251"/>
      <c r="U1063" s="307"/>
      <c r="V1063" s="252" t="s">
        <v>184</v>
      </c>
      <c r="W1063" s="252" t="s">
        <v>184</v>
      </c>
      <c r="X1063" s="252">
        <v>4</v>
      </c>
      <c r="Y1063" s="253" t="s">
        <v>5951</v>
      </c>
      <c r="Z1063" s="277"/>
      <c r="AA1063" s="277" t="s">
        <v>186</v>
      </c>
      <c r="AB1063" s="252"/>
      <c r="AC1063" s="255"/>
      <c r="AD1063" s="256" t="s">
        <v>188</v>
      </c>
      <c r="AE1063" s="256" t="s">
        <v>188</v>
      </c>
      <c r="AF1063" s="256" t="s">
        <v>188</v>
      </c>
      <c r="AG1063" s="258"/>
      <c r="AH1063" s="259"/>
      <c r="AI1063" s="259"/>
      <c r="AJ1063" s="274" t="s">
        <v>203</v>
      </c>
      <c r="AK1063" s="274" t="s">
        <v>190</v>
      </c>
      <c r="AL1063" s="274" t="s">
        <v>190</v>
      </c>
      <c r="AM1063" s="260" t="s">
        <v>3859</v>
      </c>
      <c r="AN1063" s="22">
        <v>182</v>
      </c>
      <c r="AO1063" s="22">
        <v>0</v>
      </c>
      <c r="AP1063" s="22">
        <v>0</v>
      </c>
      <c r="AQ1063" s="22">
        <v>0</v>
      </c>
      <c r="AR1063" s="22">
        <v>0</v>
      </c>
      <c r="AS1063" s="22">
        <v>7</v>
      </c>
      <c r="AT1063" s="22">
        <v>10</v>
      </c>
      <c r="AU1063" s="316">
        <f t="shared" si="177"/>
        <v>199</v>
      </c>
      <c r="AV1063" s="22">
        <v>190</v>
      </c>
      <c r="AW1063" s="22">
        <v>0</v>
      </c>
      <c r="AX1063" s="22">
        <v>0</v>
      </c>
      <c r="AY1063" s="22">
        <v>0</v>
      </c>
      <c r="AZ1063" s="22">
        <v>0</v>
      </c>
      <c r="BA1063" s="22">
        <v>7</v>
      </c>
      <c r="BB1063" s="22">
        <v>10</v>
      </c>
      <c r="BC1063" s="316">
        <f t="shared" si="178"/>
        <v>207</v>
      </c>
      <c r="BD1063" s="58">
        <f t="shared" si="179"/>
        <v>8</v>
      </c>
      <c r="BE1063" s="58">
        <f t="shared" si="180"/>
        <v>0</v>
      </c>
      <c r="BF1063" s="58">
        <f t="shared" si="181"/>
        <v>0</v>
      </c>
      <c r="BG1063" s="58">
        <f t="shared" si="182"/>
        <v>0</v>
      </c>
      <c r="BH1063" s="58">
        <f t="shared" si="183"/>
        <v>0</v>
      </c>
      <c r="BI1063" s="58">
        <f t="shared" si="184"/>
        <v>0</v>
      </c>
      <c r="BJ1063" s="58">
        <f t="shared" si="185"/>
        <v>0</v>
      </c>
      <c r="BK1063" s="58">
        <f t="shared" si="186"/>
        <v>8</v>
      </c>
    </row>
    <row r="1064" spans="1:63" ht="27" customHeight="1">
      <c r="A1064" s="238">
        <f t="shared" si="187"/>
        <v>1062</v>
      </c>
      <c r="B1064" s="239"/>
      <c r="C1064" s="239">
        <v>3499</v>
      </c>
      <c r="D1064" s="241">
        <v>0</v>
      </c>
      <c r="E1064" s="242" t="s">
        <v>296</v>
      </c>
      <c r="F1064" s="243" t="s">
        <v>723</v>
      </c>
      <c r="G1064" s="244" t="s">
        <v>5952</v>
      </c>
      <c r="H1064" s="245">
        <v>0</v>
      </c>
      <c r="I1064" s="246">
        <v>0</v>
      </c>
      <c r="J1064" s="247" t="s">
        <v>178</v>
      </c>
      <c r="K1064" s="248">
        <v>35904</v>
      </c>
      <c r="L1064" s="249" t="s">
        <v>179</v>
      </c>
      <c r="M1064" s="250">
        <v>43746</v>
      </c>
      <c r="N1064" s="250"/>
      <c r="O1064" s="250" t="s">
        <v>3644</v>
      </c>
      <c r="P1064" s="238" t="s">
        <v>5717</v>
      </c>
      <c r="Q1064" s="238" t="s">
        <v>249</v>
      </c>
      <c r="R1064" s="238" t="s">
        <v>182</v>
      </c>
      <c r="S1064" s="238" t="s">
        <v>1206</v>
      </c>
      <c r="T1064" s="251"/>
      <c r="U1064" s="307"/>
      <c r="V1064" s="252" t="s">
        <v>184</v>
      </c>
      <c r="W1064" s="252" t="s">
        <v>184</v>
      </c>
      <c r="X1064" s="252">
        <v>0</v>
      </c>
      <c r="Y1064" s="253" t="s">
        <v>5953</v>
      </c>
      <c r="Z1064" s="254"/>
      <c r="AA1064" s="277" t="s">
        <v>186</v>
      </c>
      <c r="AB1064" s="252"/>
      <c r="AC1064" s="255"/>
      <c r="AD1064" s="256"/>
      <c r="AE1064" s="256"/>
      <c r="AF1064" s="257"/>
      <c r="AG1064" s="258"/>
      <c r="AH1064" s="259"/>
      <c r="AI1064" s="259"/>
      <c r="AJ1064" s="260" t="s">
        <v>190</v>
      </c>
      <c r="AK1064" s="274" t="s">
        <v>190</v>
      </c>
      <c r="AL1064" s="274" t="s">
        <v>190</v>
      </c>
      <c r="AM1064" s="255" t="s">
        <v>3967</v>
      </c>
      <c r="AN1064" s="22">
        <v>182</v>
      </c>
      <c r="AO1064" s="22">
        <v>0</v>
      </c>
      <c r="AP1064" s="22">
        <v>0</v>
      </c>
      <c r="AQ1064" s="22">
        <v>0</v>
      </c>
      <c r="AR1064" s="22">
        <v>0</v>
      </c>
      <c r="AS1064" s="22">
        <v>7</v>
      </c>
      <c r="AT1064" s="22">
        <v>10</v>
      </c>
      <c r="AU1064" s="316">
        <f t="shared" si="177"/>
        <v>199</v>
      </c>
      <c r="AV1064" s="22">
        <v>190</v>
      </c>
      <c r="AW1064" s="22">
        <v>0</v>
      </c>
      <c r="AX1064" s="22">
        <v>0</v>
      </c>
      <c r="AY1064" s="22">
        <v>0</v>
      </c>
      <c r="AZ1064" s="22">
        <v>0</v>
      </c>
      <c r="BA1064" s="22">
        <v>7</v>
      </c>
      <c r="BB1064" s="22">
        <v>10</v>
      </c>
      <c r="BC1064" s="316">
        <f t="shared" si="178"/>
        <v>207</v>
      </c>
      <c r="BD1064" s="58">
        <f t="shared" si="179"/>
        <v>8</v>
      </c>
      <c r="BE1064" s="58">
        <f t="shared" si="180"/>
        <v>0</v>
      </c>
      <c r="BF1064" s="58">
        <f t="shared" si="181"/>
        <v>0</v>
      </c>
      <c r="BG1064" s="58">
        <f t="shared" si="182"/>
        <v>0</v>
      </c>
      <c r="BH1064" s="58">
        <f t="shared" si="183"/>
        <v>0</v>
      </c>
      <c r="BI1064" s="58">
        <f t="shared" si="184"/>
        <v>0</v>
      </c>
      <c r="BJ1064" s="58">
        <f t="shared" si="185"/>
        <v>0</v>
      </c>
      <c r="BK1064" s="58">
        <f t="shared" si="186"/>
        <v>8</v>
      </c>
    </row>
    <row r="1065" spans="1:63" ht="27" customHeight="1">
      <c r="A1065" s="238">
        <f t="shared" si="187"/>
        <v>1063</v>
      </c>
      <c r="B1065" s="239"/>
      <c r="C1065" s="239">
        <v>3551</v>
      </c>
      <c r="D1065" s="241" t="s">
        <v>5954</v>
      </c>
      <c r="E1065" s="242" t="s">
        <v>5955</v>
      </c>
      <c r="F1065" s="243" t="s">
        <v>5956</v>
      </c>
      <c r="G1065" s="244" t="s">
        <v>1828</v>
      </c>
      <c r="H1065" s="245" t="s">
        <v>5957</v>
      </c>
      <c r="I1065" s="246" t="s">
        <v>1829</v>
      </c>
      <c r="J1065" s="247" t="s">
        <v>209</v>
      </c>
      <c r="K1065" s="248">
        <v>35449</v>
      </c>
      <c r="L1065" s="249" t="s">
        <v>179</v>
      </c>
      <c r="M1065" s="250">
        <v>43747</v>
      </c>
      <c r="N1065" s="250"/>
      <c r="O1065" s="250" t="s">
        <v>3644</v>
      </c>
      <c r="P1065" s="238" t="s">
        <v>5717</v>
      </c>
      <c r="Q1065" s="238" t="s">
        <v>249</v>
      </c>
      <c r="R1065" s="238" t="s">
        <v>182</v>
      </c>
      <c r="S1065" s="238" t="s">
        <v>183</v>
      </c>
      <c r="T1065" s="251"/>
      <c r="U1065" s="307"/>
      <c r="V1065" s="252" t="s">
        <v>184</v>
      </c>
      <c r="W1065" s="252" t="s">
        <v>184</v>
      </c>
      <c r="X1065" s="252">
        <v>2</v>
      </c>
      <c r="Y1065" s="253" t="s">
        <v>296</v>
      </c>
      <c r="Z1065" s="277" t="s">
        <v>186</v>
      </c>
      <c r="AA1065" s="254"/>
      <c r="AB1065" s="252"/>
      <c r="AC1065" s="255"/>
      <c r="AD1065" s="256"/>
      <c r="AE1065" s="256"/>
      <c r="AF1065" s="257"/>
      <c r="AG1065" s="258"/>
      <c r="AH1065" s="259"/>
      <c r="AI1065" s="259"/>
      <c r="AJ1065" s="260" t="s">
        <v>190</v>
      </c>
      <c r="AK1065" s="274" t="s">
        <v>190</v>
      </c>
      <c r="AL1065" s="274" t="s">
        <v>190</v>
      </c>
      <c r="AM1065" s="255" t="s">
        <v>3967</v>
      </c>
      <c r="AN1065" s="22">
        <v>182</v>
      </c>
      <c r="AO1065" s="22">
        <v>0</v>
      </c>
      <c r="AP1065" s="22">
        <v>20</v>
      </c>
      <c r="AQ1065" s="22">
        <v>0</v>
      </c>
      <c r="AR1065" s="22">
        <v>0</v>
      </c>
      <c r="AS1065" s="22">
        <v>7</v>
      </c>
      <c r="AT1065" s="22">
        <v>10</v>
      </c>
      <c r="AU1065" s="316">
        <f t="shared" si="177"/>
        <v>219</v>
      </c>
      <c r="AV1065" s="22">
        <v>190</v>
      </c>
      <c r="AW1065" s="22">
        <v>0</v>
      </c>
      <c r="AX1065" s="22">
        <v>20</v>
      </c>
      <c r="AY1065" s="22">
        <v>0</v>
      </c>
      <c r="AZ1065" s="22">
        <v>0</v>
      </c>
      <c r="BA1065" s="22">
        <v>7</v>
      </c>
      <c r="BB1065" s="22">
        <v>10</v>
      </c>
      <c r="BC1065" s="316">
        <f t="shared" si="178"/>
        <v>227</v>
      </c>
      <c r="BD1065" s="58">
        <f t="shared" si="179"/>
        <v>8</v>
      </c>
      <c r="BE1065" s="58">
        <f t="shared" si="180"/>
        <v>0</v>
      </c>
      <c r="BF1065" s="58">
        <f t="shared" si="181"/>
        <v>0</v>
      </c>
      <c r="BG1065" s="58">
        <f t="shared" si="182"/>
        <v>0</v>
      </c>
      <c r="BH1065" s="58">
        <f t="shared" si="183"/>
        <v>0</v>
      </c>
      <c r="BI1065" s="58">
        <f t="shared" si="184"/>
        <v>0</v>
      </c>
      <c r="BJ1065" s="58">
        <f t="shared" si="185"/>
        <v>0</v>
      </c>
      <c r="BK1065" s="58">
        <f t="shared" si="186"/>
        <v>8</v>
      </c>
    </row>
    <row r="1066" spans="1:63" ht="27" customHeight="1">
      <c r="A1066" s="238">
        <f t="shared" si="187"/>
        <v>1064</v>
      </c>
      <c r="B1066" s="239"/>
      <c r="C1066" s="239">
        <v>3253</v>
      </c>
      <c r="D1066" s="241" t="s">
        <v>5958</v>
      </c>
      <c r="E1066" s="242" t="s">
        <v>296</v>
      </c>
      <c r="F1066" s="243" t="s">
        <v>5959</v>
      </c>
      <c r="G1066" s="244" t="s">
        <v>5960</v>
      </c>
      <c r="H1066" s="245" t="s">
        <v>5961</v>
      </c>
      <c r="I1066" s="246" t="s">
        <v>5962</v>
      </c>
      <c r="J1066" s="247" t="s">
        <v>209</v>
      </c>
      <c r="K1066" s="248">
        <v>33060</v>
      </c>
      <c r="L1066" s="249" t="s">
        <v>179</v>
      </c>
      <c r="M1066" s="250">
        <v>43746</v>
      </c>
      <c r="N1066" s="250"/>
      <c r="O1066" s="250" t="s">
        <v>3644</v>
      </c>
      <c r="P1066" s="238" t="s">
        <v>5717</v>
      </c>
      <c r="Q1066" s="238" t="s">
        <v>249</v>
      </c>
      <c r="R1066" s="238" t="s">
        <v>182</v>
      </c>
      <c r="S1066" s="238" t="s">
        <v>256</v>
      </c>
      <c r="T1066" s="251"/>
      <c r="U1066" s="307"/>
      <c r="V1066" s="252" t="s">
        <v>184</v>
      </c>
      <c r="W1066" s="252">
        <v>5507</v>
      </c>
      <c r="X1066" s="252">
        <v>12</v>
      </c>
      <c r="Y1066" s="253" t="s">
        <v>5963</v>
      </c>
      <c r="Z1066" s="254"/>
      <c r="AA1066" s="254"/>
      <c r="AB1066" s="252"/>
      <c r="AC1066" s="255"/>
      <c r="AD1066" s="256"/>
      <c r="AE1066" s="256"/>
      <c r="AF1066" s="257"/>
      <c r="AG1066" s="258"/>
      <c r="AH1066" s="259"/>
      <c r="AI1066" s="259"/>
      <c r="AJ1066" s="260" t="s">
        <v>203</v>
      </c>
      <c r="AK1066" s="274" t="s">
        <v>190</v>
      </c>
      <c r="AL1066" s="274" t="s">
        <v>190</v>
      </c>
      <c r="AM1066" s="260" t="s">
        <v>388</v>
      </c>
      <c r="AN1066" s="22">
        <v>182</v>
      </c>
      <c r="AO1066" s="22">
        <v>0</v>
      </c>
      <c r="AP1066" s="22">
        <v>20</v>
      </c>
      <c r="AQ1066" s="22">
        <v>0</v>
      </c>
      <c r="AR1066" s="22">
        <v>0</v>
      </c>
      <c r="AS1066" s="22">
        <v>7</v>
      </c>
      <c r="AT1066" s="22">
        <v>10</v>
      </c>
      <c r="AU1066" s="316">
        <f t="shared" si="177"/>
        <v>219</v>
      </c>
      <c r="AV1066" s="22">
        <v>190</v>
      </c>
      <c r="AW1066" s="22">
        <v>0</v>
      </c>
      <c r="AX1066" s="22">
        <v>20</v>
      </c>
      <c r="AY1066" s="22">
        <v>0</v>
      </c>
      <c r="AZ1066" s="22">
        <v>0</v>
      </c>
      <c r="BA1066" s="22">
        <v>7</v>
      </c>
      <c r="BB1066" s="22">
        <v>10</v>
      </c>
      <c r="BC1066" s="316">
        <f t="shared" si="178"/>
        <v>227</v>
      </c>
      <c r="BD1066" s="58">
        <f t="shared" si="179"/>
        <v>8</v>
      </c>
      <c r="BE1066" s="58">
        <f t="shared" si="180"/>
        <v>0</v>
      </c>
      <c r="BF1066" s="58">
        <f t="shared" si="181"/>
        <v>0</v>
      </c>
      <c r="BG1066" s="58">
        <f t="shared" si="182"/>
        <v>0</v>
      </c>
      <c r="BH1066" s="58">
        <f t="shared" si="183"/>
        <v>0</v>
      </c>
      <c r="BI1066" s="58">
        <f t="shared" si="184"/>
        <v>0</v>
      </c>
      <c r="BJ1066" s="58">
        <f t="shared" si="185"/>
        <v>0</v>
      </c>
      <c r="BK1066" s="58">
        <f t="shared" si="186"/>
        <v>8</v>
      </c>
    </row>
    <row r="1067" spans="1:63" ht="27" customHeight="1">
      <c r="A1067" s="238">
        <f t="shared" si="187"/>
        <v>1065</v>
      </c>
      <c r="B1067" s="239"/>
      <c r="C1067" s="239">
        <v>3757</v>
      </c>
      <c r="D1067" s="241">
        <v>0</v>
      </c>
      <c r="E1067" s="242" t="s">
        <v>5964</v>
      </c>
      <c r="F1067" s="243" t="s">
        <v>1237</v>
      </c>
      <c r="G1067" s="244" t="s">
        <v>5965</v>
      </c>
      <c r="H1067" s="245" t="s">
        <v>1239</v>
      </c>
      <c r="I1067" s="246" t="s">
        <v>5966</v>
      </c>
      <c r="J1067" s="247" t="s">
        <v>209</v>
      </c>
      <c r="K1067" s="248">
        <v>29440</v>
      </c>
      <c r="L1067" s="249" t="s">
        <v>179</v>
      </c>
      <c r="M1067" s="250">
        <v>43759</v>
      </c>
      <c r="N1067" s="250"/>
      <c r="O1067" s="250" t="s">
        <v>3644</v>
      </c>
      <c r="P1067" s="238" t="s">
        <v>5717</v>
      </c>
      <c r="Q1067" s="238" t="s">
        <v>249</v>
      </c>
      <c r="R1067" s="238" t="s">
        <v>182</v>
      </c>
      <c r="S1067" s="238" t="s">
        <v>211</v>
      </c>
      <c r="T1067" s="251"/>
      <c r="U1067" s="307"/>
      <c r="V1067" s="252" t="s">
        <v>184</v>
      </c>
      <c r="W1067" s="252" t="s">
        <v>184</v>
      </c>
      <c r="X1067" s="252">
        <v>6</v>
      </c>
      <c r="Y1067" s="253" t="s">
        <v>5967</v>
      </c>
      <c r="Z1067" s="277" t="s">
        <v>186</v>
      </c>
      <c r="AA1067" s="254"/>
      <c r="AB1067" s="252"/>
      <c r="AC1067" s="255"/>
      <c r="AD1067" s="256"/>
      <c r="AE1067" s="256"/>
      <c r="AF1067" s="257"/>
      <c r="AG1067" s="258"/>
      <c r="AH1067" s="259"/>
      <c r="AI1067" s="259"/>
      <c r="AJ1067" s="260" t="s">
        <v>203</v>
      </c>
      <c r="AK1067" s="274" t="s">
        <v>190</v>
      </c>
      <c r="AL1067" s="274" t="s">
        <v>190</v>
      </c>
      <c r="AM1067" s="260" t="s">
        <v>3859</v>
      </c>
      <c r="AN1067" s="22">
        <v>177</v>
      </c>
      <c r="AO1067" s="22">
        <v>0</v>
      </c>
      <c r="AP1067" s="22">
        <v>20</v>
      </c>
      <c r="AQ1067" s="22">
        <v>0</v>
      </c>
      <c r="AR1067" s="22">
        <v>0</v>
      </c>
      <c r="AS1067" s="22">
        <v>7</v>
      </c>
      <c r="AT1067" s="22">
        <v>10</v>
      </c>
      <c r="AU1067" s="316">
        <f t="shared" si="177"/>
        <v>214</v>
      </c>
      <c r="AV1067" s="22">
        <v>185</v>
      </c>
      <c r="AW1067" s="22">
        <v>0</v>
      </c>
      <c r="AX1067" s="22">
        <v>20</v>
      </c>
      <c r="AY1067" s="22">
        <v>0</v>
      </c>
      <c r="AZ1067" s="22">
        <v>0</v>
      </c>
      <c r="BA1067" s="22">
        <v>7</v>
      </c>
      <c r="BB1067" s="22">
        <v>10</v>
      </c>
      <c r="BC1067" s="316">
        <f t="shared" si="178"/>
        <v>222</v>
      </c>
      <c r="BD1067" s="58">
        <f t="shared" si="179"/>
        <v>8</v>
      </c>
      <c r="BE1067" s="58">
        <f t="shared" si="180"/>
        <v>0</v>
      </c>
      <c r="BF1067" s="58">
        <f t="shared" si="181"/>
        <v>0</v>
      </c>
      <c r="BG1067" s="58">
        <f t="shared" si="182"/>
        <v>0</v>
      </c>
      <c r="BH1067" s="58">
        <f t="shared" si="183"/>
        <v>0</v>
      </c>
      <c r="BI1067" s="58">
        <f t="shared" si="184"/>
        <v>0</v>
      </c>
      <c r="BJ1067" s="58">
        <f t="shared" si="185"/>
        <v>0</v>
      </c>
      <c r="BK1067" s="58">
        <f t="shared" si="186"/>
        <v>8</v>
      </c>
    </row>
    <row r="1068" spans="1:63" ht="27" customHeight="1">
      <c r="A1068" s="238">
        <f t="shared" si="187"/>
        <v>1066</v>
      </c>
      <c r="B1068" s="239"/>
      <c r="C1068" s="239">
        <v>3177</v>
      </c>
      <c r="D1068" s="241" t="s">
        <v>5968</v>
      </c>
      <c r="E1068" s="242" t="s">
        <v>5969</v>
      </c>
      <c r="F1068" s="243" t="s">
        <v>5061</v>
      </c>
      <c r="G1068" s="244" t="s">
        <v>5970</v>
      </c>
      <c r="H1068" s="245" t="s">
        <v>5062</v>
      </c>
      <c r="I1068" s="246" t="s">
        <v>5971</v>
      </c>
      <c r="J1068" s="247" t="s">
        <v>209</v>
      </c>
      <c r="K1068" s="248">
        <v>33704</v>
      </c>
      <c r="L1068" s="249" t="s">
        <v>179</v>
      </c>
      <c r="M1068" s="250">
        <v>43740</v>
      </c>
      <c r="N1068" s="250"/>
      <c r="O1068" s="250" t="s">
        <v>3644</v>
      </c>
      <c r="P1068" s="238" t="s">
        <v>5717</v>
      </c>
      <c r="Q1068" s="238" t="s">
        <v>249</v>
      </c>
      <c r="R1068" s="238" t="s">
        <v>182</v>
      </c>
      <c r="S1068" s="238" t="s">
        <v>433</v>
      </c>
      <c r="T1068" s="251"/>
      <c r="U1068" s="307"/>
      <c r="V1068" s="252" t="s">
        <v>184</v>
      </c>
      <c r="W1068" s="252" t="s">
        <v>184</v>
      </c>
      <c r="X1068" s="252">
        <v>6</v>
      </c>
      <c r="Y1068" s="253" t="s">
        <v>4559</v>
      </c>
      <c r="Z1068" s="254"/>
      <c r="AA1068" s="277" t="s">
        <v>186</v>
      </c>
      <c r="AB1068" s="252"/>
      <c r="AC1068" s="255"/>
      <c r="AD1068" s="256"/>
      <c r="AE1068" s="256"/>
      <c r="AF1068" s="257"/>
      <c r="AG1068" s="258"/>
      <c r="AH1068" s="259"/>
      <c r="AI1068" s="259"/>
      <c r="AJ1068" s="260" t="s">
        <v>203</v>
      </c>
      <c r="AK1068" s="274" t="s">
        <v>190</v>
      </c>
      <c r="AL1068" s="274" t="s">
        <v>190</v>
      </c>
      <c r="AM1068" s="255" t="s">
        <v>3967</v>
      </c>
      <c r="AN1068" s="22">
        <v>182</v>
      </c>
      <c r="AO1068" s="22">
        <v>0</v>
      </c>
      <c r="AP1068" s="22">
        <v>20</v>
      </c>
      <c r="AQ1068" s="22">
        <v>0</v>
      </c>
      <c r="AR1068" s="22">
        <v>0</v>
      </c>
      <c r="AS1068" s="22">
        <v>7</v>
      </c>
      <c r="AT1068" s="22">
        <v>10</v>
      </c>
      <c r="AU1068" s="316">
        <f t="shared" si="177"/>
        <v>219</v>
      </c>
      <c r="AV1068" s="22">
        <v>190</v>
      </c>
      <c r="AW1068" s="22">
        <v>0</v>
      </c>
      <c r="AX1068" s="22">
        <v>20</v>
      </c>
      <c r="AY1068" s="22">
        <v>0</v>
      </c>
      <c r="AZ1068" s="22">
        <v>0</v>
      </c>
      <c r="BA1068" s="22">
        <v>7</v>
      </c>
      <c r="BB1068" s="22">
        <v>10</v>
      </c>
      <c r="BC1068" s="316">
        <f t="shared" si="178"/>
        <v>227</v>
      </c>
      <c r="BD1068" s="58">
        <f t="shared" si="179"/>
        <v>8</v>
      </c>
      <c r="BE1068" s="58">
        <f t="shared" si="180"/>
        <v>0</v>
      </c>
      <c r="BF1068" s="58">
        <f t="shared" si="181"/>
        <v>0</v>
      </c>
      <c r="BG1068" s="58">
        <f t="shared" si="182"/>
        <v>0</v>
      </c>
      <c r="BH1068" s="58">
        <f t="shared" si="183"/>
        <v>0</v>
      </c>
      <c r="BI1068" s="58">
        <f t="shared" si="184"/>
        <v>0</v>
      </c>
      <c r="BJ1068" s="58">
        <f t="shared" si="185"/>
        <v>0</v>
      </c>
      <c r="BK1068" s="58">
        <f t="shared" si="186"/>
        <v>8</v>
      </c>
    </row>
    <row r="1069" spans="1:63" ht="27" customHeight="1">
      <c r="A1069" s="238">
        <f t="shared" si="187"/>
        <v>1067</v>
      </c>
      <c r="B1069" s="239"/>
      <c r="C1069" s="239">
        <v>3608</v>
      </c>
      <c r="D1069" s="241" t="s">
        <v>5972</v>
      </c>
      <c r="E1069" s="242" t="s">
        <v>5973</v>
      </c>
      <c r="F1069" s="243" t="s">
        <v>1459</v>
      </c>
      <c r="G1069" s="244" t="s">
        <v>1352</v>
      </c>
      <c r="H1069" s="245" t="s">
        <v>1891</v>
      </c>
      <c r="I1069" s="246" t="s">
        <v>5974</v>
      </c>
      <c r="J1069" s="247" t="s">
        <v>178</v>
      </c>
      <c r="K1069" s="248">
        <v>28224</v>
      </c>
      <c r="L1069" s="249" t="s">
        <v>179</v>
      </c>
      <c r="M1069" s="250">
        <v>43750</v>
      </c>
      <c r="N1069" s="250"/>
      <c r="O1069" s="250" t="s">
        <v>3644</v>
      </c>
      <c r="P1069" s="238" t="s">
        <v>5717</v>
      </c>
      <c r="Q1069" s="238" t="s">
        <v>249</v>
      </c>
      <c r="R1069" s="238" t="s">
        <v>182</v>
      </c>
      <c r="S1069" s="238" t="s">
        <v>228</v>
      </c>
      <c r="T1069" s="251"/>
      <c r="U1069" s="307"/>
      <c r="V1069" s="252" t="s">
        <v>184</v>
      </c>
      <c r="W1069" s="252" t="s">
        <v>184</v>
      </c>
      <c r="X1069" s="252">
        <v>5</v>
      </c>
      <c r="Y1069" s="253" t="s">
        <v>5975</v>
      </c>
      <c r="Z1069" s="254"/>
      <c r="AA1069" s="277" t="s">
        <v>186</v>
      </c>
      <c r="AB1069" s="252"/>
      <c r="AC1069" s="255"/>
      <c r="AD1069" s="256"/>
      <c r="AE1069" s="256"/>
      <c r="AF1069" s="257"/>
      <c r="AG1069" s="258"/>
      <c r="AH1069" s="259"/>
      <c r="AI1069" s="259"/>
      <c r="AJ1069" s="260" t="s">
        <v>203</v>
      </c>
      <c r="AK1069" s="274" t="s">
        <v>190</v>
      </c>
      <c r="AL1069" s="274" t="s">
        <v>190</v>
      </c>
      <c r="AM1069" s="260" t="s">
        <v>241</v>
      </c>
      <c r="AN1069" s="22">
        <v>182</v>
      </c>
      <c r="AO1069" s="22">
        <v>0</v>
      </c>
      <c r="AP1069" s="22">
        <v>20</v>
      </c>
      <c r="AQ1069" s="22">
        <v>0</v>
      </c>
      <c r="AR1069" s="22">
        <v>0</v>
      </c>
      <c r="AS1069" s="22">
        <v>7</v>
      </c>
      <c r="AT1069" s="22">
        <v>10</v>
      </c>
      <c r="AU1069" s="316">
        <f t="shared" si="177"/>
        <v>219</v>
      </c>
      <c r="AV1069" s="22">
        <v>190</v>
      </c>
      <c r="AW1069" s="22">
        <v>0</v>
      </c>
      <c r="AX1069" s="22">
        <v>20</v>
      </c>
      <c r="AY1069" s="22">
        <v>0</v>
      </c>
      <c r="AZ1069" s="22">
        <v>0</v>
      </c>
      <c r="BA1069" s="22">
        <v>7</v>
      </c>
      <c r="BB1069" s="22">
        <v>10</v>
      </c>
      <c r="BC1069" s="316">
        <f t="shared" si="178"/>
        <v>227</v>
      </c>
      <c r="BD1069" s="58">
        <f t="shared" si="179"/>
        <v>8</v>
      </c>
      <c r="BE1069" s="58">
        <f t="shared" si="180"/>
        <v>0</v>
      </c>
      <c r="BF1069" s="58">
        <f t="shared" si="181"/>
        <v>0</v>
      </c>
      <c r="BG1069" s="58">
        <f t="shared" si="182"/>
        <v>0</v>
      </c>
      <c r="BH1069" s="58">
        <f t="shared" si="183"/>
        <v>0</v>
      </c>
      <c r="BI1069" s="58">
        <f t="shared" si="184"/>
        <v>0</v>
      </c>
      <c r="BJ1069" s="58">
        <f t="shared" si="185"/>
        <v>0</v>
      </c>
      <c r="BK1069" s="58">
        <f t="shared" si="186"/>
        <v>8</v>
      </c>
    </row>
    <row r="1070" spans="1:63" ht="27" customHeight="1">
      <c r="A1070" s="238">
        <f t="shared" si="187"/>
        <v>1068</v>
      </c>
      <c r="B1070" s="239"/>
      <c r="C1070" s="239">
        <v>3827</v>
      </c>
      <c r="D1070" s="241" t="s">
        <v>5976</v>
      </c>
      <c r="E1070" s="242" t="s">
        <v>296</v>
      </c>
      <c r="F1070" s="243" t="s">
        <v>2346</v>
      </c>
      <c r="G1070" s="244" t="s">
        <v>2021</v>
      </c>
      <c r="H1070" s="245" t="s">
        <v>4978</v>
      </c>
      <c r="I1070" s="246" t="s">
        <v>907</v>
      </c>
      <c r="J1070" s="247" t="s">
        <v>178</v>
      </c>
      <c r="K1070" s="248">
        <v>30080</v>
      </c>
      <c r="L1070" s="249" t="s">
        <v>179</v>
      </c>
      <c r="M1070" s="250">
        <v>43787</v>
      </c>
      <c r="N1070" s="250"/>
      <c r="O1070" s="250" t="s">
        <v>3644</v>
      </c>
      <c r="P1070" s="238" t="s">
        <v>5717</v>
      </c>
      <c r="Q1070" s="238" t="s">
        <v>249</v>
      </c>
      <c r="R1070" s="238" t="s">
        <v>182</v>
      </c>
      <c r="S1070" s="238" t="s">
        <v>533</v>
      </c>
      <c r="T1070" s="251"/>
      <c r="U1070" s="307"/>
      <c r="V1070" s="252" t="s">
        <v>184</v>
      </c>
      <c r="W1070" s="252">
        <v>10</v>
      </c>
      <c r="X1070" s="252">
        <v>5</v>
      </c>
      <c r="Y1070" s="253" t="s">
        <v>5977</v>
      </c>
      <c r="Z1070" s="254"/>
      <c r="AA1070" s="277" t="s">
        <v>186</v>
      </c>
      <c r="AB1070" s="252"/>
      <c r="AC1070" s="255"/>
      <c r="AD1070" s="256" t="s">
        <v>188</v>
      </c>
      <c r="AE1070" s="256" t="s">
        <v>188</v>
      </c>
      <c r="AF1070" s="257"/>
      <c r="AG1070" s="258"/>
      <c r="AH1070" s="259"/>
      <c r="AI1070" s="259"/>
      <c r="AJ1070" s="260" t="s">
        <v>203</v>
      </c>
      <c r="AK1070" s="274" t="s">
        <v>190</v>
      </c>
      <c r="AL1070" s="274" t="s">
        <v>190</v>
      </c>
      <c r="AM1070" s="260" t="s">
        <v>5585</v>
      </c>
      <c r="AN1070" s="22">
        <v>182</v>
      </c>
      <c r="AO1070" s="22">
        <v>0</v>
      </c>
      <c r="AP1070" s="22">
        <v>20</v>
      </c>
      <c r="AQ1070" s="22">
        <v>0</v>
      </c>
      <c r="AR1070" s="22">
        <v>0</v>
      </c>
      <c r="AS1070" s="22">
        <v>7</v>
      </c>
      <c r="AT1070" s="22">
        <v>10</v>
      </c>
      <c r="AU1070" s="316">
        <f t="shared" si="177"/>
        <v>219</v>
      </c>
      <c r="AV1070" s="22">
        <v>190</v>
      </c>
      <c r="AW1070" s="22">
        <v>0</v>
      </c>
      <c r="AX1070" s="22">
        <v>20</v>
      </c>
      <c r="AY1070" s="22">
        <v>0</v>
      </c>
      <c r="AZ1070" s="22">
        <v>0</v>
      </c>
      <c r="BA1070" s="22">
        <v>7</v>
      </c>
      <c r="BB1070" s="22">
        <v>10</v>
      </c>
      <c r="BC1070" s="316">
        <f t="shared" si="178"/>
        <v>227</v>
      </c>
      <c r="BD1070" s="58">
        <f t="shared" si="179"/>
        <v>8</v>
      </c>
      <c r="BE1070" s="58">
        <f t="shared" si="180"/>
        <v>0</v>
      </c>
      <c r="BF1070" s="58">
        <f t="shared" si="181"/>
        <v>0</v>
      </c>
      <c r="BG1070" s="58">
        <f t="shared" si="182"/>
        <v>0</v>
      </c>
      <c r="BH1070" s="58">
        <f t="shared" si="183"/>
        <v>0</v>
      </c>
      <c r="BI1070" s="58">
        <f t="shared" si="184"/>
        <v>0</v>
      </c>
      <c r="BJ1070" s="58">
        <f t="shared" si="185"/>
        <v>0</v>
      </c>
      <c r="BK1070" s="58">
        <f t="shared" si="186"/>
        <v>8</v>
      </c>
    </row>
    <row r="1071" spans="1:63" ht="27" customHeight="1">
      <c r="A1071" s="238">
        <f t="shared" si="187"/>
        <v>1069</v>
      </c>
      <c r="B1071" s="239"/>
      <c r="C1071" s="239">
        <v>3855</v>
      </c>
      <c r="D1071" s="241" t="s">
        <v>5978</v>
      </c>
      <c r="E1071" s="242" t="s">
        <v>5979</v>
      </c>
      <c r="F1071" s="243" t="s">
        <v>5980</v>
      </c>
      <c r="G1071" s="244" t="s">
        <v>5981</v>
      </c>
      <c r="H1071" s="245" t="s">
        <v>4290</v>
      </c>
      <c r="I1071" s="246" t="s">
        <v>5982</v>
      </c>
      <c r="J1071" s="247" t="s">
        <v>178</v>
      </c>
      <c r="K1071" s="248">
        <v>35856</v>
      </c>
      <c r="L1071" s="249" t="s">
        <v>179</v>
      </c>
      <c r="M1071" s="250">
        <v>43795</v>
      </c>
      <c r="N1071" s="250"/>
      <c r="O1071" s="250" t="s">
        <v>3644</v>
      </c>
      <c r="P1071" s="238" t="s">
        <v>26</v>
      </c>
      <c r="Q1071" s="238" t="s">
        <v>249</v>
      </c>
      <c r="R1071" s="238" t="s">
        <v>182</v>
      </c>
      <c r="S1071" s="238" t="s">
        <v>211</v>
      </c>
      <c r="T1071" s="251"/>
      <c r="U1071" s="307"/>
      <c r="V1071" s="252" t="s">
        <v>184</v>
      </c>
      <c r="W1071" s="252" t="s">
        <v>184</v>
      </c>
      <c r="X1071" s="252">
        <v>10</v>
      </c>
      <c r="Y1071" s="253" t="s">
        <v>5983</v>
      </c>
      <c r="Z1071" s="254"/>
      <c r="AA1071" s="277" t="s">
        <v>186</v>
      </c>
      <c r="AB1071" s="252"/>
      <c r="AC1071" s="255"/>
      <c r="AD1071" s="256" t="s">
        <v>3607</v>
      </c>
      <c r="AE1071" s="256"/>
      <c r="AF1071" s="257"/>
      <c r="AG1071" s="258"/>
      <c r="AH1071" s="259"/>
      <c r="AI1071" s="259"/>
      <c r="AJ1071" s="260" t="s">
        <v>203</v>
      </c>
      <c r="AK1071" s="274" t="s">
        <v>190</v>
      </c>
      <c r="AL1071" s="274" t="s">
        <v>190</v>
      </c>
      <c r="AM1071" s="260" t="s">
        <v>3859</v>
      </c>
      <c r="AN1071" s="22">
        <v>177</v>
      </c>
      <c r="AO1071" s="22">
        <v>0</v>
      </c>
      <c r="AP1071" s="22">
        <v>20</v>
      </c>
      <c r="AQ1071" s="22">
        <v>0</v>
      </c>
      <c r="AR1071" s="22">
        <v>0</v>
      </c>
      <c r="AS1071" s="22">
        <v>7</v>
      </c>
      <c r="AT1071" s="22">
        <v>10</v>
      </c>
      <c r="AU1071" s="316">
        <f t="shared" si="177"/>
        <v>214</v>
      </c>
      <c r="AV1071" s="22">
        <v>185</v>
      </c>
      <c r="AW1071" s="22">
        <v>0</v>
      </c>
      <c r="AX1071" s="22">
        <v>20</v>
      </c>
      <c r="AY1071" s="22">
        <v>0</v>
      </c>
      <c r="AZ1071" s="22">
        <v>0</v>
      </c>
      <c r="BA1071" s="22">
        <v>7</v>
      </c>
      <c r="BB1071" s="22">
        <v>10</v>
      </c>
      <c r="BC1071" s="316">
        <f t="shared" si="178"/>
        <v>222</v>
      </c>
      <c r="BD1071" s="58">
        <f t="shared" si="179"/>
        <v>8</v>
      </c>
      <c r="BE1071" s="58">
        <f t="shared" si="180"/>
        <v>0</v>
      </c>
      <c r="BF1071" s="58">
        <f t="shared" si="181"/>
        <v>0</v>
      </c>
      <c r="BG1071" s="58">
        <f t="shared" si="182"/>
        <v>0</v>
      </c>
      <c r="BH1071" s="58">
        <f t="shared" si="183"/>
        <v>0</v>
      </c>
      <c r="BI1071" s="58">
        <f t="shared" si="184"/>
        <v>0</v>
      </c>
      <c r="BJ1071" s="58">
        <f t="shared" si="185"/>
        <v>0</v>
      </c>
      <c r="BK1071" s="58">
        <f t="shared" si="186"/>
        <v>8</v>
      </c>
    </row>
    <row r="1072" spans="1:63" ht="27" customHeight="1">
      <c r="A1072" s="238">
        <f t="shared" si="187"/>
        <v>1070</v>
      </c>
      <c r="B1072" s="239"/>
      <c r="C1072" s="239">
        <v>3854</v>
      </c>
      <c r="D1072" s="241" t="s">
        <v>5984</v>
      </c>
      <c r="E1072" s="242" t="s">
        <v>5985</v>
      </c>
      <c r="F1072" s="243" t="s">
        <v>4449</v>
      </c>
      <c r="G1072" s="244" t="s">
        <v>5986</v>
      </c>
      <c r="H1072" s="245" t="s">
        <v>4450</v>
      </c>
      <c r="I1072" s="246" t="s">
        <v>5987</v>
      </c>
      <c r="J1072" s="247" t="s">
        <v>178</v>
      </c>
      <c r="K1072" s="248">
        <v>34364</v>
      </c>
      <c r="L1072" s="249" t="s">
        <v>179</v>
      </c>
      <c r="M1072" s="250">
        <v>43795</v>
      </c>
      <c r="N1072" s="250"/>
      <c r="O1072" s="250" t="s">
        <v>3644</v>
      </c>
      <c r="P1072" s="238" t="s">
        <v>4152</v>
      </c>
      <c r="Q1072" s="238" t="s">
        <v>249</v>
      </c>
      <c r="R1072" s="238" t="s">
        <v>182</v>
      </c>
      <c r="S1072" s="238" t="s">
        <v>228</v>
      </c>
      <c r="T1072" s="251"/>
      <c r="U1072" s="307"/>
      <c r="V1072" s="252" t="s">
        <v>184</v>
      </c>
      <c r="W1072" s="252" t="s">
        <v>184</v>
      </c>
      <c r="X1072" s="252">
        <v>8</v>
      </c>
      <c r="Y1072" s="253" t="s">
        <v>5988</v>
      </c>
      <c r="Z1072" s="254"/>
      <c r="AA1072" s="277" t="s">
        <v>186</v>
      </c>
      <c r="AB1072" s="252"/>
      <c r="AC1072" s="255" t="s">
        <v>202</v>
      </c>
      <c r="AD1072" s="256" t="s">
        <v>188</v>
      </c>
      <c r="AE1072" s="256"/>
      <c r="AF1072" s="257"/>
      <c r="AG1072" s="258"/>
      <c r="AH1072" s="259"/>
      <c r="AI1072" s="259"/>
      <c r="AJ1072" s="260" t="s">
        <v>203</v>
      </c>
      <c r="AK1072" s="274" t="s">
        <v>190</v>
      </c>
      <c r="AL1072" s="274" t="s">
        <v>190</v>
      </c>
      <c r="AM1072" s="260" t="s">
        <v>3859</v>
      </c>
      <c r="AN1072" s="22">
        <v>182</v>
      </c>
      <c r="AO1072" s="22">
        <v>0</v>
      </c>
      <c r="AP1072" s="22">
        <v>20</v>
      </c>
      <c r="AQ1072" s="22">
        <v>0</v>
      </c>
      <c r="AR1072" s="22">
        <v>0</v>
      </c>
      <c r="AS1072" s="22">
        <v>7</v>
      </c>
      <c r="AT1072" s="22">
        <v>10</v>
      </c>
      <c r="AU1072" s="316">
        <f t="shared" si="177"/>
        <v>219</v>
      </c>
      <c r="AV1072" s="22">
        <v>190</v>
      </c>
      <c r="AW1072" s="22">
        <v>0</v>
      </c>
      <c r="AX1072" s="22">
        <v>20</v>
      </c>
      <c r="AY1072" s="22">
        <v>0</v>
      </c>
      <c r="AZ1072" s="22">
        <v>0</v>
      </c>
      <c r="BA1072" s="22">
        <v>7</v>
      </c>
      <c r="BB1072" s="22">
        <v>10</v>
      </c>
      <c r="BC1072" s="316">
        <f t="shared" si="178"/>
        <v>227</v>
      </c>
      <c r="BD1072" s="58">
        <f t="shared" si="179"/>
        <v>8</v>
      </c>
      <c r="BE1072" s="58">
        <f t="shared" si="180"/>
        <v>0</v>
      </c>
      <c r="BF1072" s="58">
        <f t="shared" si="181"/>
        <v>0</v>
      </c>
      <c r="BG1072" s="58">
        <f t="shared" si="182"/>
        <v>0</v>
      </c>
      <c r="BH1072" s="58">
        <f t="shared" si="183"/>
        <v>0</v>
      </c>
      <c r="BI1072" s="58">
        <f t="shared" si="184"/>
        <v>0</v>
      </c>
      <c r="BJ1072" s="58">
        <f t="shared" si="185"/>
        <v>0</v>
      </c>
      <c r="BK1072" s="58">
        <f t="shared" si="186"/>
        <v>8</v>
      </c>
    </row>
    <row r="1073" spans="1:63" ht="27" customHeight="1">
      <c r="A1073" s="238">
        <f t="shared" si="187"/>
        <v>1071</v>
      </c>
      <c r="B1073" s="239"/>
      <c r="C1073" s="239">
        <v>3853</v>
      </c>
      <c r="D1073" s="241" t="s">
        <v>5989</v>
      </c>
      <c r="E1073" s="242" t="s">
        <v>5990</v>
      </c>
      <c r="F1073" s="243" t="s">
        <v>482</v>
      </c>
      <c r="G1073" s="244" t="s">
        <v>976</v>
      </c>
      <c r="H1073" s="245" t="s">
        <v>918</v>
      </c>
      <c r="I1073" s="246" t="s">
        <v>977</v>
      </c>
      <c r="J1073" s="247" t="s">
        <v>178</v>
      </c>
      <c r="K1073" s="248">
        <v>34821</v>
      </c>
      <c r="L1073" s="249" t="s">
        <v>179</v>
      </c>
      <c r="M1073" s="250">
        <v>43794</v>
      </c>
      <c r="N1073" s="250"/>
      <c r="O1073" s="250" t="s">
        <v>3644</v>
      </c>
      <c r="P1073" s="238" t="s">
        <v>4152</v>
      </c>
      <c r="Q1073" s="238" t="s">
        <v>249</v>
      </c>
      <c r="R1073" s="238" t="s">
        <v>182</v>
      </c>
      <c r="S1073" s="238" t="s">
        <v>228</v>
      </c>
      <c r="T1073" s="251"/>
      <c r="U1073" s="307"/>
      <c r="V1073" s="252" t="s">
        <v>184</v>
      </c>
      <c r="W1073" s="252" t="s">
        <v>184</v>
      </c>
      <c r="X1073" s="252">
        <v>6</v>
      </c>
      <c r="Y1073" s="253" t="s">
        <v>5991</v>
      </c>
      <c r="Z1073" s="254"/>
      <c r="AA1073" s="277" t="s">
        <v>186</v>
      </c>
      <c r="AB1073" s="252"/>
      <c r="AC1073" s="255"/>
      <c r="AD1073" s="256" t="s">
        <v>188</v>
      </c>
      <c r="AE1073" s="256"/>
      <c r="AF1073" s="257"/>
      <c r="AG1073" s="258"/>
      <c r="AH1073" s="259"/>
      <c r="AI1073" s="259"/>
      <c r="AJ1073" s="260" t="s">
        <v>203</v>
      </c>
      <c r="AK1073" s="274" t="s">
        <v>190</v>
      </c>
      <c r="AL1073" s="274" t="s">
        <v>190</v>
      </c>
      <c r="AM1073" s="260" t="s">
        <v>3859</v>
      </c>
      <c r="AN1073" s="22">
        <v>182</v>
      </c>
      <c r="AO1073" s="22">
        <v>0</v>
      </c>
      <c r="AP1073" s="22">
        <v>20</v>
      </c>
      <c r="AQ1073" s="22">
        <v>0</v>
      </c>
      <c r="AR1073" s="22">
        <v>0</v>
      </c>
      <c r="AS1073" s="22">
        <v>7</v>
      </c>
      <c r="AT1073" s="22">
        <v>10</v>
      </c>
      <c r="AU1073" s="316">
        <f t="shared" si="177"/>
        <v>219</v>
      </c>
      <c r="AV1073" s="22">
        <v>190</v>
      </c>
      <c r="AW1073" s="22">
        <v>0</v>
      </c>
      <c r="AX1073" s="22">
        <v>20</v>
      </c>
      <c r="AY1073" s="22">
        <v>0</v>
      </c>
      <c r="AZ1073" s="22">
        <v>0</v>
      </c>
      <c r="BA1073" s="22">
        <v>7</v>
      </c>
      <c r="BB1073" s="22">
        <v>10</v>
      </c>
      <c r="BC1073" s="316">
        <f t="shared" si="178"/>
        <v>227</v>
      </c>
      <c r="BD1073" s="58">
        <f t="shared" si="179"/>
        <v>8</v>
      </c>
      <c r="BE1073" s="58">
        <f t="shared" si="180"/>
        <v>0</v>
      </c>
      <c r="BF1073" s="58">
        <f t="shared" si="181"/>
        <v>0</v>
      </c>
      <c r="BG1073" s="58">
        <f t="shared" si="182"/>
        <v>0</v>
      </c>
      <c r="BH1073" s="58">
        <f t="shared" si="183"/>
        <v>0</v>
      </c>
      <c r="BI1073" s="58">
        <f t="shared" si="184"/>
        <v>0</v>
      </c>
      <c r="BJ1073" s="58">
        <f t="shared" si="185"/>
        <v>0</v>
      </c>
      <c r="BK1073" s="58">
        <f t="shared" si="186"/>
        <v>8</v>
      </c>
    </row>
    <row r="1074" spans="1:63" ht="27" customHeight="1">
      <c r="A1074" s="238">
        <f t="shared" si="187"/>
        <v>1072</v>
      </c>
      <c r="B1074" s="239"/>
      <c r="C1074" s="266">
        <v>3604</v>
      </c>
      <c r="D1074" s="241" t="s">
        <v>5992</v>
      </c>
      <c r="E1074" s="267" t="s">
        <v>5993</v>
      </c>
      <c r="F1074" s="268" t="s">
        <v>4287</v>
      </c>
      <c r="G1074" s="269" t="s">
        <v>5994</v>
      </c>
      <c r="H1074" s="245" t="s">
        <v>4379</v>
      </c>
      <c r="I1074" s="246" t="s">
        <v>5634</v>
      </c>
      <c r="J1074" s="270" t="s">
        <v>209</v>
      </c>
      <c r="K1074" s="271">
        <v>34370</v>
      </c>
      <c r="L1074" s="249" t="s">
        <v>179</v>
      </c>
      <c r="M1074" s="272">
        <v>43753</v>
      </c>
      <c r="N1074" s="272"/>
      <c r="O1074" s="240"/>
      <c r="P1074" s="240"/>
      <c r="Q1074" s="238" t="s">
        <v>249</v>
      </c>
      <c r="R1074" s="240" t="s">
        <v>182</v>
      </c>
      <c r="S1074" s="240" t="s">
        <v>228</v>
      </c>
      <c r="T1074" s="251"/>
      <c r="U1074" s="273"/>
      <c r="V1074" s="274" t="s">
        <v>184</v>
      </c>
      <c r="W1074" s="274" t="s">
        <v>184</v>
      </c>
      <c r="X1074" s="282">
        <v>5</v>
      </c>
      <c r="Y1074" s="267" t="s">
        <v>5995</v>
      </c>
      <c r="Z1074" s="274"/>
      <c r="AA1074" s="277" t="s">
        <v>186</v>
      </c>
      <c r="AB1074" s="276"/>
      <c r="AC1074" s="274" t="s">
        <v>371</v>
      </c>
      <c r="AD1074" s="275" t="s">
        <v>187</v>
      </c>
      <c r="AE1074" s="275" t="s">
        <v>5996</v>
      </c>
      <c r="AF1074" s="275" t="s">
        <v>188</v>
      </c>
      <c r="AG1074" s="275"/>
      <c r="AH1074" s="276"/>
      <c r="AI1074" s="276"/>
      <c r="AJ1074" s="274" t="s">
        <v>190</v>
      </c>
      <c r="AK1074" s="274" t="s">
        <v>190</v>
      </c>
      <c r="AL1074" s="274" t="s">
        <v>190</v>
      </c>
      <c r="AM1074" s="260" t="s">
        <v>3859</v>
      </c>
      <c r="AN1074" s="22">
        <v>182</v>
      </c>
      <c r="AO1074" s="22">
        <v>0</v>
      </c>
      <c r="AP1074" s="22">
        <v>20</v>
      </c>
      <c r="AQ1074" s="22">
        <v>0</v>
      </c>
      <c r="AR1074" s="22">
        <v>0</v>
      </c>
      <c r="AS1074" s="22">
        <v>7</v>
      </c>
      <c r="AT1074" s="22">
        <v>10</v>
      </c>
      <c r="AU1074" s="316">
        <f t="shared" si="177"/>
        <v>219</v>
      </c>
      <c r="AV1074" s="22">
        <v>190</v>
      </c>
      <c r="AW1074" s="22">
        <v>0</v>
      </c>
      <c r="AX1074" s="22">
        <v>20</v>
      </c>
      <c r="AY1074" s="22">
        <v>0</v>
      </c>
      <c r="AZ1074" s="22">
        <v>0</v>
      </c>
      <c r="BA1074" s="22">
        <v>7</v>
      </c>
      <c r="BB1074" s="22">
        <v>10</v>
      </c>
      <c r="BC1074" s="316">
        <f t="shared" si="178"/>
        <v>227</v>
      </c>
      <c r="BD1074" s="58">
        <f t="shared" si="179"/>
        <v>8</v>
      </c>
      <c r="BE1074" s="58">
        <f t="shared" si="180"/>
        <v>0</v>
      </c>
      <c r="BF1074" s="58">
        <f t="shared" si="181"/>
        <v>0</v>
      </c>
      <c r="BG1074" s="58">
        <f t="shared" si="182"/>
        <v>0</v>
      </c>
      <c r="BH1074" s="58">
        <f t="shared" si="183"/>
        <v>0</v>
      </c>
      <c r="BI1074" s="58">
        <f t="shared" si="184"/>
        <v>0</v>
      </c>
      <c r="BJ1074" s="58">
        <f t="shared" si="185"/>
        <v>0</v>
      </c>
      <c r="BK1074" s="58">
        <f t="shared" si="186"/>
        <v>8</v>
      </c>
    </row>
    <row r="1075" spans="1:63" ht="27" customHeight="1">
      <c r="A1075" s="238">
        <f t="shared" si="187"/>
        <v>1073</v>
      </c>
      <c r="B1075" s="239"/>
      <c r="C1075" s="266">
        <v>3603</v>
      </c>
      <c r="D1075" s="280" t="s">
        <v>5997</v>
      </c>
      <c r="E1075" s="267" t="s">
        <v>5998</v>
      </c>
      <c r="F1075" s="268" t="s">
        <v>5999</v>
      </c>
      <c r="G1075" s="269" t="s">
        <v>4068</v>
      </c>
      <c r="H1075" s="245" t="s">
        <v>6000</v>
      </c>
      <c r="I1075" s="246" t="s">
        <v>6001</v>
      </c>
      <c r="J1075" s="270" t="s">
        <v>209</v>
      </c>
      <c r="K1075" s="271">
        <v>34552</v>
      </c>
      <c r="L1075" s="249" t="s">
        <v>179</v>
      </c>
      <c r="M1075" s="272">
        <v>43743</v>
      </c>
      <c r="N1075" s="272"/>
      <c r="O1075" s="240"/>
      <c r="P1075" s="240"/>
      <c r="Q1075" s="238" t="s">
        <v>249</v>
      </c>
      <c r="R1075" s="240" t="s">
        <v>182</v>
      </c>
      <c r="S1075" s="240" t="s">
        <v>256</v>
      </c>
      <c r="T1075" s="251"/>
      <c r="U1075" s="273"/>
      <c r="V1075" s="274" t="s">
        <v>184</v>
      </c>
      <c r="W1075" s="274" t="s">
        <v>184</v>
      </c>
      <c r="X1075" s="282">
        <v>4</v>
      </c>
      <c r="Y1075" s="267" t="s">
        <v>6002</v>
      </c>
      <c r="Z1075" s="274"/>
      <c r="AA1075" s="277" t="s">
        <v>186</v>
      </c>
      <c r="AB1075" s="276"/>
      <c r="AC1075" s="274" t="s">
        <v>3888</v>
      </c>
      <c r="AD1075" s="274" t="s">
        <v>3888</v>
      </c>
      <c r="AE1075" s="274" t="s">
        <v>3888</v>
      </c>
      <c r="AF1075" s="274" t="s">
        <v>3888</v>
      </c>
      <c r="AG1075" s="274" t="s">
        <v>3888</v>
      </c>
      <c r="AH1075" s="274" t="s">
        <v>3888</v>
      </c>
      <c r="AI1075" s="276"/>
      <c r="AJ1075" s="274" t="s">
        <v>190</v>
      </c>
      <c r="AK1075" s="274" t="s">
        <v>190</v>
      </c>
      <c r="AL1075" s="274" t="s">
        <v>190</v>
      </c>
      <c r="AM1075" s="260" t="s">
        <v>3859</v>
      </c>
      <c r="AN1075" s="22">
        <v>182</v>
      </c>
      <c r="AO1075" s="22">
        <v>0</v>
      </c>
      <c r="AP1075" s="22">
        <v>20</v>
      </c>
      <c r="AQ1075" s="22">
        <v>0</v>
      </c>
      <c r="AR1075" s="22">
        <v>0</v>
      </c>
      <c r="AS1075" s="22">
        <v>7</v>
      </c>
      <c r="AT1075" s="22">
        <v>10</v>
      </c>
      <c r="AU1075" s="316">
        <f t="shared" si="177"/>
        <v>219</v>
      </c>
      <c r="AV1075" s="22">
        <v>190</v>
      </c>
      <c r="AW1075" s="22">
        <v>0</v>
      </c>
      <c r="AX1075" s="22">
        <v>20</v>
      </c>
      <c r="AY1075" s="22">
        <v>0</v>
      </c>
      <c r="AZ1075" s="22">
        <v>0</v>
      </c>
      <c r="BA1075" s="22">
        <v>7</v>
      </c>
      <c r="BB1075" s="22">
        <v>10</v>
      </c>
      <c r="BC1075" s="316">
        <f t="shared" si="178"/>
        <v>227</v>
      </c>
      <c r="BD1075" s="58">
        <f t="shared" si="179"/>
        <v>8</v>
      </c>
      <c r="BE1075" s="58">
        <f t="shared" si="180"/>
        <v>0</v>
      </c>
      <c r="BF1075" s="58">
        <f t="shared" si="181"/>
        <v>0</v>
      </c>
      <c r="BG1075" s="58">
        <f t="shared" si="182"/>
        <v>0</v>
      </c>
      <c r="BH1075" s="58">
        <f t="shared" si="183"/>
        <v>0</v>
      </c>
      <c r="BI1075" s="58">
        <f t="shared" si="184"/>
        <v>0</v>
      </c>
      <c r="BJ1075" s="58">
        <f t="shared" si="185"/>
        <v>0</v>
      </c>
      <c r="BK1075" s="58">
        <f t="shared" si="186"/>
        <v>8</v>
      </c>
    </row>
    <row r="1076" spans="1:63" ht="27" customHeight="1">
      <c r="A1076" s="238">
        <f t="shared" si="187"/>
        <v>1074</v>
      </c>
      <c r="B1076" s="239"/>
      <c r="C1076" s="266">
        <v>3764</v>
      </c>
      <c r="D1076" s="241" t="s">
        <v>6003</v>
      </c>
      <c r="E1076" s="302" t="s">
        <v>6004</v>
      </c>
      <c r="F1076" s="268" t="s">
        <v>5049</v>
      </c>
      <c r="G1076" s="269" t="s">
        <v>5986</v>
      </c>
      <c r="H1076" s="245" t="s">
        <v>1391</v>
      </c>
      <c r="I1076" s="246" t="s">
        <v>5987</v>
      </c>
      <c r="J1076" s="270" t="s">
        <v>178</v>
      </c>
      <c r="K1076" s="271">
        <v>34395</v>
      </c>
      <c r="L1076" s="249" t="s">
        <v>179</v>
      </c>
      <c r="M1076" s="272">
        <v>43762</v>
      </c>
      <c r="N1076" s="272"/>
      <c r="O1076" s="240"/>
      <c r="P1076" s="240"/>
      <c r="Q1076" s="238" t="s">
        <v>249</v>
      </c>
      <c r="R1076" s="240" t="s">
        <v>182</v>
      </c>
      <c r="S1076" s="240" t="s">
        <v>211</v>
      </c>
      <c r="T1076" s="251"/>
      <c r="U1076" s="273"/>
      <c r="V1076" s="274" t="s">
        <v>184</v>
      </c>
      <c r="W1076" s="274" t="s">
        <v>184</v>
      </c>
      <c r="X1076" s="275">
        <v>6</v>
      </c>
      <c r="Y1076" s="267" t="s">
        <v>6005</v>
      </c>
      <c r="Z1076" s="305"/>
      <c r="AA1076" s="277" t="s">
        <v>186</v>
      </c>
      <c r="AB1076" s="260"/>
      <c r="AC1076" s="296"/>
      <c r="AD1076" s="296"/>
      <c r="AE1076" s="296"/>
      <c r="AF1076" s="296"/>
      <c r="AG1076" s="296"/>
      <c r="AH1076" s="296"/>
      <c r="AI1076" s="296"/>
      <c r="AJ1076" s="260" t="s">
        <v>203</v>
      </c>
      <c r="AK1076" s="260" t="s">
        <v>190</v>
      </c>
      <c r="AL1076" s="260" t="s">
        <v>190</v>
      </c>
      <c r="AM1076" s="260" t="s">
        <v>3859</v>
      </c>
      <c r="AN1076" s="22">
        <v>182</v>
      </c>
      <c r="AO1076" s="22">
        <v>0</v>
      </c>
      <c r="AP1076" s="22">
        <v>20</v>
      </c>
      <c r="AQ1076" s="22">
        <v>0</v>
      </c>
      <c r="AR1076" s="22">
        <v>0</v>
      </c>
      <c r="AS1076" s="22">
        <v>7</v>
      </c>
      <c r="AT1076" s="22">
        <v>10</v>
      </c>
      <c r="AU1076" s="316">
        <f t="shared" si="177"/>
        <v>219</v>
      </c>
      <c r="AV1076" s="22">
        <v>190</v>
      </c>
      <c r="AW1076" s="22">
        <v>0</v>
      </c>
      <c r="AX1076" s="22">
        <v>20</v>
      </c>
      <c r="AY1076" s="22">
        <v>0</v>
      </c>
      <c r="AZ1076" s="22">
        <v>0</v>
      </c>
      <c r="BA1076" s="22">
        <v>7</v>
      </c>
      <c r="BB1076" s="22">
        <v>10</v>
      </c>
      <c r="BC1076" s="316">
        <f t="shared" si="178"/>
        <v>227</v>
      </c>
      <c r="BD1076" s="58">
        <f t="shared" si="179"/>
        <v>8</v>
      </c>
      <c r="BE1076" s="58">
        <f t="shared" si="180"/>
        <v>0</v>
      </c>
      <c r="BF1076" s="58">
        <f t="shared" si="181"/>
        <v>0</v>
      </c>
      <c r="BG1076" s="58">
        <f t="shared" si="182"/>
        <v>0</v>
      </c>
      <c r="BH1076" s="58">
        <f t="shared" si="183"/>
        <v>0</v>
      </c>
      <c r="BI1076" s="58">
        <f t="shared" si="184"/>
        <v>0</v>
      </c>
      <c r="BJ1076" s="58">
        <f t="shared" si="185"/>
        <v>0</v>
      </c>
      <c r="BK1076" s="58">
        <f t="shared" si="186"/>
        <v>8</v>
      </c>
    </row>
    <row r="1077" spans="1:63" ht="27" customHeight="1">
      <c r="A1077" s="238">
        <f t="shared" si="187"/>
        <v>1075</v>
      </c>
      <c r="B1077" s="59"/>
      <c r="C1077" s="10">
        <v>26</v>
      </c>
      <c r="D1077" s="76" t="s">
        <v>6007</v>
      </c>
      <c r="E1077" s="77">
        <v>130051748</v>
      </c>
      <c r="F1077" s="234" t="s">
        <v>3053</v>
      </c>
      <c r="G1077" s="235" t="s">
        <v>306</v>
      </c>
      <c r="H1077" s="26" t="s">
        <v>3055</v>
      </c>
      <c r="I1077" s="27" t="s">
        <v>308</v>
      </c>
      <c r="J1077" s="98" t="s">
        <v>209</v>
      </c>
      <c r="K1077" s="99">
        <v>30171</v>
      </c>
      <c r="L1077" s="82" t="s">
        <v>179</v>
      </c>
      <c r="M1077" s="83">
        <v>41568</v>
      </c>
      <c r="N1077" s="83"/>
      <c r="O1077" s="17" t="s">
        <v>80</v>
      </c>
      <c r="P1077" s="311" t="s">
        <v>6008</v>
      </c>
      <c r="Q1077" s="18" t="s">
        <v>181</v>
      </c>
      <c r="R1077" s="17" t="s">
        <v>182</v>
      </c>
      <c r="S1077" s="19" t="s">
        <v>256</v>
      </c>
      <c r="T1077" s="312"/>
      <c r="U1077" s="312"/>
      <c r="V1077" s="21" t="s">
        <v>184</v>
      </c>
      <c r="W1077" s="21">
        <v>1464</v>
      </c>
      <c r="X1077" s="21">
        <v>6</v>
      </c>
      <c r="Y1077" s="77" t="s">
        <v>6009</v>
      </c>
      <c r="Z1077" s="59"/>
      <c r="AA1077" s="86"/>
      <c r="AB1077" s="86" t="s">
        <v>186</v>
      </c>
      <c r="AC1077" s="123"/>
      <c r="AD1077" s="88" t="s">
        <v>188</v>
      </c>
      <c r="AE1077" s="88" t="s">
        <v>188</v>
      </c>
      <c r="AF1077" s="219"/>
      <c r="AG1077" s="220"/>
      <c r="AH1077" s="221"/>
      <c r="AI1077" s="221"/>
      <c r="AJ1077" s="97" t="s">
        <v>203</v>
      </c>
      <c r="AK1077" s="97" t="s">
        <v>190</v>
      </c>
      <c r="AL1077" s="97" t="s">
        <v>190</v>
      </c>
      <c r="AM1077" s="123" t="s">
        <v>6006</v>
      </c>
      <c r="AN1077" s="22">
        <v>182</v>
      </c>
      <c r="AO1077" s="22">
        <v>7</v>
      </c>
      <c r="AP1077" s="22">
        <v>60</v>
      </c>
      <c r="AQ1077" s="22">
        <v>384</v>
      </c>
      <c r="AR1077" s="22">
        <v>0</v>
      </c>
      <c r="AS1077" s="22">
        <v>7</v>
      </c>
      <c r="AT1077" s="22">
        <v>10</v>
      </c>
      <c r="AU1077" s="316">
        <f t="shared" si="177"/>
        <v>650</v>
      </c>
      <c r="AV1077" s="22">
        <v>190</v>
      </c>
      <c r="AW1077" s="22">
        <v>7</v>
      </c>
      <c r="AX1077" s="22">
        <v>60</v>
      </c>
      <c r="AY1077" s="22">
        <v>384</v>
      </c>
      <c r="AZ1077" s="22">
        <v>0</v>
      </c>
      <c r="BA1077" s="22">
        <v>7</v>
      </c>
      <c r="BB1077" s="22">
        <v>10</v>
      </c>
      <c r="BC1077" s="316">
        <f t="shared" si="178"/>
        <v>658</v>
      </c>
      <c r="BD1077" s="58">
        <f t="shared" si="179"/>
        <v>8</v>
      </c>
      <c r="BE1077" s="58">
        <f t="shared" si="180"/>
        <v>0</v>
      </c>
      <c r="BF1077" s="58">
        <f t="shared" si="181"/>
        <v>0</v>
      </c>
      <c r="BG1077" s="58">
        <f t="shared" si="182"/>
        <v>0</v>
      </c>
      <c r="BH1077" s="58">
        <f t="shared" si="183"/>
        <v>0</v>
      </c>
      <c r="BI1077" s="58">
        <f t="shared" si="184"/>
        <v>0</v>
      </c>
      <c r="BJ1077" s="58">
        <f t="shared" si="185"/>
        <v>0</v>
      </c>
      <c r="BK1077" s="58">
        <f t="shared" si="186"/>
        <v>8</v>
      </c>
    </row>
    <row r="1078" spans="1:63" ht="27" customHeight="1">
      <c r="A1078" s="238">
        <f t="shared" si="187"/>
        <v>1076</v>
      </c>
      <c r="B1078" s="59"/>
      <c r="C1078" s="10">
        <v>200</v>
      </c>
      <c r="D1078" s="76" t="s">
        <v>6010</v>
      </c>
      <c r="E1078" s="77"/>
      <c r="F1078" s="234" t="s">
        <v>1339</v>
      </c>
      <c r="G1078" s="235" t="s">
        <v>1692</v>
      </c>
      <c r="H1078" s="26" t="s">
        <v>6011</v>
      </c>
      <c r="I1078" s="27" t="s">
        <v>99</v>
      </c>
      <c r="J1078" s="98" t="s">
        <v>209</v>
      </c>
      <c r="K1078" s="99">
        <v>29800</v>
      </c>
      <c r="L1078" s="82" t="s">
        <v>179</v>
      </c>
      <c r="M1078" s="83">
        <v>41694</v>
      </c>
      <c r="N1078" s="83"/>
      <c r="O1078" s="17" t="s">
        <v>34</v>
      </c>
      <c r="P1078" s="311" t="s">
        <v>6012</v>
      </c>
      <c r="Q1078" s="18" t="s">
        <v>181</v>
      </c>
      <c r="R1078" s="17" t="s">
        <v>182</v>
      </c>
      <c r="S1078" s="17" t="s">
        <v>331</v>
      </c>
      <c r="T1078" s="312"/>
      <c r="U1078" s="312"/>
      <c r="V1078" s="21"/>
      <c r="W1078" s="21"/>
      <c r="X1078" s="21">
        <v>10</v>
      </c>
      <c r="Y1078" s="77">
        <v>975162111</v>
      </c>
      <c r="Z1078" s="59"/>
      <c r="AA1078" s="86" t="s">
        <v>186</v>
      </c>
      <c r="AB1078" s="59"/>
      <c r="AC1078" s="88" t="s">
        <v>213</v>
      </c>
      <c r="AD1078" s="88" t="s">
        <v>188</v>
      </c>
      <c r="AE1078" s="88" t="s">
        <v>189</v>
      </c>
      <c r="AF1078" s="313"/>
      <c r="AG1078" s="236"/>
      <c r="AH1078" s="236"/>
      <c r="AI1078" s="236"/>
      <c r="AJ1078" s="97" t="s">
        <v>203</v>
      </c>
      <c r="AK1078" s="97" t="s">
        <v>190</v>
      </c>
      <c r="AL1078" s="97" t="s">
        <v>190</v>
      </c>
      <c r="AM1078" s="88" t="s">
        <v>6013</v>
      </c>
      <c r="AN1078" s="22">
        <v>182</v>
      </c>
      <c r="AO1078" s="22">
        <v>6</v>
      </c>
      <c r="AP1078" s="22">
        <v>0</v>
      </c>
      <c r="AQ1078" s="22">
        <v>270</v>
      </c>
      <c r="AR1078" s="22">
        <v>0</v>
      </c>
      <c r="AS1078" s="22">
        <v>7</v>
      </c>
      <c r="AT1078" s="22">
        <v>10</v>
      </c>
      <c r="AU1078" s="316">
        <f t="shared" si="177"/>
        <v>475</v>
      </c>
      <c r="AV1078" s="22">
        <v>190</v>
      </c>
      <c r="AW1078" s="22">
        <v>6</v>
      </c>
      <c r="AX1078" s="22">
        <v>0</v>
      </c>
      <c r="AY1078" s="22">
        <v>270</v>
      </c>
      <c r="AZ1078" s="22">
        <v>0</v>
      </c>
      <c r="BA1078" s="22">
        <v>7</v>
      </c>
      <c r="BB1078" s="22">
        <v>10</v>
      </c>
      <c r="BC1078" s="316">
        <f t="shared" si="178"/>
        <v>483</v>
      </c>
      <c r="BD1078" s="58">
        <f t="shared" si="179"/>
        <v>8</v>
      </c>
      <c r="BE1078" s="58">
        <f t="shared" si="180"/>
        <v>0</v>
      </c>
      <c r="BF1078" s="58">
        <f t="shared" si="181"/>
        <v>0</v>
      </c>
      <c r="BG1078" s="58">
        <f t="shared" si="182"/>
        <v>0</v>
      </c>
      <c r="BH1078" s="58">
        <f t="shared" si="183"/>
        <v>0</v>
      </c>
      <c r="BI1078" s="58">
        <f t="shared" si="184"/>
        <v>0</v>
      </c>
      <c r="BJ1078" s="58">
        <f t="shared" si="185"/>
        <v>0</v>
      </c>
      <c r="BK1078" s="58">
        <f t="shared" si="186"/>
        <v>8</v>
      </c>
    </row>
    <row r="1079" spans="1:63" ht="27" customHeight="1">
      <c r="AU1079" s="321">
        <f>SUM(AU3:AU1078)</f>
        <v>232186</v>
      </c>
      <c r="BC1079" s="321">
        <f>SUM(BC3:BC1078)</f>
        <v>240770</v>
      </c>
      <c r="BD1079" s="58">
        <f>SUM(BD3:BD1078)</f>
        <v>8584</v>
      </c>
      <c r="BE1079" s="58"/>
      <c r="BF1079" s="58"/>
      <c r="BG1079" s="58"/>
      <c r="BH1079" s="58"/>
      <c r="BI1079" s="58"/>
      <c r="BJ1079" s="58"/>
      <c r="BK1079" s="58">
        <f t="shared" ref="BK1079" si="188">SUM(BK3:BK1078)</f>
        <v>8584</v>
      </c>
    </row>
  </sheetData>
  <autoFilter ref="C1:C1078"/>
  <mergeCells count="13">
    <mergeCell ref="AV1:BC1"/>
    <mergeCell ref="Z1:AI1"/>
    <mergeCell ref="AJ1:AJ2"/>
    <mergeCell ref="AK1:AK2"/>
    <mergeCell ref="AL1:AL2"/>
    <mergeCell ref="AM1:AM2"/>
    <mergeCell ref="AN1:AU1"/>
    <mergeCell ref="Y1:Y2"/>
    <mergeCell ref="T1:T2"/>
    <mergeCell ref="U1:U2"/>
    <mergeCell ref="V1:V2"/>
    <mergeCell ref="W1:W2"/>
    <mergeCell ref="X1:X2"/>
  </mergeCells>
  <phoneticPr fontId="11" type="noConversion"/>
  <conditionalFormatting sqref="B119">
    <cfRule type="duplicateValues" dxfId="460" priority="547"/>
  </conditionalFormatting>
  <conditionalFormatting sqref="B119">
    <cfRule type="duplicateValues" dxfId="459" priority="546"/>
  </conditionalFormatting>
  <conditionalFormatting sqref="B120">
    <cfRule type="duplicateValues" dxfId="458" priority="545"/>
  </conditionalFormatting>
  <conditionalFormatting sqref="B120">
    <cfRule type="duplicateValues" dxfId="457" priority="544"/>
  </conditionalFormatting>
  <conditionalFormatting sqref="B121">
    <cfRule type="duplicateValues" dxfId="456" priority="543"/>
  </conditionalFormatting>
  <conditionalFormatting sqref="B121">
    <cfRule type="duplicateValues" dxfId="455" priority="542"/>
  </conditionalFormatting>
  <conditionalFormatting sqref="B122">
    <cfRule type="duplicateValues" dxfId="454" priority="541"/>
  </conditionalFormatting>
  <conditionalFormatting sqref="B122">
    <cfRule type="duplicateValues" dxfId="453" priority="540"/>
  </conditionalFormatting>
  <conditionalFormatting sqref="B123">
    <cfRule type="duplicateValues" dxfId="452" priority="539"/>
  </conditionalFormatting>
  <conditionalFormatting sqref="B123">
    <cfRule type="duplicateValues" dxfId="451" priority="538"/>
  </conditionalFormatting>
  <conditionalFormatting sqref="B124">
    <cfRule type="duplicateValues" dxfId="450" priority="537"/>
  </conditionalFormatting>
  <conditionalFormatting sqref="B124">
    <cfRule type="duplicateValues" dxfId="449" priority="536"/>
  </conditionalFormatting>
  <conditionalFormatting sqref="B125">
    <cfRule type="duplicateValues" dxfId="448" priority="535"/>
  </conditionalFormatting>
  <conditionalFormatting sqref="B125">
    <cfRule type="duplicateValues" dxfId="447" priority="534"/>
  </conditionalFormatting>
  <conditionalFormatting sqref="B128">
    <cfRule type="duplicateValues" dxfId="446" priority="533"/>
  </conditionalFormatting>
  <conditionalFormatting sqref="B128">
    <cfRule type="duplicateValues" dxfId="445" priority="532"/>
  </conditionalFormatting>
  <conditionalFormatting sqref="B129">
    <cfRule type="duplicateValues" dxfId="444" priority="531"/>
  </conditionalFormatting>
  <conditionalFormatting sqref="B129">
    <cfRule type="duplicateValues" dxfId="443" priority="530"/>
  </conditionalFormatting>
  <conditionalFormatting sqref="B130">
    <cfRule type="duplicateValues" dxfId="442" priority="529"/>
  </conditionalFormatting>
  <conditionalFormatting sqref="B130">
    <cfRule type="duplicateValues" dxfId="441" priority="528"/>
  </conditionalFormatting>
  <conditionalFormatting sqref="B131">
    <cfRule type="duplicateValues" dxfId="440" priority="527"/>
  </conditionalFormatting>
  <conditionalFormatting sqref="B131">
    <cfRule type="duplicateValues" dxfId="439" priority="526"/>
  </conditionalFormatting>
  <conditionalFormatting sqref="B132">
    <cfRule type="duplicateValues" dxfId="438" priority="525"/>
  </conditionalFormatting>
  <conditionalFormatting sqref="B132">
    <cfRule type="duplicateValues" dxfId="437" priority="524"/>
  </conditionalFormatting>
  <conditionalFormatting sqref="B133">
    <cfRule type="duplicateValues" dxfId="436" priority="523"/>
  </conditionalFormatting>
  <conditionalFormatting sqref="B133">
    <cfRule type="duplicateValues" dxfId="435" priority="522"/>
  </conditionalFormatting>
  <conditionalFormatting sqref="B135">
    <cfRule type="duplicateValues" dxfId="434" priority="521"/>
  </conditionalFormatting>
  <conditionalFormatting sqref="B135">
    <cfRule type="duplicateValues" dxfId="433" priority="520"/>
  </conditionalFormatting>
  <conditionalFormatting sqref="B136:B137">
    <cfRule type="duplicateValues" dxfId="432" priority="519"/>
  </conditionalFormatting>
  <conditionalFormatting sqref="B136:B137">
    <cfRule type="duplicateValues" dxfId="431" priority="518"/>
  </conditionalFormatting>
  <conditionalFormatting sqref="B152">
    <cfRule type="duplicateValues" dxfId="430" priority="517"/>
  </conditionalFormatting>
  <conditionalFormatting sqref="B152">
    <cfRule type="duplicateValues" dxfId="429" priority="516"/>
  </conditionalFormatting>
  <conditionalFormatting sqref="B153">
    <cfRule type="duplicateValues" dxfId="428" priority="515"/>
  </conditionalFormatting>
  <conditionalFormatting sqref="B153">
    <cfRule type="duplicateValues" dxfId="427" priority="514"/>
  </conditionalFormatting>
  <conditionalFormatting sqref="B149">
    <cfRule type="duplicateValues" dxfId="426" priority="513"/>
  </conditionalFormatting>
  <conditionalFormatting sqref="B149">
    <cfRule type="duplicateValues" dxfId="425" priority="512"/>
  </conditionalFormatting>
  <conditionalFormatting sqref="B150">
    <cfRule type="duplicateValues" dxfId="424" priority="511"/>
  </conditionalFormatting>
  <conditionalFormatting sqref="B150">
    <cfRule type="duplicateValues" dxfId="423" priority="510"/>
  </conditionalFormatting>
  <conditionalFormatting sqref="B151">
    <cfRule type="duplicateValues" dxfId="422" priority="509"/>
  </conditionalFormatting>
  <conditionalFormatting sqref="B151">
    <cfRule type="duplicateValues" dxfId="421" priority="508"/>
  </conditionalFormatting>
  <conditionalFormatting sqref="B165">
    <cfRule type="duplicateValues" dxfId="420" priority="507"/>
  </conditionalFormatting>
  <conditionalFormatting sqref="B165">
    <cfRule type="duplicateValues" dxfId="419" priority="506"/>
  </conditionalFormatting>
  <conditionalFormatting sqref="B166">
    <cfRule type="duplicateValues" dxfId="418" priority="505"/>
  </conditionalFormatting>
  <conditionalFormatting sqref="B166">
    <cfRule type="duplicateValues" dxfId="417" priority="504"/>
  </conditionalFormatting>
  <conditionalFormatting sqref="B168">
    <cfRule type="duplicateValues" dxfId="416" priority="503"/>
  </conditionalFormatting>
  <conditionalFormatting sqref="B168">
    <cfRule type="duplicateValues" dxfId="415" priority="502"/>
  </conditionalFormatting>
  <conditionalFormatting sqref="B169">
    <cfRule type="duplicateValues" dxfId="414" priority="501"/>
  </conditionalFormatting>
  <conditionalFormatting sqref="B169">
    <cfRule type="duplicateValues" dxfId="413" priority="500"/>
  </conditionalFormatting>
  <conditionalFormatting sqref="B170">
    <cfRule type="duplicateValues" dxfId="412" priority="499"/>
  </conditionalFormatting>
  <conditionalFormatting sqref="B170">
    <cfRule type="duplicateValues" dxfId="411" priority="498"/>
  </conditionalFormatting>
  <conditionalFormatting sqref="B171">
    <cfRule type="duplicateValues" dxfId="410" priority="497"/>
  </conditionalFormatting>
  <conditionalFormatting sqref="B171">
    <cfRule type="duplicateValues" dxfId="409" priority="496"/>
  </conditionalFormatting>
  <conditionalFormatting sqref="B172">
    <cfRule type="duplicateValues" dxfId="408" priority="495"/>
  </conditionalFormatting>
  <conditionalFormatting sqref="B172">
    <cfRule type="duplicateValues" dxfId="407" priority="494"/>
  </conditionalFormatting>
  <conditionalFormatting sqref="B173">
    <cfRule type="duplicateValues" dxfId="406" priority="493"/>
  </conditionalFormatting>
  <conditionalFormatting sqref="B173">
    <cfRule type="duplicateValues" dxfId="405" priority="492"/>
  </conditionalFormatting>
  <conditionalFormatting sqref="B174">
    <cfRule type="duplicateValues" dxfId="404" priority="491"/>
  </conditionalFormatting>
  <conditionalFormatting sqref="B174">
    <cfRule type="duplicateValues" dxfId="403" priority="490"/>
  </conditionalFormatting>
  <conditionalFormatting sqref="B213">
    <cfRule type="duplicateValues" dxfId="402" priority="489"/>
  </conditionalFormatting>
  <conditionalFormatting sqref="B213">
    <cfRule type="duplicateValues" dxfId="401" priority="488"/>
  </conditionalFormatting>
  <conditionalFormatting sqref="B214">
    <cfRule type="duplicateValues" dxfId="400" priority="487"/>
  </conditionalFormatting>
  <conditionalFormatting sqref="B214">
    <cfRule type="duplicateValues" dxfId="399" priority="486"/>
  </conditionalFormatting>
  <conditionalFormatting sqref="B216">
    <cfRule type="duplicateValues" dxfId="398" priority="485"/>
  </conditionalFormatting>
  <conditionalFormatting sqref="B216">
    <cfRule type="duplicateValues" dxfId="397" priority="484"/>
  </conditionalFormatting>
  <conditionalFormatting sqref="B217">
    <cfRule type="duplicateValues" dxfId="396" priority="483"/>
  </conditionalFormatting>
  <conditionalFormatting sqref="B217">
    <cfRule type="duplicateValues" dxfId="395" priority="482"/>
  </conditionalFormatting>
  <conditionalFormatting sqref="B218">
    <cfRule type="duplicateValues" dxfId="394" priority="481"/>
  </conditionalFormatting>
  <conditionalFormatting sqref="B218">
    <cfRule type="duplicateValues" dxfId="393" priority="480"/>
  </conditionalFormatting>
  <conditionalFormatting sqref="B219">
    <cfRule type="duplicateValues" dxfId="392" priority="479"/>
  </conditionalFormatting>
  <conditionalFormatting sqref="B219">
    <cfRule type="duplicateValues" dxfId="391" priority="478"/>
  </conditionalFormatting>
  <conditionalFormatting sqref="B220">
    <cfRule type="duplicateValues" dxfId="390" priority="477"/>
  </conditionalFormatting>
  <conditionalFormatting sqref="B220">
    <cfRule type="duplicateValues" dxfId="389" priority="476"/>
  </conditionalFormatting>
  <conditionalFormatting sqref="B221">
    <cfRule type="duplicateValues" dxfId="388" priority="475"/>
  </conditionalFormatting>
  <conditionalFormatting sqref="B221">
    <cfRule type="duplicateValues" dxfId="387" priority="474"/>
  </conditionalFormatting>
  <conditionalFormatting sqref="B81">
    <cfRule type="duplicateValues" dxfId="386" priority="473"/>
  </conditionalFormatting>
  <conditionalFormatting sqref="B81">
    <cfRule type="duplicateValues" dxfId="385" priority="472"/>
  </conditionalFormatting>
  <conditionalFormatting sqref="B317:B329 B310:B315 B1:B166 B168:B297">
    <cfRule type="duplicateValues" dxfId="384" priority="471"/>
  </conditionalFormatting>
  <conditionalFormatting sqref="B215">
    <cfRule type="duplicateValues" dxfId="383" priority="470"/>
  </conditionalFormatting>
  <conditionalFormatting sqref="B215">
    <cfRule type="duplicateValues" dxfId="382" priority="469"/>
  </conditionalFormatting>
  <conditionalFormatting sqref="B127">
    <cfRule type="duplicateValues" dxfId="381" priority="468"/>
  </conditionalFormatting>
  <conditionalFormatting sqref="B127">
    <cfRule type="duplicateValues" dxfId="380" priority="467"/>
  </conditionalFormatting>
  <conditionalFormatting sqref="B126">
    <cfRule type="duplicateValues" dxfId="379" priority="466"/>
  </conditionalFormatting>
  <conditionalFormatting sqref="B126">
    <cfRule type="duplicateValues" dxfId="378" priority="465"/>
  </conditionalFormatting>
  <conditionalFormatting sqref="B134">
    <cfRule type="duplicateValues" dxfId="377" priority="464"/>
  </conditionalFormatting>
  <conditionalFormatting sqref="B134">
    <cfRule type="duplicateValues" dxfId="376" priority="463"/>
  </conditionalFormatting>
  <conditionalFormatting sqref="B303">
    <cfRule type="duplicateValues" dxfId="375" priority="462"/>
  </conditionalFormatting>
  <conditionalFormatting sqref="D303">
    <cfRule type="duplicateValues" dxfId="374" priority="461"/>
  </conditionalFormatting>
  <conditionalFormatting sqref="B303">
    <cfRule type="duplicateValues" dxfId="373" priority="460"/>
  </conditionalFormatting>
  <conditionalFormatting sqref="B303">
    <cfRule type="duplicateValues" dxfId="372" priority="459"/>
  </conditionalFormatting>
  <conditionalFormatting sqref="G60">
    <cfRule type="duplicateValues" dxfId="371" priority="458"/>
  </conditionalFormatting>
  <conditionalFormatting sqref="M316">
    <cfRule type="cellIs" dxfId="370" priority="457" operator="between">
      <formula>41487</formula>
      <formula>41517</formula>
    </cfRule>
  </conditionalFormatting>
  <conditionalFormatting sqref="B316">
    <cfRule type="duplicateValues" dxfId="369" priority="456"/>
  </conditionalFormatting>
  <conditionalFormatting sqref="B316">
    <cfRule type="duplicateValues" dxfId="368" priority="455"/>
  </conditionalFormatting>
  <conditionalFormatting sqref="M317">
    <cfRule type="cellIs" dxfId="367" priority="454" operator="between">
      <formula>41487</formula>
      <formula>41517</formula>
    </cfRule>
  </conditionalFormatting>
  <conditionalFormatting sqref="D311 D313:D315 D318:D329 D1:D166 D168:D297">
    <cfRule type="duplicateValues" dxfId="366" priority="453"/>
  </conditionalFormatting>
  <conditionalFormatting sqref="B1:B166 B168:B329">
    <cfRule type="duplicateValues" dxfId="365" priority="452"/>
  </conditionalFormatting>
  <conditionalFormatting sqref="D323">
    <cfRule type="duplicateValues" dxfId="364" priority="451"/>
  </conditionalFormatting>
  <conditionalFormatting sqref="D323">
    <cfRule type="duplicateValues" dxfId="363" priority="450"/>
  </conditionalFormatting>
  <conditionalFormatting sqref="D323">
    <cfRule type="duplicateValues" dxfId="362" priority="449"/>
  </conditionalFormatting>
  <conditionalFormatting sqref="D323">
    <cfRule type="duplicateValues" dxfId="361" priority="447"/>
    <cfRule type="duplicateValues" dxfId="360" priority="448"/>
  </conditionalFormatting>
  <conditionalFormatting sqref="D323">
    <cfRule type="duplicateValues" dxfId="359" priority="443"/>
    <cfRule type="duplicateValues" dxfId="358" priority="444"/>
    <cfRule type="duplicateValues" dxfId="357" priority="445"/>
    <cfRule type="duplicateValues" dxfId="356" priority="446"/>
  </conditionalFormatting>
  <conditionalFormatting sqref="D323">
    <cfRule type="duplicateValues" dxfId="355" priority="442"/>
  </conditionalFormatting>
  <conditionalFormatting sqref="D323">
    <cfRule type="duplicateValues" dxfId="354" priority="437"/>
    <cfRule type="duplicateValues" dxfId="353" priority="438"/>
    <cfRule type="duplicateValues" dxfId="352" priority="439"/>
    <cfRule type="duplicateValues" dxfId="351" priority="440"/>
    <cfRule type="duplicateValues" dxfId="350" priority="441"/>
  </conditionalFormatting>
  <conditionalFormatting sqref="D323">
    <cfRule type="duplicateValues" dxfId="349" priority="436"/>
  </conditionalFormatting>
  <conditionalFormatting sqref="D323">
    <cfRule type="duplicateValues" dxfId="348" priority="435"/>
  </conditionalFormatting>
  <conditionalFormatting sqref="D323">
    <cfRule type="duplicateValues" dxfId="347" priority="433"/>
    <cfRule type="duplicateValues" dxfId="346" priority="434"/>
  </conditionalFormatting>
  <conditionalFormatting sqref="D323">
    <cfRule type="duplicateValues" dxfId="345" priority="428"/>
    <cfRule type="duplicateValues" dxfId="344" priority="429"/>
    <cfRule type="duplicateValues" dxfId="343" priority="430"/>
    <cfRule type="duplicateValues" dxfId="342" priority="431"/>
    <cfRule type="duplicateValues" dxfId="341" priority="432"/>
  </conditionalFormatting>
  <conditionalFormatting sqref="D323">
    <cfRule type="duplicateValues" dxfId="340" priority="427"/>
  </conditionalFormatting>
  <conditionalFormatting sqref="D323">
    <cfRule type="duplicateValues" dxfId="339" priority="426"/>
  </conditionalFormatting>
  <conditionalFormatting sqref="D323">
    <cfRule type="duplicateValues" dxfId="338" priority="425"/>
  </conditionalFormatting>
  <conditionalFormatting sqref="B1077:B1078">
    <cfRule type="duplicateValues" dxfId="337" priority="424"/>
  </conditionalFormatting>
  <conditionalFormatting sqref="N316">
    <cfRule type="cellIs" dxfId="336" priority="422" operator="between">
      <formula>41487</formula>
      <formula>41517</formula>
    </cfRule>
  </conditionalFormatting>
  <conditionalFormatting sqref="N317">
    <cfRule type="cellIs" dxfId="335" priority="421" operator="between">
      <formula>41487</formula>
      <formula>41517</formula>
    </cfRule>
  </conditionalFormatting>
  <conditionalFormatting sqref="D422">
    <cfRule type="duplicateValues" dxfId="334" priority="420"/>
  </conditionalFormatting>
  <conditionalFormatting sqref="B422">
    <cfRule type="duplicateValues" dxfId="333" priority="419"/>
  </conditionalFormatting>
  <conditionalFormatting sqref="B422">
    <cfRule type="duplicateValues" dxfId="332" priority="418"/>
  </conditionalFormatting>
  <conditionalFormatting sqref="B422">
    <cfRule type="duplicateValues" dxfId="331" priority="417"/>
  </conditionalFormatting>
  <conditionalFormatting sqref="B233:B242">
    <cfRule type="duplicateValues" dxfId="330" priority="416"/>
  </conditionalFormatting>
  <conditionalFormatting sqref="B233:B242">
    <cfRule type="duplicateValues" dxfId="329" priority="415"/>
  </conditionalFormatting>
  <conditionalFormatting sqref="B167">
    <cfRule type="duplicateValues" dxfId="328" priority="414"/>
  </conditionalFormatting>
  <conditionalFormatting sqref="B167">
    <cfRule type="duplicateValues" dxfId="327" priority="413"/>
  </conditionalFormatting>
  <conditionalFormatting sqref="B167">
    <cfRule type="duplicateValues" dxfId="326" priority="412"/>
  </conditionalFormatting>
  <conditionalFormatting sqref="M167:N167">
    <cfRule type="cellIs" dxfId="325" priority="411" operator="between">
      <formula>41487</formula>
      <formula>41517</formula>
    </cfRule>
  </conditionalFormatting>
  <conditionalFormatting sqref="M775:N775">
    <cfRule type="cellIs" dxfId="324" priority="408" operator="between">
      <formula>41487</formula>
      <formula>41517</formula>
    </cfRule>
  </conditionalFormatting>
  <conditionalFormatting sqref="D662">
    <cfRule type="duplicateValues" dxfId="323" priority="407"/>
  </conditionalFormatting>
  <conditionalFormatting sqref="D662">
    <cfRule type="duplicateValues" dxfId="322" priority="406"/>
  </conditionalFormatting>
  <conditionalFormatting sqref="D662">
    <cfRule type="duplicateValues" dxfId="321" priority="405"/>
  </conditionalFormatting>
  <conditionalFormatting sqref="D662">
    <cfRule type="duplicateValues" dxfId="320" priority="404"/>
  </conditionalFormatting>
  <conditionalFormatting sqref="D662">
    <cfRule type="duplicateValues" dxfId="319" priority="402"/>
    <cfRule type="duplicateValues" dxfId="318" priority="403"/>
  </conditionalFormatting>
  <conditionalFormatting sqref="D662">
    <cfRule type="duplicateValues" dxfId="317" priority="398"/>
    <cfRule type="duplicateValues" dxfId="316" priority="399"/>
    <cfRule type="duplicateValues" dxfId="315" priority="400"/>
    <cfRule type="duplicateValues" dxfId="314" priority="401"/>
  </conditionalFormatting>
  <conditionalFormatting sqref="D662">
    <cfRule type="duplicateValues" dxfId="313" priority="393"/>
    <cfRule type="duplicateValues" dxfId="312" priority="394"/>
    <cfRule type="duplicateValues" dxfId="311" priority="395"/>
    <cfRule type="duplicateValues" dxfId="310" priority="396"/>
    <cfRule type="duplicateValues" dxfId="309" priority="397"/>
  </conditionalFormatting>
  <conditionalFormatting sqref="D662">
    <cfRule type="duplicateValues" dxfId="308" priority="391"/>
    <cfRule type="duplicateValues" dxfId="307" priority="392"/>
  </conditionalFormatting>
  <conditionalFormatting sqref="D662">
    <cfRule type="duplicateValues" dxfId="306" priority="390"/>
  </conditionalFormatting>
  <conditionalFormatting sqref="D662">
    <cfRule type="duplicateValues" dxfId="305" priority="388"/>
    <cfRule type="duplicateValues" dxfId="304" priority="389"/>
  </conditionalFormatting>
  <conditionalFormatting sqref="D662">
    <cfRule type="duplicateValues" dxfId="303" priority="384"/>
    <cfRule type="duplicateValues" dxfId="302" priority="385"/>
    <cfRule type="duplicateValues" dxfId="301" priority="386"/>
    <cfRule type="duplicateValues" dxfId="300" priority="387"/>
  </conditionalFormatting>
  <conditionalFormatting sqref="D662">
    <cfRule type="duplicateValues" dxfId="299" priority="379"/>
    <cfRule type="duplicateValues" dxfId="298" priority="380"/>
    <cfRule type="duplicateValues" dxfId="297" priority="381"/>
    <cfRule type="duplicateValues" dxfId="296" priority="382"/>
    <cfRule type="duplicateValues" dxfId="295" priority="383"/>
  </conditionalFormatting>
  <conditionalFormatting sqref="D642">
    <cfRule type="duplicateValues" dxfId="294" priority="378"/>
  </conditionalFormatting>
  <conditionalFormatting sqref="D729">
    <cfRule type="duplicateValues" dxfId="293" priority="377"/>
  </conditionalFormatting>
  <conditionalFormatting sqref="D729">
    <cfRule type="duplicateValues" dxfId="292" priority="376"/>
  </conditionalFormatting>
  <conditionalFormatting sqref="D729">
    <cfRule type="duplicateValues" dxfId="291" priority="375"/>
  </conditionalFormatting>
  <conditionalFormatting sqref="D729">
    <cfRule type="duplicateValues" dxfId="290" priority="374"/>
  </conditionalFormatting>
  <conditionalFormatting sqref="D729">
    <cfRule type="duplicateValues" dxfId="289" priority="372"/>
    <cfRule type="duplicateValues" dxfId="288" priority="373"/>
  </conditionalFormatting>
  <conditionalFormatting sqref="D729">
    <cfRule type="duplicateValues" dxfId="287" priority="368"/>
    <cfRule type="duplicateValues" dxfId="286" priority="369"/>
    <cfRule type="duplicateValues" dxfId="285" priority="370"/>
    <cfRule type="duplicateValues" dxfId="284" priority="371"/>
  </conditionalFormatting>
  <conditionalFormatting sqref="D729">
    <cfRule type="duplicateValues" dxfId="283" priority="363"/>
    <cfRule type="duplicateValues" dxfId="282" priority="364"/>
    <cfRule type="duplicateValues" dxfId="281" priority="365"/>
    <cfRule type="duplicateValues" dxfId="280" priority="366"/>
    <cfRule type="duplicateValues" dxfId="279" priority="367"/>
  </conditionalFormatting>
  <conditionalFormatting sqref="D729">
    <cfRule type="duplicateValues" dxfId="278" priority="361"/>
    <cfRule type="duplicateValues" dxfId="277" priority="362"/>
  </conditionalFormatting>
  <conditionalFormatting sqref="D729">
    <cfRule type="duplicateValues" dxfId="276" priority="360"/>
  </conditionalFormatting>
  <conditionalFormatting sqref="D729">
    <cfRule type="duplicateValues" dxfId="275" priority="358"/>
    <cfRule type="duplicateValues" dxfId="274" priority="359"/>
  </conditionalFormatting>
  <conditionalFormatting sqref="D729">
    <cfRule type="duplicateValues" dxfId="273" priority="354"/>
    <cfRule type="duplicateValues" dxfId="272" priority="355"/>
    <cfRule type="duplicateValues" dxfId="271" priority="356"/>
    <cfRule type="duplicateValues" dxfId="270" priority="357"/>
  </conditionalFormatting>
  <conditionalFormatting sqref="D729">
    <cfRule type="duplicateValues" dxfId="269" priority="349"/>
    <cfRule type="duplicateValues" dxfId="268" priority="350"/>
    <cfRule type="duplicateValues" dxfId="267" priority="351"/>
    <cfRule type="duplicateValues" dxfId="266" priority="352"/>
    <cfRule type="duplicateValues" dxfId="265" priority="353"/>
  </conditionalFormatting>
  <conditionalFormatting sqref="D850">
    <cfRule type="duplicateValues" dxfId="264" priority="348"/>
  </conditionalFormatting>
  <conditionalFormatting sqref="D850">
    <cfRule type="duplicateValues" dxfId="263" priority="347"/>
  </conditionalFormatting>
  <conditionalFormatting sqref="D850">
    <cfRule type="duplicateValues" dxfId="262" priority="346"/>
  </conditionalFormatting>
  <conditionalFormatting sqref="D850">
    <cfRule type="duplicateValues" dxfId="261" priority="345"/>
  </conditionalFormatting>
  <conditionalFormatting sqref="D850">
    <cfRule type="duplicateValues" dxfId="260" priority="343"/>
    <cfRule type="duplicateValues" dxfId="259" priority="344"/>
  </conditionalFormatting>
  <conditionalFormatting sqref="D850">
    <cfRule type="duplicateValues" dxfId="258" priority="339"/>
    <cfRule type="duplicateValues" dxfId="257" priority="340"/>
    <cfRule type="duplicateValues" dxfId="256" priority="341"/>
    <cfRule type="duplicateValues" dxfId="255" priority="342"/>
  </conditionalFormatting>
  <conditionalFormatting sqref="D850">
    <cfRule type="duplicateValues" dxfId="254" priority="338"/>
  </conditionalFormatting>
  <conditionalFormatting sqref="D850">
    <cfRule type="duplicateValues" dxfId="253" priority="333"/>
    <cfRule type="duplicateValues" dxfId="252" priority="334"/>
    <cfRule type="duplicateValues" dxfId="251" priority="335"/>
    <cfRule type="duplicateValues" dxfId="250" priority="336"/>
    <cfRule type="duplicateValues" dxfId="249" priority="337"/>
  </conditionalFormatting>
  <conditionalFormatting sqref="D850">
    <cfRule type="duplicateValues" dxfId="248" priority="331"/>
    <cfRule type="duplicateValues" dxfId="247" priority="332"/>
  </conditionalFormatting>
  <conditionalFormatting sqref="D850">
    <cfRule type="duplicateValues" dxfId="246" priority="326"/>
    <cfRule type="duplicateValues" dxfId="245" priority="327"/>
    <cfRule type="duplicateValues" dxfId="244" priority="328"/>
    <cfRule type="duplicateValues" dxfId="243" priority="329"/>
    <cfRule type="duplicateValues" dxfId="242" priority="330"/>
  </conditionalFormatting>
  <conditionalFormatting sqref="D850">
    <cfRule type="duplicateValues" dxfId="241" priority="325"/>
  </conditionalFormatting>
  <conditionalFormatting sqref="D850">
    <cfRule type="duplicateValues" dxfId="240" priority="323"/>
    <cfRule type="duplicateValues" dxfId="239" priority="324"/>
  </conditionalFormatting>
  <conditionalFormatting sqref="D850">
    <cfRule type="duplicateValues" dxfId="238" priority="319"/>
    <cfRule type="duplicateValues" dxfId="237" priority="320"/>
    <cfRule type="duplicateValues" dxfId="236" priority="321"/>
    <cfRule type="duplicateValues" dxfId="235" priority="322"/>
  </conditionalFormatting>
  <conditionalFormatting sqref="D850">
    <cfRule type="duplicateValues" dxfId="234" priority="314"/>
    <cfRule type="duplicateValues" dxfId="233" priority="315"/>
    <cfRule type="duplicateValues" dxfId="232" priority="316"/>
    <cfRule type="duplicateValues" dxfId="231" priority="317"/>
    <cfRule type="duplicateValues" dxfId="230" priority="318"/>
  </conditionalFormatting>
  <conditionalFormatting sqref="D890">
    <cfRule type="duplicateValues" dxfId="229" priority="313"/>
  </conditionalFormatting>
  <conditionalFormatting sqref="B82:B118 B3:B80">
    <cfRule type="duplicateValues" dxfId="228" priority="311"/>
  </conditionalFormatting>
  <conditionalFormatting sqref="B138:B148">
    <cfRule type="duplicateValues" dxfId="227" priority="310"/>
  </conditionalFormatting>
  <conditionalFormatting sqref="B138:B148">
    <cfRule type="duplicateValues" dxfId="226" priority="309"/>
  </conditionalFormatting>
  <conditionalFormatting sqref="B154:B164">
    <cfRule type="duplicateValues" dxfId="225" priority="308"/>
  </conditionalFormatting>
  <conditionalFormatting sqref="B154:B164">
    <cfRule type="duplicateValues" dxfId="224" priority="307"/>
  </conditionalFormatting>
  <conditionalFormatting sqref="B175:B212">
    <cfRule type="duplicateValues" dxfId="223" priority="306"/>
  </conditionalFormatting>
  <conditionalFormatting sqref="B175:B212">
    <cfRule type="duplicateValues" dxfId="222" priority="305"/>
  </conditionalFormatting>
  <conditionalFormatting sqref="B168:B212 B82:B166 B3:B80">
    <cfRule type="duplicateValues" dxfId="221" priority="304"/>
  </conditionalFormatting>
  <conditionalFormatting sqref="B222:B232">
    <cfRule type="duplicateValues" dxfId="220" priority="303"/>
  </conditionalFormatting>
  <conditionalFormatting sqref="B222:B232">
    <cfRule type="duplicateValues" dxfId="219" priority="302"/>
  </conditionalFormatting>
  <conditionalFormatting sqref="B243:B280">
    <cfRule type="duplicateValues" dxfId="218" priority="301"/>
  </conditionalFormatting>
  <conditionalFormatting sqref="B243:B280">
    <cfRule type="duplicateValues" dxfId="217" priority="300"/>
  </conditionalFormatting>
  <conditionalFormatting sqref="B304:B309 B298:B302">
    <cfRule type="duplicateValues" dxfId="216" priority="299"/>
  </conditionalFormatting>
  <conditionalFormatting sqref="D304:D309 D298:D302">
    <cfRule type="duplicateValues" dxfId="215" priority="298"/>
  </conditionalFormatting>
  <conditionalFormatting sqref="B304:B309 B298:B302">
    <cfRule type="duplicateValues" dxfId="214" priority="297"/>
  </conditionalFormatting>
  <conditionalFormatting sqref="B317:B329 B310:B315 B281:B297">
    <cfRule type="duplicateValues" dxfId="213" priority="296"/>
  </conditionalFormatting>
  <conditionalFormatting sqref="B317:B329 B310:B315 B281:B297">
    <cfRule type="duplicateValues" dxfId="212" priority="295"/>
  </conditionalFormatting>
  <conditionalFormatting sqref="D472:D474">
    <cfRule type="duplicateValues" dxfId="211" priority="294"/>
  </conditionalFormatting>
  <conditionalFormatting sqref="B472:B474">
    <cfRule type="duplicateValues" dxfId="210" priority="293"/>
  </conditionalFormatting>
  <conditionalFormatting sqref="B472:B474">
    <cfRule type="duplicateValues" dxfId="209" priority="292"/>
  </conditionalFormatting>
  <conditionalFormatting sqref="D557:D577">
    <cfRule type="duplicateValues" dxfId="208" priority="291"/>
  </conditionalFormatting>
  <conditionalFormatting sqref="B557:B577">
    <cfRule type="duplicateValues" dxfId="207" priority="290"/>
  </conditionalFormatting>
  <conditionalFormatting sqref="B557:B577">
    <cfRule type="duplicateValues" dxfId="206" priority="289"/>
  </conditionalFormatting>
  <conditionalFormatting sqref="D621:D622">
    <cfRule type="duplicateValues" dxfId="205" priority="288"/>
  </conditionalFormatting>
  <conditionalFormatting sqref="D776:D887 D624 D626:D641 D643:D774">
    <cfRule type="duplicateValues" dxfId="204" priority="287"/>
  </conditionalFormatting>
  <conditionalFormatting sqref="D891:D929 D888:D889">
    <cfRule type="duplicateValues" dxfId="203" priority="286"/>
  </conditionalFormatting>
  <conditionalFormatting sqref="C1013:D1054 C1056:D1057">
    <cfRule type="duplicateValues" dxfId="202" priority="281"/>
  </conditionalFormatting>
  <conditionalFormatting sqref="C1013:C1054 C1056:C1057">
    <cfRule type="duplicateValues" dxfId="201" priority="277"/>
    <cfRule type="duplicateValues" dxfId="200" priority="278"/>
    <cfRule type="duplicateValues" dxfId="199" priority="279"/>
    <cfRule type="duplicateValues" dxfId="198" priority="280"/>
  </conditionalFormatting>
  <conditionalFormatting sqref="C1013:C1054 C1056:C1057">
    <cfRule type="duplicateValues" dxfId="197" priority="276"/>
  </conditionalFormatting>
  <conditionalFormatting sqref="C1013:C1054 C1056:C1057">
    <cfRule type="duplicateValues" dxfId="196" priority="275"/>
  </conditionalFormatting>
  <conditionalFormatting sqref="C1013:C1054 C1056:C1057">
    <cfRule type="duplicateValues" dxfId="195" priority="270"/>
    <cfRule type="duplicateValues" dxfId="194" priority="271"/>
    <cfRule type="duplicateValues" dxfId="193" priority="272"/>
    <cfRule type="duplicateValues" dxfId="192" priority="273"/>
    <cfRule type="duplicateValues" dxfId="191" priority="274"/>
  </conditionalFormatting>
  <conditionalFormatting sqref="C1013:C1054 C1056:C1057">
    <cfRule type="duplicateValues" dxfId="190" priority="269"/>
  </conditionalFormatting>
  <conditionalFormatting sqref="C1013:C1054 C1056:C1057">
    <cfRule type="duplicateValues" dxfId="189" priority="268"/>
  </conditionalFormatting>
  <conditionalFormatting sqref="C1013:C1054 C1056:C1057">
    <cfRule type="duplicateValues" dxfId="188" priority="267"/>
  </conditionalFormatting>
  <conditionalFormatting sqref="C1013:C1054 C1056:C1057">
    <cfRule type="duplicateValues" dxfId="187" priority="265"/>
    <cfRule type="duplicateValues" dxfId="186" priority="266"/>
  </conditionalFormatting>
  <conditionalFormatting sqref="D1013:D1054 D1056:D1057">
    <cfRule type="duplicateValues" dxfId="185" priority="264"/>
  </conditionalFormatting>
  <conditionalFormatting sqref="C1013:C1054 C1056:C1057">
    <cfRule type="duplicateValues" dxfId="184" priority="263"/>
  </conditionalFormatting>
  <conditionalFormatting sqref="C1013:C1054 C1056:C1057">
    <cfRule type="duplicateValues" dxfId="183" priority="262"/>
  </conditionalFormatting>
  <conditionalFormatting sqref="C1013:C1054 C1056:C1057">
    <cfRule type="duplicateValues" dxfId="182" priority="261"/>
  </conditionalFormatting>
  <conditionalFormatting sqref="C1013:C1054 C1056:C1057">
    <cfRule type="duplicateValues" dxfId="181" priority="260"/>
  </conditionalFormatting>
  <conditionalFormatting sqref="C1013:C1054 C1056:C1057">
    <cfRule type="duplicateValues" dxfId="180" priority="259"/>
  </conditionalFormatting>
  <conditionalFormatting sqref="C1013:C1054 C1056:C1057">
    <cfRule type="duplicateValues" dxfId="179" priority="258"/>
  </conditionalFormatting>
  <conditionalFormatting sqref="C1013:C1054 C1056:C1057">
    <cfRule type="duplicateValues" dxfId="178" priority="256"/>
    <cfRule type="duplicateValues" dxfId="177" priority="257"/>
  </conditionalFormatting>
  <conditionalFormatting sqref="C1013:C1054 C1056:C1057">
    <cfRule type="duplicateValues" dxfId="176" priority="252"/>
    <cfRule type="duplicateValues" dxfId="175" priority="253"/>
    <cfRule type="duplicateValues" dxfId="174" priority="254"/>
    <cfRule type="duplicateValues" dxfId="173" priority="255"/>
  </conditionalFormatting>
  <conditionalFormatting sqref="C1013:C1054 C1056:C1057">
    <cfRule type="duplicateValues" dxfId="172" priority="247"/>
    <cfRule type="duplicateValues" dxfId="171" priority="248"/>
    <cfRule type="duplicateValues" dxfId="170" priority="249"/>
    <cfRule type="duplicateValues" dxfId="169" priority="250"/>
    <cfRule type="duplicateValues" dxfId="168" priority="251"/>
  </conditionalFormatting>
  <conditionalFormatting sqref="C1013:C1054 C1056:C1057">
    <cfRule type="duplicateValues" dxfId="167" priority="246"/>
  </conditionalFormatting>
  <conditionalFormatting sqref="C1013:C1054 C1056:C1057">
    <cfRule type="duplicateValues" dxfId="166" priority="245"/>
  </conditionalFormatting>
  <conditionalFormatting sqref="B1013:B1054 B1056:B1057">
    <cfRule type="duplicateValues" dxfId="165" priority="244"/>
  </conditionalFormatting>
  <conditionalFormatting sqref="B1013:B1054 B1056:B1057">
    <cfRule type="duplicateValues" dxfId="164" priority="243"/>
  </conditionalFormatting>
  <conditionalFormatting sqref="B1013:B1054 B1056:B1057">
    <cfRule type="duplicateValues" dxfId="163" priority="242"/>
  </conditionalFormatting>
  <conditionalFormatting sqref="B1013:B1054 B1056:B1057">
    <cfRule type="duplicateValues" dxfId="162" priority="241"/>
  </conditionalFormatting>
  <conditionalFormatting sqref="C1055:D1055">
    <cfRule type="duplicateValues" dxfId="161" priority="240"/>
  </conditionalFormatting>
  <conditionalFormatting sqref="C1055">
    <cfRule type="duplicateValues" dxfId="160" priority="236"/>
    <cfRule type="duplicateValues" dxfId="159" priority="237"/>
    <cfRule type="duplicateValues" dxfId="158" priority="238"/>
    <cfRule type="duplicateValues" dxfId="157" priority="239"/>
  </conditionalFormatting>
  <conditionalFormatting sqref="C1055">
    <cfRule type="duplicateValues" dxfId="156" priority="235"/>
  </conditionalFormatting>
  <conditionalFormatting sqref="C1055">
    <cfRule type="duplicateValues" dxfId="155" priority="234"/>
  </conditionalFormatting>
  <conditionalFormatting sqref="C1055">
    <cfRule type="duplicateValues" dxfId="154" priority="229"/>
    <cfRule type="duplicateValues" dxfId="153" priority="230"/>
    <cfRule type="duplicateValues" dxfId="152" priority="231"/>
    <cfRule type="duplicateValues" dxfId="151" priority="232"/>
    <cfRule type="duplicateValues" dxfId="150" priority="233"/>
  </conditionalFormatting>
  <conditionalFormatting sqref="C1055">
    <cfRule type="duplicateValues" dxfId="149" priority="228"/>
  </conditionalFormatting>
  <conditionalFormatting sqref="C1055">
    <cfRule type="duplicateValues" dxfId="148" priority="227"/>
  </conditionalFormatting>
  <conditionalFormatting sqref="C1055">
    <cfRule type="duplicateValues" dxfId="147" priority="226"/>
  </conditionalFormatting>
  <conditionalFormatting sqref="C1055">
    <cfRule type="duplicateValues" dxfId="146" priority="224"/>
    <cfRule type="duplicateValues" dxfId="145" priority="225"/>
  </conditionalFormatting>
  <conditionalFormatting sqref="D1055">
    <cfRule type="duplicateValues" dxfId="144" priority="223"/>
  </conditionalFormatting>
  <conditionalFormatting sqref="C1055">
    <cfRule type="duplicateValues" dxfId="143" priority="222"/>
  </conditionalFormatting>
  <conditionalFormatting sqref="C1055">
    <cfRule type="duplicateValues" dxfId="142" priority="221"/>
  </conditionalFormatting>
  <conditionalFormatting sqref="C1055">
    <cfRule type="duplicateValues" dxfId="141" priority="220"/>
  </conditionalFormatting>
  <conditionalFormatting sqref="C1055">
    <cfRule type="duplicateValues" dxfId="140" priority="219"/>
  </conditionalFormatting>
  <conditionalFormatting sqref="C1055">
    <cfRule type="duplicateValues" dxfId="139" priority="218"/>
  </conditionalFormatting>
  <conditionalFormatting sqref="C1055">
    <cfRule type="duplicateValues" dxfId="138" priority="217"/>
  </conditionalFormatting>
  <conditionalFormatting sqref="C1055">
    <cfRule type="duplicateValues" dxfId="137" priority="215"/>
    <cfRule type="duplicateValues" dxfId="136" priority="216"/>
  </conditionalFormatting>
  <conditionalFormatting sqref="C1055">
    <cfRule type="duplicateValues" dxfId="135" priority="211"/>
    <cfRule type="duplicateValues" dxfId="134" priority="212"/>
    <cfRule type="duplicateValues" dxfId="133" priority="213"/>
    <cfRule type="duplicateValues" dxfId="132" priority="214"/>
  </conditionalFormatting>
  <conditionalFormatting sqref="C1055">
    <cfRule type="duplicateValues" dxfId="131" priority="206"/>
    <cfRule type="duplicateValues" dxfId="130" priority="207"/>
    <cfRule type="duplicateValues" dxfId="129" priority="208"/>
    <cfRule type="duplicateValues" dxfId="128" priority="209"/>
    <cfRule type="duplicateValues" dxfId="127" priority="210"/>
  </conditionalFormatting>
  <conditionalFormatting sqref="C1055">
    <cfRule type="duplicateValues" dxfId="126" priority="205"/>
  </conditionalFormatting>
  <conditionalFormatting sqref="C1055">
    <cfRule type="duplicateValues" dxfId="125" priority="204"/>
  </conditionalFormatting>
  <conditionalFormatting sqref="B1055">
    <cfRule type="duplicateValues" dxfId="124" priority="203"/>
  </conditionalFormatting>
  <conditionalFormatting sqref="B1055">
    <cfRule type="duplicateValues" dxfId="123" priority="202"/>
  </conditionalFormatting>
  <conditionalFormatting sqref="B1055">
    <cfRule type="duplicateValues" dxfId="122" priority="201"/>
  </conditionalFormatting>
  <conditionalFormatting sqref="B1055">
    <cfRule type="duplicateValues" dxfId="121" priority="200"/>
  </conditionalFormatting>
  <conditionalFormatting sqref="C1058:D1073">
    <cfRule type="duplicateValues" dxfId="120" priority="198"/>
  </conditionalFormatting>
  <conditionalFormatting sqref="C1058:C1073">
    <cfRule type="duplicateValues" dxfId="119" priority="194"/>
    <cfRule type="duplicateValues" dxfId="118" priority="195"/>
    <cfRule type="duplicateValues" dxfId="117" priority="196"/>
    <cfRule type="duplicateValues" dxfId="116" priority="197"/>
  </conditionalFormatting>
  <conditionalFormatting sqref="C1058:C1073">
    <cfRule type="duplicateValues" dxfId="115" priority="193"/>
  </conditionalFormatting>
  <conditionalFormatting sqref="C1058:C1073">
    <cfRule type="duplicateValues" dxfId="114" priority="188"/>
    <cfRule type="duplicateValues" dxfId="113" priority="189"/>
    <cfRule type="duplicateValues" dxfId="112" priority="190"/>
    <cfRule type="duplicateValues" dxfId="111" priority="191"/>
    <cfRule type="duplicateValues" dxfId="110" priority="192"/>
  </conditionalFormatting>
  <conditionalFormatting sqref="C1058:C1073">
    <cfRule type="duplicateValues" dxfId="109" priority="186"/>
    <cfRule type="duplicateValues" dxfId="108" priority="187"/>
  </conditionalFormatting>
  <conditionalFormatting sqref="D1058:D1073">
    <cfRule type="duplicateValues" dxfId="107" priority="185"/>
  </conditionalFormatting>
  <conditionalFormatting sqref="C1058:C1073">
    <cfRule type="duplicateValues" dxfId="106" priority="184"/>
  </conditionalFormatting>
  <conditionalFormatting sqref="C1058:C1073">
    <cfRule type="duplicateValues" dxfId="105" priority="183"/>
  </conditionalFormatting>
  <conditionalFormatting sqref="B1058:B1073">
    <cfRule type="duplicateValues" dxfId="104" priority="182"/>
  </conditionalFormatting>
  <conditionalFormatting sqref="B1058:B1073">
    <cfRule type="duplicateValues" dxfId="103" priority="181"/>
  </conditionalFormatting>
  <conditionalFormatting sqref="B1058:B1073">
    <cfRule type="duplicateValues" dxfId="102" priority="180"/>
  </conditionalFormatting>
  <conditionalFormatting sqref="C1074">
    <cfRule type="duplicateValues" dxfId="101" priority="179"/>
  </conditionalFormatting>
  <conditionalFormatting sqref="C1074">
    <cfRule type="duplicateValues" dxfId="100" priority="178"/>
  </conditionalFormatting>
  <conditionalFormatting sqref="C1074">
    <cfRule type="duplicateValues" dxfId="99" priority="176"/>
    <cfRule type="duplicateValues" dxfId="98" priority="177"/>
  </conditionalFormatting>
  <conditionalFormatting sqref="C1074:D1074">
    <cfRule type="duplicateValues" dxfId="97" priority="175"/>
  </conditionalFormatting>
  <conditionalFormatting sqref="C1074">
    <cfRule type="duplicateValues" dxfId="96" priority="171"/>
    <cfRule type="duplicateValues" dxfId="95" priority="172"/>
    <cfRule type="duplicateValues" dxfId="94" priority="173"/>
    <cfRule type="duplicateValues" dxfId="93" priority="174"/>
  </conditionalFormatting>
  <conditionalFormatting sqref="C1074">
    <cfRule type="duplicateValues" dxfId="92" priority="166"/>
    <cfRule type="duplicateValues" dxfId="91" priority="167"/>
    <cfRule type="duplicateValues" dxfId="90" priority="168"/>
    <cfRule type="duplicateValues" dxfId="89" priority="169"/>
    <cfRule type="duplicateValues" dxfId="88" priority="170"/>
  </conditionalFormatting>
  <conditionalFormatting sqref="C1074">
    <cfRule type="duplicateValues" dxfId="87" priority="164"/>
    <cfRule type="duplicateValues" dxfId="86" priority="165"/>
  </conditionalFormatting>
  <conditionalFormatting sqref="C1074">
    <cfRule type="duplicateValues" dxfId="85" priority="163"/>
  </conditionalFormatting>
  <conditionalFormatting sqref="C1074">
    <cfRule type="duplicateValues" dxfId="84" priority="162"/>
  </conditionalFormatting>
  <conditionalFormatting sqref="C1074">
    <cfRule type="duplicateValues" dxfId="83" priority="161"/>
  </conditionalFormatting>
  <conditionalFormatting sqref="B1074">
    <cfRule type="duplicateValues" dxfId="82" priority="160"/>
  </conditionalFormatting>
  <conditionalFormatting sqref="B1074">
    <cfRule type="duplicateValues" dxfId="81" priority="159"/>
  </conditionalFormatting>
  <conditionalFormatting sqref="B1074">
    <cfRule type="duplicateValues" dxfId="80" priority="158"/>
  </conditionalFormatting>
  <conditionalFormatting sqref="B1074">
    <cfRule type="duplicateValues" dxfId="79" priority="157"/>
  </conditionalFormatting>
  <conditionalFormatting sqref="C1075">
    <cfRule type="duplicateValues" dxfId="78" priority="156"/>
  </conditionalFormatting>
  <conditionalFormatting sqref="C1075">
    <cfRule type="duplicateValues" dxfId="77" priority="155"/>
  </conditionalFormatting>
  <conditionalFormatting sqref="C1075">
    <cfRule type="duplicateValues" dxfId="76" priority="153"/>
    <cfRule type="duplicateValues" dxfId="75" priority="154"/>
  </conditionalFormatting>
  <conditionalFormatting sqref="C1075:D1075">
    <cfRule type="duplicateValues" dxfId="74" priority="152"/>
  </conditionalFormatting>
  <conditionalFormatting sqref="C1075">
    <cfRule type="duplicateValues" dxfId="73" priority="148"/>
    <cfRule type="duplicateValues" dxfId="72" priority="149"/>
    <cfRule type="duplicateValues" dxfId="71" priority="150"/>
    <cfRule type="duplicateValues" dxfId="70" priority="151"/>
  </conditionalFormatting>
  <conditionalFormatting sqref="C1075">
    <cfRule type="duplicateValues" dxfId="69" priority="143"/>
    <cfRule type="duplicateValues" dxfId="68" priority="144"/>
    <cfRule type="duplicateValues" dxfId="67" priority="145"/>
    <cfRule type="duplicateValues" dxfId="66" priority="146"/>
    <cfRule type="duplicateValues" dxfId="65" priority="147"/>
  </conditionalFormatting>
  <conditionalFormatting sqref="C1075">
    <cfRule type="duplicateValues" dxfId="64" priority="141"/>
    <cfRule type="duplicateValues" dxfId="63" priority="142"/>
  </conditionalFormatting>
  <conditionalFormatting sqref="C1075">
    <cfRule type="duplicateValues" dxfId="62" priority="140"/>
  </conditionalFormatting>
  <conditionalFormatting sqref="C1075">
    <cfRule type="duplicateValues" dxfId="61" priority="139"/>
  </conditionalFormatting>
  <conditionalFormatting sqref="C1075">
    <cfRule type="duplicateValues" dxfId="60" priority="138"/>
  </conditionalFormatting>
  <conditionalFormatting sqref="B1075">
    <cfRule type="duplicateValues" dxfId="59" priority="137"/>
  </conditionalFormatting>
  <conditionalFormatting sqref="B1075">
    <cfRule type="duplicateValues" dxfId="58" priority="136"/>
  </conditionalFormatting>
  <conditionalFormatting sqref="B1075">
    <cfRule type="duplicateValues" dxfId="57" priority="135"/>
  </conditionalFormatting>
  <conditionalFormatting sqref="B1075">
    <cfRule type="duplicateValues" dxfId="56" priority="134"/>
  </conditionalFormatting>
  <conditionalFormatting sqref="C1076">
    <cfRule type="duplicateValues" dxfId="55" priority="133"/>
  </conditionalFormatting>
  <conditionalFormatting sqref="C1076">
    <cfRule type="duplicateValues" dxfId="54" priority="132"/>
  </conditionalFormatting>
  <conditionalFormatting sqref="C1076">
    <cfRule type="duplicateValues" dxfId="53" priority="131"/>
  </conditionalFormatting>
  <conditionalFormatting sqref="C1076">
    <cfRule type="duplicateValues" dxfId="52" priority="130"/>
  </conditionalFormatting>
  <conditionalFormatting sqref="C1076">
    <cfRule type="duplicateValues" dxfId="51" priority="128"/>
    <cfRule type="duplicateValues" dxfId="50" priority="129"/>
  </conditionalFormatting>
  <conditionalFormatting sqref="C1076:D1076">
    <cfRule type="duplicateValues" dxfId="49" priority="127"/>
  </conditionalFormatting>
  <conditionalFormatting sqref="C1076">
    <cfRule type="duplicateValues" dxfId="48" priority="123"/>
    <cfRule type="duplicateValues" dxfId="47" priority="124"/>
    <cfRule type="duplicateValues" dxfId="46" priority="125"/>
    <cfRule type="duplicateValues" dxfId="45" priority="126"/>
  </conditionalFormatting>
  <conditionalFormatting sqref="C1076">
    <cfRule type="duplicateValues" dxfId="44" priority="122"/>
  </conditionalFormatting>
  <conditionalFormatting sqref="C1076">
    <cfRule type="duplicateValues" dxfId="43" priority="117"/>
    <cfRule type="duplicateValues" dxfId="42" priority="118"/>
    <cfRule type="duplicateValues" dxfId="41" priority="119"/>
    <cfRule type="duplicateValues" dxfId="40" priority="120"/>
    <cfRule type="duplicateValues" dxfId="39" priority="121"/>
  </conditionalFormatting>
  <conditionalFormatting sqref="C1076">
    <cfRule type="duplicateValues" dxfId="38" priority="115"/>
    <cfRule type="duplicateValues" dxfId="37" priority="116"/>
  </conditionalFormatting>
  <conditionalFormatting sqref="C1076">
    <cfRule type="duplicateValues" dxfId="36" priority="110"/>
    <cfRule type="duplicateValues" dxfId="35" priority="111"/>
    <cfRule type="duplicateValues" dxfId="34" priority="112"/>
    <cfRule type="duplicateValues" dxfId="33" priority="113"/>
    <cfRule type="duplicateValues" dxfId="32" priority="114"/>
  </conditionalFormatting>
  <conditionalFormatting sqref="C1076">
    <cfRule type="duplicateValues" dxfId="31" priority="109"/>
  </conditionalFormatting>
  <conditionalFormatting sqref="C1076">
    <cfRule type="duplicateValues" dxfId="30" priority="107"/>
    <cfRule type="duplicateValues" dxfId="29" priority="108"/>
  </conditionalFormatting>
  <conditionalFormatting sqref="C1076">
    <cfRule type="duplicateValues" dxfId="28" priority="103"/>
    <cfRule type="duplicateValues" dxfId="27" priority="104"/>
    <cfRule type="duplicateValues" dxfId="26" priority="105"/>
    <cfRule type="duplicateValues" dxfId="25" priority="106"/>
  </conditionalFormatting>
  <conditionalFormatting sqref="C1076">
    <cfRule type="duplicateValues" dxfId="24" priority="98"/>
    <cfRule type="duplicateValues" dxfId="23" priority="99"/>
    <cfRule type="duplicateValues" dxfId="22" priority="100"/>
    <cfRule type="duplicateValues" dxfId="21" priority="101"/>
    <cfRule type="duplicateValues" dxfId="20" priority="102"/>
  </conditionalFormatting>
  <conditionalFormatting sqref="C1076">
    <cfRule type="duplicateValues" dxfId="19" priority="97"/>
  </conditionalFormatting>
  <conditionalFormatting sqref="C1076">
    <cfRule type="duplicateValues" dxfId="18" priority="96"/>
  </conditionalFormatting>
  <conditionalFormatting sqref="B1076">
    <cfRule type="duplicateValues" dxfId="17" priority="95"/>
  </conditionalFormatting>
  <conditionalFormatting sqref="B1076">
    <cfRule type="duplicateValues" dxfId="16" priority="94"/>
  </conditionalFormatting>
  <conditionalFormatting sqref="B1076">
    <cfRule type="duplicateValues" dxfId="15" priority="93"/>
  </conditionalFormatting>
  <conditionalFormatting sqref="B1076">
    <cfRule type="duplicateValues" dxfId="14" priority="92"/>
  </conditionalFormatting>
  <conditionalFormatting sqref="D1077:D1078 D330:D421 D475:D556 D423:D471 D578:D620 D623 D930:D1012">
    <cfRule type="duplicateValues" dxfId="13" priority="641"/>
  </conditionalFormatting>
  <conditionalFormatting sqref="D1077:D1078 D930:D1012 D1:D556 D578:D620 D623">
    <cfRule type="duplicateValues" dxfId="12" priority="648"/>
  </conditionalFormatting>
  <conditionalFormatting sqref="B578:B1012 B1:B556 B1077:B1078">
    <cfRule type="duplicateValues" dxfId="11" priority="653"/>
  </conditionalFormatting>
  <conditionalFormatting sqref="C1077:C1078 C1:C1012">
    <cfRule type="duplicateValues" dxfId="10" priority="656"/>
  </conditionalFormatting>
  <conditionalFormatting sqref="B1077:B1078 B578:B1012 B475:B556 B423:B471 B330:B421">
    <cfRule type="duplicateValues" dxfId="9" priority="658"/>
  </conditionalFormatting>
  <conditionalFormatting sqref="B578:B1012 B475:B556 B423:B471 B330:B421">
    <cfRule type="duplicateValues" dxfId="8" priority="663"/>
  </conditionalFormatting>
  <conditionalFormatting sqref="B578:B1012 B475:B556 B423:B471 B330:B421">
    <cfRule type="duplicateValues" dxfId="7" priority="667"/>
  </conditionalFormatting>
  <conditionalFormatting sqref="C1:C1012 C1077:C1078">
    <cfRule type="duplicateValues" dxfId="6" priority="671"/>
  </conditionalFormatting>
  <conditionalFormatting sqref="C1077:C1078 C1:C1073">
    <cfRule type="duplicateValues" dxfId="5" priority="673"/>
  </conditionalFormatting>
  <conditionalFormatting sqref="C1:C1078">
    <cfRule type="duplicateValues" dxfId="4" priority="675"/>
  </conditionalFormatting>
  <conditionalFormatting sqref="C1:C1048576">
    <cfRule type="duplicateValues" dxfId="3" priority="7503"/>
  </conditionalFormatting>
  <conditionalFormatting sqref="C1:C1048576">
    <cfRule type="duplicateValues" dxfId="2" priority="7669"/>
  </conditionalFormatting>
  <conditionalFormatting sqref="C1:C1048576">
    <cfRule type="duplicateValues" dxfId="1" priority="7692"/>
  </conditionalFormatting>
  <conditionalFormatting sqref="BD3:BK1078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Leader&amp; Supervisor</vt:lpstr>
      <vt:lpstr>All staff</vt:lpstr>
      <vt:lpstr>'Leader&amp; Supervisor'!Print_Titles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Fenny</dc:creator>
  <cp:lastModifiedBy>Paul Weng</cp:lastModifiedBy>
  <cp:lastPrinted>2020-12-07T05:49:08Z</cp:lastPrinted>
  <dcterms:created xsi:type="dcterms:W3CDTF">2018-01-25T06:11:04Z</dcterms:created>
  <dcterms:modified xsi:type="dcterms:W3CDTF">2020-12-09T07:08:45Z</dcterms:modified>
</cp:coreProperties>
</file>